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RAP vs N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B7E1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 Corcobo Norte: RAP contra Np</a:t>
            </a:r>
          </a:p>
        </rich>
      </tx>
    </title>
    <plotArea>
      <scatterChart>
        <ser>
          <idx val="0"/>
          <order val="0"/>
          <tx>
            <v>El Corcobo Norte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Np'!$E$2:$E$247</f>
            </numRef>
          </xVal>
          <yVal>
            <numRef>
              <f>'RAP vs Np'!$F$2:$F$247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Chihuido de la Sierra Negra: RAP contra Np</a:t>
            </a:r>
          </a:p>
        </rich>
      </tx>
    </title>
    <plotArea>
      <scatterChart>
        <ser>
          <idx val="0"/>
          <order val="0"/>
          <tx>
            <v>Chihuido de la Sierra Negra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Np'!$E$248:$E$494</f>
            </numRef>
          </xVal>
          <yVal>
            <numRef>
              <f>'RAP vs Np'!$F$248:$F$494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 Trapial: RAP contra Np</a:t>
            </a:r>
          </a:p>
        </rich>
      </tx>
    </title>
    <plotArea>
      <scatterChart>
        <ser>
          <idx val="0"/>
          <order val="0"/>
          <tx>
            <v>El Trapial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Np'!$E$495:$E$741</f>
            </numRef>
          </xVal>
          <yVal>
            <numRef>
              <f>'RAP vs Np'!$F$495:$F$741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Puesto Hernández: RAP contra Np</a:t>
            </a:r>
          </a:p>
        </rich>
      </tx>
    </title>
    <plotArea>
      <scatterChart>
        <ser>
          <idx val="0"/>
          <order val="0"/>
          <tx>
            <v>Puesto Hernández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Np'!$E$742:$E$988</f>
            </numRef>
          </xVal>
          <yVal>
            <numRef>
              <f>'RAP vs Np'!$F$742:$F$988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Perales: RAP contra Np</a:t>
            </a:r>
          </a:p>
        </rich>
      </tx>
    </title>
    <plotArea>
      <scatterChart>
        <ser>
          <idx val="0"/>
          <order val="0"/>
          <tx>
            <v>Los Perales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Np'!$E$989:$E$1235</f>
            </numRef>
          </xVal>
          <yVal>
            <numRef>
              <f>'RAP vs Np'!$F$989:$F$1235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Manantiales Behr: RAP contra Np</a:t>
            </a:r>
          </a:p>
        </rich>
      </tx>
    </title>
    <plotArea>
      <scatterChart>
        <ser>
          <idx val="0"/>
          <order val="0"/>
          <tx>
            <v>Manantiales Behr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Np'!$E$1236:$E$1482</f>
            </numRef>
          </xVal>
          <yVal>
            <numRef>
              <f>'RAP vs Np'!$F$1236:$F$1482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Diadema: RAP contra Np</a:t>
            </a:r>
          </a:p>
        </rich>
      </tx>
    </title>
    <plotArea>
      <scatterChart>
        <ser>
          <idx val="0"/>
          <order val="0"/>
          <tx>
            <v>Diadema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'RAP vs Np'!$E$1483:$E$1729</f>
            </numRef>
          </xVal>
          <yVal>
            <numRef>
              <f>'RAP vs Np'!$F$1483:$F$1729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 desde 2006 (m³)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RAP (agua / petróleo)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64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80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96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Surveillance de campos maduros: planilla de referencia del curso (sesión 3).</t>
        </is>
      </c>
    </row>
    <row r="2">
      <c r="A2" t="inlineStr">
        <is>
          <t>Fuente: Capítulo IV agrupado por yacimiento y formación, Secretaría de Energía (datos.energia.gob.ar, CC BY 4.0).</t>
        </is>
      </c>
    </row>
    <row r="3">
      <c r="A3" t="inlineStr">
        <is>
          <t>Solo producción convencional. Np es la acumulada desde enero de 2006, cuando empieza la serie; los campos más viejos traen producción anterior.</t>
        </is>
      </c>
    </row>
    <row r="4">
      <c r="A4" t="inlineStr">
        <is>
          <t>Ventana reciente: 2026-05 a 2026-07. Base: 2025-05 a 2026-04.</t>
        </is>
      </c>
    </row>
    <row r="5">
      <c r="A5" t="inlineStr">
        <is>
          <t>Caudal = petróleo del mes / días del mes. Caída de petróleo: rojo si es de 15% o más, amarillo desde 5%.</t>
        </is>
      </c>
    </row>
    <row r="6">
      <c r="A6" t="inlineStr">
        <is>
          <t>RAP = agua / petróleo en cada ventana. Rojo si sube 15% o más, amarillo desde 5%. El semáforo es el peor de los dos.</t>
        </is>
      </c>
    </row>
    <row r="7">
      <c r="A7" t="inlineStr">
        <is>
          <t>Para sumar un mes: pegá las filas nuevas al final de la hoja Datos y cambiá la celda B1 de la hoja Resumen.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14" customWidth="1" min="4" max="4"/>
    <col width="12" customWidth="1" min="5" max="5"/>
    <col width="11" customWidth="1" min="6" max="6"/>
    <col width="11" customWidth="1" min="7" max="7"/>
    <col width="11" customWidth="1" min="8" max="8"/>
    <col width="16" customWidth="1" min="9" max="9"/>
    <col width="10" customWidth="1" min="10" max="10"/>
    <col width="60" customWidth="1" min="11" max="11"/>
  </cols>
  <sheetData>
    <row r="1">
      <c r="A1" t="inlineStr">
        <is>
          <t>Último mes (AAAA-MM)</t>
        </is>
      </c>
      <c r="B1" t="inlineStr">
        <is>
          <t>2026-07</t>
        </is>
      </c>
      <c r="C1" t="inlineStr">
        <is>
          <t>índice</t>
        </is>
      </c>
      <c r="D1">
        <f>VALUE(LEFT(B1,4))*12+VALUE(RIGHT(B1,2))-1</f>
        <v/>
      </c>
    </row>
    <row r="2">
      <c r="A2" t="inlineStr">
        <is>
          <t>Ventana reciente</t>
        </is>
      </c>
      <c r="B2">
        <f>INT(($D$1-2)/12)&amp;"-"&amp;RIGHT("0"&amp;(MOD($D$1-2,12)+1),2)</f>
        <v/>
      </c>
      <c r="C2" t="inlineStr">
        <is>
          <t>a</t>
        </is>
      </c>
      <c r="D2">
        <f>B1</f>
        <v/>
      </c>
    </row>
    <row r="3">
      <c r="A3" t="inlineStr">
        <is>
          <t>Base</t>
        </is>
      </c>
      <c r="B3">
        <f>INT(($D$1-14)/12)&amp;"-"&amp;RIGHT("0"&amp;(MOD($D$1-14,12)+1),2)</f>
        <v/>
      </c>
      <c r="C3" t="inlineStr">
        <is>
          <t>a</t>
        </is>
      </c>
      <c r="D3">
        <f>INT(($D$1-3)/12)&amp;"-"&amp;RIGHT("0"&amp;(MOD($D$1-3,12)+1),2)</f>
        <v/>
      </c>
    </row>
    <row r="5">
      <c r="A5" s="1" t="inlineStr">
        <is>
          <t>Campo</t>
        </is>
      </c>
      <c r="B5" s="1" t="inlineStr">
        <is>
          <t>Operadora</t>
        </is>
      </c>
      <c r="C5" s="1" t="inlineStr">
        <is>
          <t>Petróleo reciente (m³/d)</t>
        </is>
      </c>
      <c r="D5" s="1" t="inlineStr">
        <is>
          <t>Petróleo base (m³/d)</t>
        </is>
      </c>
      <c r="E5" s="1" t="inlineStr">
        <is>
          <t>Cambio petróleo</t>
        </is>
      </c>
      <c r="F5" s="1" t="inlineStr">
        <is>
          <t>RAP reciente</t>
        </is>
      </c>
      <c r="G5" s="1" t="inlineStr">
        <is>
          <t>RAP base</t>
        </is>
      </c>
      <c r="H5" s="1" t="inlineStr">
        <is>
          <t>Cambio RAP</t>
        </is>
      </c>
      <c r="I5" s="1" t="inlineStr">
        <is>
          <t>Np desde 2006 (m³)</t>
        </is>
      </c>
      <c r="J5" s="1" t="inlineStr">
        <is>
          <t>Semáforo</t>
        </is>
      </c>
      <c r="K5" s="1" t="inlineStr">
        <is>
          <t>Revisar dato</t>
        </is>
      </c>
    </row>
    <row r="6">
      <c r="A6" t="inlineStr">
        <is>
          <t>El Corcobo Norte</t>
        </is>
      </c>
      <c r="B6" t="inlineStr">
        <is>
          <t>PLUSPETROL S.A.</t>
        </is>
      </c>
      <c r="C6" s="2">
        <f>SUMIFS(Datos!$F$2:$F$2079,Datos!$A$2:$A$2079,$A6,Datos!$D$2:$D$2079,"convencional",Datos!$J$2:$J$2079,"&gt;="&amp;($D$1-2),Datos!$J$2:$J$2079,"&lt;="&amp;$D$1)/SUMIFS(Datos!$I$2:$I$2079,Datos!$A$2:$A$2079,$A6,Datos!$D$2:$D$2079,"convencional",Datos!$J$2:$J$2079,"&gt;="&amp;($D$1-2),Datos!$J$2:$J$2079,"&lt;="&amp;$D$1)</f>
        <v/>
      </c>
      <c r="D6" s="2">
        <f>SUMIFS(Datos!$F$2:$F$2079,Datos!$A$2:$A$2079,$A6,Datos!$D$2:$D$2079,"convencional",Datos!$J$2:$J$2079,"&gt;="&amp;($D$1-14),Datos!$J$2:$J$2079,"&lt;="&amp;($D$1-3))/SUMIFS(Datos!$I$2:$I$2079,Datos!$A$2:$A$2079,$A6,Datos!$D$2:$D$2079,"convencional",Datos!$J$2:$J$2079,"&gt;="&amp;($D$1-14),Datos!$J$2:$J$2079,"&lt;="&amp;($D$1-3))</f>
        <v/>
      </c>
      <c r="E6" s="3">
        <f>C6/D6-1</f>
        <v/>
      </c>
      <c r="F6" s="4">
        <f>SUMIFS(Datos!$G$2:$G$2079,Datos!$A$2:$A$2079,$A6,Datos!$D$2:$D$2079,"convencional",Datos!$J$2:$J$2079,"&gt;="&amp;($D$1-2),Datos!$J$2:$J$2079,"&lt;="&amp;$D$1)/SUMIFS(Datos!$F$2:$F$2079,Datos!$A$2:$A$2079,$A6,Datos!$D$2:$D$2079,"convencional",Datos!$J$2:$J$2079,"&gt;="&amp;($D$1-2),Datos!$J$2:$J$2079,"&lt;="&amp;$D$1)</f>
        <v/>
      </c>
      <c r="G6" s="4">
        <f>SUMIFS(Datos!$G$2:$G$2079,Datos!$A$2:$A$2079,$A6,Datos!$D$2:$D$2079,"convencional",Datos!$J$2:$J$2079,"&gt;="&amp;($D$1-14),Datos!$J$2:$J$2079,"&lt;="&amp;($D$1-3))/SUMIFS(Datos!$F$2:$F$2079,Datos!$A$2:$A$2079,$A6,Datos!$D$2:$D$2079,"convencional",Datos!$J$2:$J$2079,"&gt;="&amp;($D$1-14),Datos!$J$2:$J$2079,"&lt;="&amp;($D$1-3))</f>
        <v/>
      </c>
      <c r="H6" s="3">
        <f>F6/G6-1</f>
        <v/>
      </c>
      <c r="I6" s="5">
        <f>SUMIFS(Datos!$F$2:$F$2079,Datos!$A$2:$A$2079,$A6,Datos!$D$2:$D$2079,"convencional",Datos!$J$2:$J$2079,"&lt;="&amp;$D$1)</f>
        <v/>
      </c>
      <c r="J6">
        <f>IF(OR(E6&lt;=-0.15,H6&gt;=0.15),"rojo",IF(OR(E6&lt;=-0.05,H6&gt;=0.05),"amarillo","verde"))</f>
        <v/>
      </c>
      <c r="K6" t="inlineStr">
        <is>
          <t>falta 2019-01</t>
        </is>
      </c>
    </row>
    <row r="7">
      <c r="A7" t="inlineStr">
        <is>
          <t>Chihuido de la Sierra Negra</t>
        </is>
      </c>
      <c r="B7" t="inlineStr">
        <is>
          <t>YPF S.A.</t>
        </is>
      </c>
      <c r="C7" s="2">
        <f>SUMIFS(Datos!$F$2:$F$2079,Datos!$A$2:$A$2079,$A7,Datos!$D$2:$D$2079,"convencional",Datos!$J$2:$J$2079,"&gt;="&amp;($D$1-2),Datos!$J$2:$J$2079,"&lt;="&amp;$D$1)/SUMIFS(Datos!$I$2:$I$2079,Datos!$A$2:$A$2079,$A7,Datos!$D$2:$D$2079,"convencional",Datos!$J$2:$J$2079,"&gt;="&amp;($D$1-2),Datos!$J$2:$J$2079,"&lt;="&amp;$D$1)</f>
        <v/>
      </c>
      <c r="D7" s="2">
        <f>SUMIFS(Datos!$F$2:$F$2079,Datos!$A$2:$A$2079,$A7,Datos!$D$2:$D$2079,"convencional",Datos!$J$2:$J$2079,"&gt;="&amp;($D$1-14),Datos!$J$2:$J$2079,"&lt;="&amp;($D$1-3))/SUMIFS(Datos!$I$2:$I$2079,Datos!$A$2:$A$2079,$A7,Datos!$D$2:$D$2079,"convencional",Datos!$J$2:$J$2079,"&gt;="&amp;($D$1-14),Datos!$J$2:$J$2079,"&lt;="&amp;($D$1-3))</f>
        <v/>
      </c>
      <c r="E7" s="3">
        <f>C7/D7-1</f>
        <v/>
      </c>
      <c r="F7" s="4">
        <f>SUMIFS(Datos!$G$2:$G$2079,Datos!$A$2:$A$2079,$A7,Datos!$D$2:$D$2079,"convencional",Datos!$J$2:$J$2079,"&gt;="&amp;($D$1-2),Datos!$J$2:$J$2079,"&lt;="&amp;$D$1)/SUMIFS(Datos!$F$2:$F$2079,Datos!$A$2:$A$2079,$A7,Datos!$D$2:$D$2079,"convencional",Datos!$J$2:$J$2079,"&gt;="&amp;($D$1-2),Datos!$J$2:$J$2079,"&lt;="&amp;$D$1)</f>
        <v/>
      </c>
      <c r="G7" s="4">
        <f>SUMIFS(Datos!$G$2:$G$2079,Datos!$A$2:$A$2079,$A7,Datos!$D$2:$D$2079,"convencional",Datos!$J$2:$J$2079,"&gt;="&amp;($D$1-14),Datos!$J$2:$J$2079,"&lt;="&amp;($D$1-3))/SUMIFS(Datos!$F$2:$F$2079,Datos!$A$2:$A$2079,$A7,Datos!$D$2:$D$2079,"convencional",Datos!$J$2:$J$2079,"&gt;="&amp;($D$1-14),Datos!$J$2:$J$2079,"&lt;="&amp;($D$1-3))</f>
        <v/>
      </c>
      <c r="H7" s="3">
        <f>F7/G7-1</f>
        <v/>
      </c>
      <c r="I7" s="5">
        <f>SUMIFS(Datos!$F$2:$F$2079,Datos!$A$2:$A$2079,$A7,Datos!$D$2:$D$2079,"convencional",Datos!$J$2:$J$2079,"&lt;="&amp;$D$1)</f>
        <v/>
      </c>
      <c r="J7">
        <f>IF(OR(E7&lt;=-0.15,H7&gt;=0.15),"rojo",IF(OR(E7&lt;=-0.05,H7&gt;=0.05),"amarillo","verde"))</f>
        <v/>
      </c>
      <c r="K7" t="inlineStr"/>
    </row>
    <row r="8">
      <c r="A8" t="inlineStr">
        <is>
          <t>El Trapial</t>
        </is>
      </c>
      <c r="B8" t="inlineStr">
        <is>
          <t>CHEVRON ARGENTINA S.R.L.</t>
        </is>
      </c>
      <c r="C8" s="2">
        <f>SUMIFS(Datos!$F$2:$F$2079,Datos!$A$2:$A$2079,$A8,Datos!$D$2:$D$2079,"convencional",Datos!$J$2:$J$2079,"&gt;="&amp;($D$1-2),Datos!$J$2:$J$2079,"&lt;="&amp;$D$1)/SUMIFS(Datos!$I$2:$I$2079,Datos!$A$2:$A$2079,$A8,Datos!$D$2:$D$2079,"convencional",Datos!$J$2:$J$2079,"&gt;="&amp;($D$1-2),Datos!$J$2:$J$2079,"&lt;="&amp;$D$1)</f>
        <v/>
      </c>
      <c r="D8" s="2">
        <f>SUMIFS(Datos!$F$2:$F$2079,Datos!$A$2:$A$2079,$A8,Datos!$D$2:$D$2079,"convencional",Datos!$J$2:$J$2079,"&gt;="&amp;($D$1-14),Datos!$J$2:$J$2079,"&lt;="&amp;($D$1-3))/SUMIFS(Datos!$I$2:$I$2079,Datos!$A$2:$A$2079,$A8,Datos!$D$2:$D$2079,"convencional",Datos!$J$2:$J$2079,"&gt;="&amp;($D$1-14),Datos!$J$2:$J$2079,"&lt;="&amp;($D$1-3))</f>
        <v/>
      </c>
      <c r="E8" s="3">
        <f>C8/D8-1</f>
        <v/>
      </c>
      <c r="F8" s="4">
        <f>SUMIFS(Datos!$G$2:$G$2079,Datos!$A$2:$A$2079,$A8,Datos!$D$2:$D$2079,"convencional",Datos!$J$2:$J$2079,"&gt;="&amp;($D$1-2),Datos!$J$2:$J$2079,"&lt;="&amp;$D$1)/SUMIFS(Datos!$F$2:$F$2079,Datos!$A$2:$A$2079,$A8,Datos!$D$2:$D$2079,"convencional",Datos!$J$2:$J$2079,"&gt;="&amp;($D$1-2),Datos!$J$2:$J$2079,"&lt;="&amp;$D$1)</f>
        <v/>
      </c>
      <c r="G8" s="4">
        <f>SUMIFS(Datos!$G$2:$G$2079,Datos!$A$2:$A$2079,$A8,Datos!$D$2:$D$2079,"convencional",Datos!$J$2:$J$2079,"&gt;="&amp;($D$1-14),Datos!$J$2:$J$2079,"&lt;="&amp;($D$1-3))/SUMIFS(Datos!$F$2:$F$2079,Datos!$A$2:$A$2079,$A8,Datos!$D$2:$D$2079,"convencional",Datos!$J$2:$J$2079,"&gt;="&amp;($D$1-14),Datos!$J$2:$J$2079,"&lt;="&amp;($D$1-3))</f>
        <v/>
      </c>
      <c r="H8" s="3">
        <f>F8/G8-1</f>
        <v/>
      </c>
      <c r="I8" s="5">
        <f>SUMIFS(Datos!$F$2:$F$2079,Datos!$A$2:$A$2079,$A8,Datos!$D$2:$D$2079,"convencional",Datos!$J$2:$J$2079,"&lt;="&amp;$D$1)</f>
        <v/>
      </c>
      <c r="J8">
        <f>IF(OR(E8&lt;=-0.15,H8&gt;=0.15),"rojo",IF(OR(E8&lt;=-0.05,H8&gt;=0.05),"amarillo","verde"))</f>
        <v/>
      </c>
      <c r="K8" t="inlineStr"/>
    </row>
    <row r="9">
      <c r="A9" t="inlineStr">
        <is>
          <t>Puesto Hernández</t>
        </is>
      </c>
      <c r="B9" t="inlineStr">
        <is>
          <t>YPF S.A.</t>
        </is>
      </c>
      <c r="C9" s="2">
        <f>SUMIFS(Datos!$F$2:$F$2079,Datos!$A$2:$A$2079,$A9,Datos!$D$2:$D$2079,"convencional",Datos!$J$2:$J$2079,"&gt;="&amp;($D$1-2),Datos!$J$2:$J$2079,"&lt;="&amp;$D$1)/SUMIFS(Datos!$I$2:$I$2079,Datos!$A$2:$A$2079,$A9,Datos!$D$2:$D$2079,"convencional",Datos!$J$2:$J$2079,"&gt;="&amp;($D$1-2),Datos!$J$2:$J$2079,"&lt;="&amp;$D$1)</f>
        <v/>
      </c>
      <c r="D9" s="2">
        <f>SUMIFS(Datos!$F$2:$F$2079,Datos!$A$2:$A$2079,$A9,Datos!$D$2:$D$2079,"convencional",Datos!$J$2:$J$2079,"&gt;="&amp;($D$1-14),Datos!$J$2:$J$2079,"&lt;="&amp;($D$1-3))/SUMIFS(Datos!$I$2:$I$2079,Datos!$A$2:$A$2079,$A9,Datos!$D$2:$D$2079,"convencional",Datos!$J$2:$J$2079,"&gt;="&amp;($D$1-14),Datos!$J$2:$J$2079,"&lt;="&amp;($D$1-3))</f>
        <v/>
      </c>
      <c r="E9" s="3">
        <f>C9/D9-1</f>
        <v/>
      </c>
      <c r="F9" s="4">
        <f>SUMIFS(Datos!$G$2:$G$2079,Datos!$A$2:$A$2079,$A9,Datos!$D$2:$D$2079,"convencional",Datos!$J$2:$J$2079,"&gt;="&amp;($D$1-2),Datos!$J$2:$J$2079,"&lt;="&amp;$D$1)/SUMIFS(Datos!$F$2:$F$2079,Datos!$A$2:$A$2079,$A9,Datos!$D$2:$D$2079,"convencional",Datos!$J$2:$J$2079,"&gt;="&amp;($D$1-2),Datos!$J$2:$J$2079,"&lt;="&amp;$D$1)</f>
        <v/>
      </c>
      <c r="G9" s="4">
        <f>SUMIFS(Datos!$G$2:$G$2079,Datos!$A$2:$A$2079,$A9,Datos!$D$2:$D$2079,"convencional",Datos!$J$2:$J$2079,"&gt;="&amp;($D$1-14),Datos!$J$2:$J$2079,"&lt;="&amp;($D$1-3))/SUMIFS(Datos!$F$2:$F$2079,Datos!$A$2:$A$2079,$A9,Datos!$D$2:$D$2079,"convencional",Datos!$J$2:$J$2079,"&gt;="&amp;($D$1-14),Datos!$J$2:$J$2079,"&lt;="&amp;($D$1-3))</f>
        <v/>
      </c>
      <c r="H9" s="3">
        <f>F9/G9-1</f>
        <v/>
      </c>
      <c r="I9" s="5">
        <f>SUMIFS(Datos!$F$2:$F$2079,Datos!$A$2:$A$2079,$A9,Datos!$D$2:$D$2079,"convencional",Datos!$J$2:$J$2079,"&lt;="&amp;$D$1)</f>
        <v/>
      </c>
      <c r="J9">
        <f>IF(OR(E9&lt;=-0.15,H9&gt;=0.15),"rojo",IF(OR(E9&lt;=-0.05,H9&gt;=0.05),"amarillo","verde"))</f>
        <v/>
      </c>
      <c r="K9" t="inlineStr"/>
    </row>
    <row r="10">
      <c r="A10" t="inlineStr">
        <is>
          <t>Los Perales</t>
        </is>
      </c>
      <c r="B10" t="inlineStr">
        <is>
          <t>PATAGONIA RESOURCES S.A.</t>
        </is>
      </c>
      <c r="C10" s="2">
        <f>SUMIFS(Datos!$F$2:$F$2079,Datos!$A$2:$A$2079,$A10,Datos!$D$2:$D$2079,"convencional",Datos!$J$2:$J$2079,"&gt;="&amp;($D$1-2),Datos!$J$2:$J$2079,"&lt;="&amp;$D$1)/SUMIFS(Datos!$I$2:$I$2079,Datos!$A$2:$A$2079,$A10,Datos!$D$2:$D$2079,"convencional",Datos!$J$2:$J$2079,"&gt;="&amp;($D$1-2),Datos!$J$2:$J$2079,"&lt;="&amp;$D$1)</f>
        <v/>
      </c>
      <c r="D10" s="2">
        <f>SUMIFS(Datos!$F$2:$F$2079,Datos!$A$2:$A$2079,$A10,Datos!$D$2:$D$2079,"convencional",Datos!$J$2:$J$2079,"&gt;="&amp;($D$1-14),Datos!$J$2:$J$2079,"&lt;="&amp;($D$1-3))/SUMIFS(Datos!$I$2:$I$2079,Datos!$A$2:$A$2079,$A10,Datos!$D$2:$D$2079,"convencional",Datos!$J$2:$J$2079,"&gt;="&amp;($D$1-14),Datos!$J$2:$J$2079,"&lt;="&amp;($D$1-3))</f>
        <v/>
      </c>
      <c r="E10" s="3">
        <f>C10/D10-1</f>
        <v/>
      </c>
      <c r="F10" s="4">
        <f>SUMIFS(Datos!$G$2:$G$2079,Datos!$A$2:$A$2079,$A10,Datos!$D$2:$D$2079,"convencional",Datos!$J$2:$J$2079,"&gt;="&amp;($D$1-2),Datos!$J$2:$J$2079,"&lt;="&amp;$D$1)/SUMIFS(Datos!$F$2:$F$2079,Datos!$A$2:$A$2079,$A10,Datos!$D$2:$D$2079,"convencional",Datos!$J$2:$J$2079,"&gt;="&amp;($D$1-2),Datos!$J$2:$J$2079,"&lt;="&amp;$D$1)</f>
        <v/>
      </c>
      <c r="G10" s="4">
        <f>SUMIFS(Datos!$G$2:$G$2079,Datos!$A$2:$A$2079,$A10,Datos!$D$2:$D$2079,"convencional",Datos!$J$2:$J$2079,"&gt;="&amp;($D$1-14),Datos!$J$2:$J$2079,"&lt;="&amp;($D$1-3))/SUMIFS(Datos!$F$2:$F$2079,Datos!$A$2:$A$2079,$A10,Datos!$D$2:$D$2079,"convencional",Datos!$J$2:$J$2079,"&gt;="&amp;($D$1-14),Datos!$J$2:$J$2079,"&lt;="&amp;($D$1-3))</f>
        <v/>
      </c>
      <c r="H10" s="3">
        <f>F10/G10-1</f>
        <v/>
      </c>
      <c r="I10" s="5">
        <f>SUMIFS(Datos!$F$2:$F$2079,Datos!$A$2:$A$2079,$A10,Datos!$D$2:$D$2079,"convencional",Datos!$J$2:$J$2079,"&lt;="&amp;$D$1)</f>
        <v/>
      </c>
      <c r="J10">
        <f>IF(OR(E10&lt;=-0.15,H10&gt;=0.15),"rojo",IF(OR(E10&lt;=-0.05,H10&gt;=0.05),"amarillo","verde"))</f>
        <v/>
      </c>
      <c r="K10" t="inlineStr">
        <is>
          <t>cambió de operadora: YPF S.A. → PATAGONIA RESOURCES S.A.</t>
        </is>
      </c>
    </row>
    <row r="11">
      <c r="A11" t="inlineStr">
        <is>
          <t>Manantiales Behr</t>
        </is>
      </c>
      <c r="B11" t="inlineStr">
        <is>
          <t>PECOM SERVICIOS ENERGIA SAU</t>
        </is>
      </c>
      <c r="C11" s="2">
        <f>SUMIFS(Datos!$F$2:$F$2079,Datos!$A$2:$A$2079,$A11,Datos!$D$2:$D$2079,"convencional",Datos!$J$2:$J$2079,"&gt;="&amp;($D$1-2),Datos!$J$2:$J$2079,"&lt;="&amp;$D$1)/SUMIFS(Datos!$I$2:$I$2079,Datos!$A$2:$A$2079,$A11,Datos!$D$2:$D$2079,"convencional",Datos!$J$2:$J$2079,"&gt;="&amp;($D$1-2),Datos!$J$2:$J$2079,"&lt;="&amp;$D$1)</f>
        <v/>
      </c>
      <c r="D11" s="2">
        <f>SUMIFS(Datos!$F$2:$F$2079,Datos!$A$2:$A$2079,$A11,Datos!$D$2:$D$2079,"convencional",Datos!$J$2:$J$2079,"&gt;="&amp;($D$1-14),Datos!$J$2:$J$2079,"&lt;="&amp;($D$1-3))/SUMIFS(Datos!$I$2:$I$2079,Datos!$A$2:$A$2079,$A11,Datos!$D$2:$D$2079,"convencional",Datos!$J$2:$J$2079,"&gt;="&amp;($D$1-14),Datos!$J$2:$J$2079,"&lt;="&amp;($D$1-3))</f>
        <v/>
      </c>
      <c r="E11" s="3">
        <f>C11/D11-1</f>
        <v/>
      </c>
      <c r="F11" s="4">
        <f>SUMIFS(Datos!$G$2:$G$2079,Datos!$A$2:$A$2079,$A11,Datos!$D$2:$D$2079,"convencional",Datos!$J$2:$J$2079,"&gt;="&amp;($D$1-2),Datos!$J$2:$J$2079,"&lt;="&amp;$D$1)/SUMIFS(Datos!$F$2:$F$2079,Datos!$A$2:$A$2079,$A11,Datos!$D$2:$D$2079,"convencional",Datos!$J$2:$J$2079,"&gt;="&amp;($D$1-2),Datos!$J$2:$J$2079,"&lt;="&amp;$D$1)</f>
        <v/>
      </c>
      <c r="G11" s="4">
        <f>SUMIFS(Datos!$G$2:$G$2079,Datos!$A$2:$A$2079,$A11,Datos!$D$2:$D$2079,"convencional",Datos!$J$2:$J$2079,"&gt;="&amp;($D$1-14),Datos!$J$2:$J$2079,"&lt;="&amp;($D$1-3))/SUMIFS(Datos!$F$2:$F$2079,Datos!$A$2:$A$2079,$A11,Datos!$D$2:$D$2079,"convencional",Datos!$J$2:$J$2079,"&gt;="&amp;($D$1-14),Datos!$J$2:$J$2079,"&lt;="&amp;($D$1-3))</f>
        <v/>
      </c>
      <c r="H11" s="3">
        <f>F11/G11-1</f>
        <v/>
      </c>
      <c r="I11" s="5">
        <f>SUMIFS(Datos!$F$2:$F$2079,Datos!$A$2:$A$2079,$A11,Datos!$D$2:$D$2079,"convencional",Datos!$J$2:$J$2079,"&lt;="&amp;$D$1)</f>
        <v/>
      </c>
      <c r="J11">
        <f>IF(OR(E11&lt;=-0.15,H11&gt;=0.15),"rojo",IF(OR(E11&lt;=-0.05,H11&gt;=0.05),"amarillo","verde"))</f>
        <v/>
      </c>
      <c r="K11" t="inlineStr">
        <is>
          <t>cambió de operadora: YPF S.A. → PECOM SERVICIOS ENERGIA SAU</t>
        </is>
      </c>
    </row>
    <row r="12">
      <c r="A12" t="inlineStr">
        <is>
          <t>Diadema</t>
        </is>
      </c>
      <c r="B12" t="inlineStr">
        <is>
          <t>COMPAÑÍAS ASOCIADAS PETROLERAS S.A.</t>
        </is>
      </c>
      <c r="C12" s="2">
        <f>SUMIFS(Datos!$F$2:$F$2079,Datos!$A$2:$A$2079,$A12,Datos!$D$2:$D$2079,"convencional",Datos!$J$2:$J$2079,"&gt;="&amp;($D$1-2),Datos!$J$2:$J$2079,"&lt;="&amp;$D$1)/SUMIFS(Datos!$I$2:$I$2079,Datos!$A$2:$A$2079,$A12,Datos!$D$2:$D$2079,"convencional",Datos!$J$2:$J$2079,"&gt;="&amp;($D$1-2),Datos!$J$2:$J$2079,"&lt;="&amp;$D$1)</f>
        <v/>
      </c>
      <c r="D12" s="2">
        <f>SUMIFS(Datos!$F$2:$F$2079,Datos!$A$2:$A$2079,$A12,Datos!$D$2:$D$2079,"convencional",Datos!$J$2:$J$2079,"&gt;="&amp;($D$1-14),Datos!$J$2:$J$2079,"&lt;="&amp;($D$1-3))/SUMIFS(Datos!$I$2:$I$2079,Datos!$A$2:$A$2079,$A12,Datos!$D$2:$D$2079,"convencional",Datos!$J$2:$J$2079,"&gt;="&amp;($D$1-14),Datos!$J$2:$J$2079,"&lt;="&amp;($D$1-3))</f>
        <v/>
      </c>
      <c r="E12" s="3">
        <f>C12/D12-1</f>
        <v/>
      </c>
      <c r="F12" s="4">
        <f>SUMIFS(Datos!$G$2:$G$2079,Datos!$A$2:$A$2079,$A12,Datos!$D$2:$D$2079,"convencional",Datos!$J$2:$J$2079,"&gt;="&amp;($D$1-2),Datos!$J$2:$J$2079,"&lt;="&amp;$D$1)/SUMIFS(Datos!$F$2:$F$2079,Datos!$A$2:$A$2079,$A12,Datos!$D$2:$D$2079,"convencional",Datos!$J$2:$J$2079,"&gt;="&amp;($D$1-2),Datos!$J$2:$J$2079,"&lt;="&amp;$D$1)</f>
        <v/>
      </c>
      <c r="G12" s="4">
        <f>SUMIFS(Datos!$G$2:$G$2079,Datos!$A$2:$A$2079,$A12,Datos!$D$2:$D$2079,"convencional",Datos!$J$2:$J$2079,"&gt;="&amp;($D$1-14),Datos!$J$2:$J$2079,"&lt;="&amp;($D$1-3))/SUMIFS(Datos!$F$2:$F$2079,Datos!$A$2:$A$2079,$A12,Datos!$D$2:$D$2079,"convencional",Datos!$J$2:$J$2079,"&gt;="&amp;($D$1-14),Datos!$J$2:$J$2079,"&lt;="&amp;($D$1-3))</f>
        <v/>
      </c>
      <c r="H12" s="3">
        <f>F12/G12-1</f>
        <v/>
      </c>
      <c r="I12" s="5">
        <f>SUMIFS(Datos!$F$2:$F$2079,Datos!$A$2:$A$2079,$A12,Datos!$D$2:$D$2079,"convencional",Datos!$J$2:$J$2079,"&lt;="&amp;$D$1)</f>
        <v/>
      </c>
      <c r="J12">
        <f>IF(OR(E12&lt;=-0.15,H12&gt;=0.15),"rojo",IF(OR(E12&lt;=-0.05,H12&gt;=0.05),"amarillo","verde"))</f>
        <v/>
      </c>
      <c r="K12" t="inlineStr"/>
    </row>
  </sheetData>
  <conditionalFormatting sqref="J6:J12">
    <cfRule type="cellIs" priority="1" operator="equal" dxfId="0">
      <formula>"rojo"</formula>
    </cfRule>
    <cfRule type="cellIs" priority="2" operator="equal" dxfId="1">
      <formula>"amarillo"</formula>
    </cfRule>
    <cfRule type="cellIs" priority="3" operator="equal" dxfId="2">
      <formula>"verde"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cuenca</t>
        </is>
      </c>
      <c r="C1" t="inlineStr">
        <is>
          <t>operadora</t>
        </is>
      </c>
      <c r="D1" t="inlineStr">
        <is>
          <t>tipo_recurso</t>
        </is>
      </c>
      <c r="E1" t="inlineStr">
        <is>
          <t>mes</t>
        </is>
      </c>
      <c r="F1" t="inlineStr">
        <is>
          <t>petroleo_m3</t>
        </is>
      </c>
      <c r="G1" t="inlineStr">
        <is>
          <t>agua_m3</t>
        </is>
      </c>
      <c r="H1" t="inlineStr">
        <is>
          <t>iny_agua_m3</t>
        </is>
      </c>
      <c r="I1" t="inlineStr">
        <is>
          <t>dias</t>
        </is>
      </c>
      <c r="J1" t="inlineStr">
        <is>
          <t>idx</t>
        </is>
      </c>
    </row>
    <row r="2">
      <c r="A2" t="inlineStr">
        <is>
          <t>El Corcobo Norte</t>
        </is>
      </c>
      <c r="B2" t="inlineStr">
        <is>
          <t>Neuquina</t>
        </is>
      </c>
      <c r="C2" t="inlineStr">
        <is>
          <t>PETRO ANDINA RESOURCES LTD.</t>
        </is>
      </c>
      <c r="D2" t="inlineStr">
        <is>
          <t>convencional</t>
        </is>
      </c>
      <c r="E2" t="inlineStr">
        <is>
          <t>2006-01</t>
        </is>
      </c>
      <c r="F2" t="n">
        <v>503.2</v>
      </c>
      <c r="G2" t="n">
        <v>2</v>
      </c>
      <c r="H2" t="n">
        <v>0</v>
      </c>
      <c r="I2">
        <f>DAY(EOMONTH(DATE(VALUE(LEFT(E2,4)),VALUE(RIGHT(E2,2)),1),0))</f>
        <v/>
      </c>
      <c r="J2">
        <f>VALUE(LEFT(E2,4))*12+VALUE(RIGHT(E2,2))-1</f>
        <v/>
      </c>
    </row>
    <row r="3">
      <c r="A3" t="inlineStr">
        <is>
          <t>El Corcobo Norte</t>
        </is>
      </c>
      <c r="B3" t="inlineStr">
        <is>
          <t>Neuquina</t>
        </is>
      </c>
      <c r="C3" t="inlineStr">
        <is>
          <t>PETRO ANDINA RESOURCES LTD.</t>
        </is>
      </c>
      <c r="D3" t="inlineStr">
        <is>
          <t>convencional</t>
        </is>
      </c>
      <c r="E3" t="inlineStr">
        <is>
          <t>2006-02</t>
        </is>
      </c>
      <c r="F3" t="n">
        <v>1388.5</v>
      </c>
      <c r="G3" t="n">
        <v>58.5</v>
      </c>
      <c r="H3" t="n">
        <v>0</v>
      </c>
      <c r="I3">
        <f>DAY(EOMONTH(DATE(VALUE(LEFT(E3,4)),VALUE(RIGHT(E3,2)),1),0))</f>
        <v/>
      </c>
      <c r="J3">
        <f>VALUE(LEFT(E3,4))*12+VALUE(RIGHT(E3,2))-1</f>
        <v/>
      </c>
    </row>
    <row r="4">
      <c r="A4" t="inlineStr">
        <is>
          <t>El Corcobo Norte</t>
        </is>
      </c>
      <c r="B4" t="inlineStr">
        <is>
          <t>Neuquina</t>
        </is>
      </c>
      <c r="C4" t="inlineStr">
        <is>
          <t>PETRO ANDINA RESOURCES LTD.</t>
        </is>
      </c>
      <c r="D4" t="inlineStr">
        <is>
          <t>convencional</t>
        </is>
      </c>
      <c r="E4" t="inlineStr">
        <is>
          <t>2006-03</t>
        </is>
      </c>
      <c r="F4" t="n">
        <v>2164.3</v>
      </c>
      <c r="G4" t="n">
        <v>55.6</v>
      </c>
      <c r="H4" t="n">
        <v>0</v>
      </c>
      <c r="I4">
        <f>DAY(EOMONTH(DATE(VALUE(LEFT(E4,4)),VALUE(RIGHT(E4,2)),1),0))</f>
        <v/>
      </c>
      <c r="J4">
        <f>VALUE(LEFT(E4,4))*12+VALUE(RIGHT(E4,2))-1</f>
        <v/>
      </c>
    </row>
    <row r="5">
      <c r="A5" t="inlineStr">
        <is>
          <t>El Corcobo Norte</t>
        </is>
      </c>
      <c r="B5" t="inlineStr">
        <is>
          <t>Neuquina</t>
        </is>
      </c>
      <c r="C5" t="inlineStr">
        <is>
          <t>PETRO ANDINA RESOURCES LTD.</t>
        </is>
      </c>
      <c r="D5" t="inlineStr">
        <is>
          <t>convencional</t>
        </is>
      </c>
      <c r="E5" t="inlineStr">
        <is>
          <t>2006-04</t>
        </is>
      </c>
      <c r="F5" t="n">
        <v>3353.8</v>
      </c>
      <c r="G5" t="n">
        <v>141.3</v>
      </c>
      <c r="H5" t="n">
        <v>0</v>
      </c>
      <c r="I5">
        <f>DAY(EOMONTH(DATE(VALUE(LEFT(E5,4)),VALUE(RIGHT(E5,2)),1),0))</f>
        <v/>
      </c>
      <c r="J5">
        <f>VALUE(LEFT(E5,4))*12+VALUE(RIGHT(E5,2))-1</f>
        <v/>
      </c>
    </row>
    <row r="6">
      <c r="A6" t="inlineStr">
        <is>
          <t>El Corcobo Norte</t>
        </is>
      </c>
      <c r="B6" t="inlineStr">
        <is>
          <t>Neuquina</t>
        </is>
      </c>
      <c r="C6" t="inlineStr">
        <is>
          <t>PETRO ANDINA RESOURCES LTD.</t>
        </is>
      </c>
      <c r="D6" t="inlineStr">
        <is>
          <t>convencional</t>
        </is>
      </c>
      <c r="E6" t="inlineStr">
        <is>
          <t>2006-05</t>
        </is>
      </c>
      <c r="F6" t="n">
        <v>4083.4</v>
      </c>
      <c r="G6" t="n">
        <v>499.8</v>
      </c>
      <c r="H6" t="n">
        <v>0</v>
      </c>
      <c r="I6">
        <f>DAY(EOMONTH(DATE(VALUE(LEFT(E6,4)),VALUE(RIGHT(E6,2)),1),0))</f>
        <v/>
      </c>
      <c r="J6">
        <f>VALUE(LEFT(E6,4))*12+VALUE(RIGHT(E6,2))-1</f>
        <v/>
      </c>
    </row>
    <row r="7">
      <c r="A7" t="inlineStr">
        <is>
          <t>El Corcobo Norte</t>
        </is>
      </c>
      <c r="B7" t="inlineStr">
        <is>
          <t>Neuquina</t>
        </is>
      </c>
      <c r="C7" t="inlineStr">
        <is>
          <t>PETRO ANDINA RESOURCES LTD.</t>
        </is>
      </c>
      <c r="D7" t="inlineStr">
        <is>
          <t>convencional</t>
        </is>
      </c>
      <c r="E7" t="inlineStr">
        <is>
          <t>2006-06</t>
        </is>
      </c>
      <c r="F7" t="n">
        <v>4941.3</v>
      </c>
      <c r="G7" t="n">
        <v>723.6</v>
      </c>
      <c r="H7" t="n">
        <v>0</v>
      </c>
      <c r="I7">
        <f>DAY(EOMONTH(DATE(VALUE(LEFT(E7,4)),VALUE(RIGHT(E7,2)),1),0))</f>
        <v/>
      </c>
      <c r="J7">
        <f>VALUE(LEFT(E7,4))*12+VALUE(RIGHT(E7,2))-1</f>
        <v/>
      </c>
    </row>
    <row r="8">
      <c r="A8" t="inlineStr">
        <is>
          <t>El Corcobo Norte</t>
        </is>
      </c>
      <c r="B8" t="inlineStr">
        <is>
          <t>Neuquina</t>
        </is>
      </c>
      <c r="C8" t="inlineStr">
        <is>
          <t>PETRO ANDINA RESOURCES LTD.</t>
        </is>
      </c>
      <c r="D8" t="inlineStr">
        <is>
          <t>convencional</t>
        </is>
      </c>
      <c r="E8" t="inlineStr">
        <is>
          <t>2006-07</t>
        </is>
      </c>
      <c r="F8" t="n">
        <v>5047.2</v>
      </c>
      <c r="G8" t="n">
        <v>1201.8</v>
      </c>
      <c r="H8" t="n">
        <v>0</v>
      </c>
      <c r="I8">
        <f>DAY(EOMONTH(DATE(VALUE(LEFT(E8,4)),VALUE(RIGHT(E8,2)),1),0))</f>
        <v/>
      </c>
      <c r="J8">
        <f>VALUE(LEFT(E8,4))*12+VALUE(RIGHT(E8,2))-1</f>
        <v/>
      </c>
    </row>
    <row r="9">
      <c r="A9" t="inlineStr">
        <is>
          <t>El Corcobo Norte</t>
        </is>
      </c>
      <c r="B9" t="inlineStr">
        <is>
          <t>Neuquina</t>
        </is>
      </c>
      <c r="C9" t="inlineStr">
        <is>
          <t>PETRO ANDINA RESOURCES LTD.</t>
        </is>
      </c>
      <c r="D9" t="inlineStr">
        <is>
          <t>convencional</t>
        </is>
      </c>
      <c r="E9" t="inlineStr">
        <is>
          <t>2006-08</t>
        </is>
      </c>
      <c r="F9" t="n">
        <v>6348.8</v>
      </c>
      <c r="G9" t="n">
        <v>1859.8</v>
      </c>
      <c r="H9" t="n">
        <v>0</v>
      </c>
      <c r="I9">
        <f>DAY(EOMONTH(DATE(VALUE(LEFT(E9,4)),VALUE(RIGHT(E9,2)),1),0))</f>
        <v/>
      </c>
      <c r="J9">
        <f>VALUE(LEFT(E9,4))*12+VALUE(RIGHT(E9,2))-1</f>
        <v/>
      </c>
    </row>
    <row r="10">
      <c r="A10" t="inlineStr">
        <is>
          <t>El Corcobo Norte</t>
        </is>
      </c>
      <c r="B10" t="inlineStr">
        <is>
          <t>Neuquina</t>
        </is>
      </c>
      <c r="C10" t="inlineStr">
        <is>
          <t>PETRO ANDINA RESOURCES LTD.</t>
        </is>
      </c>
      <c r="D10" t="inlineStr">
        <is>
          <t>convencional</t>
        </is>
      </c>
      <c r="E10" t="inlineStr">
        <is>
          <t>2006-09</t>
        </is>
      </c>
      <c r="F10" t="n">
        <v>10565.3</v>
      </c>
      <c r="G10" t="n">
        <v>2794.3</v>
      </c>
      <c r="H10" t="n">
        <v>0</v>
      </c>
      <c r="I10">
        <f>DAY(EOMONTH(DATE(VALUE(LEFT(E10,4)),VALUE(RIGHT(E10,2)),1),0))</f>
        <v/>
      </c>
      <c r="J10">
        <f>VALUE(LEFT(E10,4))*12+VALUE(RIGHT(E10,2))-1</f>
        <v/>
      </c>
    </row>
    <row r="11">
      <c r="A11" t="inlineStr">
        <is>
          <t>El Corcobo Norte</t>
        </is>
      </c>
      <c r="B11" t="inlineStr">
        <is>
          <t>Neuquina</t>
        </is>
      </c>
      <c r="C11" t="inlineStr">
        <is>
          <t>PETRO ANDINA RESOURCES LTD.</t>
        </is>
      </c>
      <c r="D11" t="inlineStr">
        <is>
          <t>convencional</t>
        </is>
      </c>
      <c r="E11" t="inlineStr">
        <is>
          <t>2006-10</t>
        </is>
      </c>
      <c r="F11" t="n">
        <v>17676.7</v>
      </c>
      <c r="G11" t="n">
        <v>4473.8</v>
      </c>
      <c r="H11" t="n">
        <v>0</v>
      </c>
      <c r="I11">
        <f>DAY(EOMONTH(DATE(VALUE(LEFT(E11,4)),VALUE(RIGHT(E11,2)),1),0))</f>
        <v/>
      </c>
      <c r="J11">
        <f>VALUE(LEFT(E11,4))*12+VALUE(RIGHT(E11,2))-1</f>
        <v/>
      </c>
    </row>
    <row r="12">
      <c r="A12" t="inlineStr">
        <is>
          <t>El Corcobo Norte</t>
        </is>
      </c>
      <c r="B12" t="inlineStr">
        <is>
          <t>Neuquina</t>
        </is>
      </c>
      <c r="C12" t="inlineStr">
        <is>
          <t>PETRO ANDINA RESOURCES LTD.</t>
        </is>
      </c>
      <c r="D12" t="inlineStr">
        <is>
          <t>convencional</t>
        </is>
      </c>
      <c r="E12" t="inlineStr">
        <is>
          <t>2006-11</t>
        </is>
      </c>
      <c r="F12" t="n">
        <v>18485</v>
      </c>
      <c r="G12" t="n">
        <v>7762.6</v>
      </c>
      <c r="H12" t="n">
        <v>0</v>
      </c>
      <c r="I12">
        <f>DAY(EOMONTH(DATE(VALUE(LEFT(E12,4)),VALUE(RIGHT(E12,2)),1),0))</f>
        <v/>
      </c>
      <c r="J12">
        <f>VALUE(LEFT(E12,4))*12+VALUE(RIGHT(E12,2))-1</f>
        <v/>
      </c>
    </row>
    <row r="13">
      <c r="A13" t="inlineStr">
        <is>
          <t>El Corcobo Norte</t>
        </is>
      </c>
      <c r="B13" t="inlineStr">
        <is>
          <t>Neuquina</t>
        </is>
      </c>
      <c r="C13" t="inlineStr">
        <is>
          <t>PETRO ANDINA RESOURCES LTD.</t>
        </is>
      </c>
      <c r="D13" t="inlineStr">
        <is>
          <t>convencional</t>
        </is>
      </c>
      <c r="E13" t="inlineStr">
        <is>
          <t>2006-12</t>
        </is>
      </c>
      <c r="F13" t="n">
        <v>20180.1</v>
      </c>
      <c r="G13" t="n">
        <v>8352.700000000001</v>
      </c>
      <c r="H13" t="n">
        <v>0</v>
      </c>
      <c r="I13">
        <f>DAY(EOMONTH(DATE(VALUE(LEFT(E13,4)),VALUE(RIGHT(E13,2)),1),0))</f>
        <v/>
      </c>
      <c r="J13">
        <f>VALUE(LEFT(E13,4))*12+VALUE(RIGHT(E13,2))-1</f>
        <v/>
      </c>
    </row>
    <row r="14">
      <c r="A14" t="inlineStr">
        <is>
          <t>El Corcobo Norte</t>
        </is>
      </c>
      <c r="B14" t="inlineStr">
        <is>
          <t>Neuquina</t>
        </is>
      </c>
      <c r="C14" t="inlineStr">
        <is>
          <t>PETRO ANDINA RESOURCES LTD.</t>
        </is>
      </c>
      <c r="D14" t="inlineStr">
        <is>
          <t>convencional</t>
        </is>
      </c>
      <c r="E14" t="inlineStr">
        <is>
          <t>2007-01</t>
        </is>
      </c>
      <c r="F14" t="n">
        <v>21859.2</v>
      </c>
      <c r="G14" t="n">
        <v>8607.299999999999</v>
      </c>
      <c r="H14" t="n">
        <v>0</v>
      </c>
      <c r="I14">
        <f>DAY(EOMONTH(DATE(VALUE(LEFT(E14,4)),VALUE(RIGHT(E14,2)),1),0))</f>
        <v/>
      </c>
      <c r="J14">
        <f>VALUE(LEFT(E14,4))*12+VALUE(RIGHT(E14,2))-1</f>
        <v/>
      </c>
    </row>
    <row r="15">
      <c r="A15" t="inlineStr">
        <is>
          <t>El Corcobo Norte</t>
        </is>
      </c>
      <c r="B15" t="inlineStr">
        <is>
          <t>Neuquina</t>
        </is>
      </c>
      <c r="C15" t="inlineStr">
        <is>
          <t>PETRO ANDINA RESOURCES LTD.</t>
        </is>
      </c>
      <c r="D15" t="inlineStr">
        <is>
          <t>convencional</t>
        </is>
      </c>
      <c r="E15" t="inlineStr">
        <is>
          <t>2007-02</t>
        </is>
      </c>
      <c r="F15" t="n">
        <v>21268.9</v>
      </c>
      <c r="G15" t="n">
        <v>6423.7</v>
      </c>
      <c r="H15" t="n">
        <v>0</v>
      </c>
      <c r="I15">
        <f>DAY(EOMONTH(DATE(VALUE(LEFT(E15,4)),VALUE(RIGHT(E15,2)),1),0))</f>
        <v/>
      </c>
      <c r="J15">
        <f>VALUE(LEFT(E15,4))*12+VALUE(RIGHT(E15,2))-1</f>
        <v/>
      </c>
    </row>
    <row r="16">
      <c r="A16" t="inlineStr">
        <is>
          <t>El Corcobo Norte</t>
        </is>
      </c>
      <c r="B16" t="inlineStr">
        <is>
          <t>Neuquina</t>
        </is>
      </c>
      <c r="C16" t="inlineStr">
        <is>
          <t>PETRO ANDINA RESOURCES LTD.</t>
        </is>
      </c>
      <c r="D16" t="inlineStr">
        <is>
          <t>convencional</t>
        </is>
      </c>
      <c r="E16" t="inlineStr">
        <is>
          <t>2007-03</t>
        </is>
      </c>
      <c r="F16" t="n">
        <v>27321.2</v>
      </c>
      <c r="G16" t="n">
        <v>4280.9</v>
      </c>
      <c r="H16" t="n">
        <v>0</v>
      </c>
      <c r="I16">
        <f>DAY(EOMONTH(DATE(VALUE(LEFT(E16,4)),VALUE(RIGHT(E16,2)),1),0))</f>
        <v/>
      </c>
      <c r="J16">
        <f>VALUE(LEFT(E16,4))*12+VALUE(RIGHT(E16,2))-1</f>
        <v/>
      </c>
    </row>
    <row r="17">
      <c r="A17" t="inlineStr">
        <is>
          <t>El Corcobo Norte</t>
        </is>
      </c>
      <c r="B17" t="inlineStr">
        <is>
          <t>Neuquina</t>
        </is>
      </c>
      <c r="C17" t="inlineStr">
        <is>
          <t>PETRO ANDINA RESOURCES LTD.</t>
        </is>
      </c>
      <c r="D17" t="inlineStr">
        <is>
          <t>convencional</t>
        </is>
      </c>
      <c r="E17" t="inlineStr">
        <is>
          <t>2007-04</t>
        </is>
      </c>
      <c r="F17" t="n">
        <v>40124.5</v>
      </c>
      <c r="G17" t="n">
        <v>4300.7</v>
      </c>
      <c r="H17" t="n">
        <v>0</v>
      </c>
      <c r="I17">
        <f>DAY(EOMONTH(DATE(VALUE(LEFT(E17,4)),VALUE(RIGHT(E17,2)),1),0))</f>
        <v/>
      </c>
      <c r="J17">
        <f>VALUE(LEFT(E17,4))*12+VALUE(RIGHT(E17,2))-1</f>
        <v/>
      </c>
    </row>
    <row r="18">
      <c r="A18" t="inlineStr">
        <is>
          <t>El Corcobo Norte</t>
        </is>
      </c>
      <c r="B18" t="inlineStr">
        <is>
          <t>Neuquina</t>
        </is>
      </c>
      <c r="C18" t="inlineStr">
        <is>
          <t>PETRO ANDINA RESOURCES LTD.</t>
        </is>
      </c>
      <c r="D18" t="inlineStr">
        <is>
          <t>convencional</t>
        </is>
      </c>
      <c r="E18" t="inlineStr">
        <is>
          <t>2007-05</t>
        </is>
      </c>
      <c r="F18" t="n">
        <v>43430.8</v>
      </c>
      <c r="G18" t="n">
        <v>7074.2</v>
      </c>
      <c r="H18" t="n">
        <v>0</v>
      </c>
      <c r="I18">
        <f>DAY(EOMONTH(DATE(VALUE(LEFT(E18,4)),VALUE(RIGHT(E18,2)),1),0))</f>
        <v/>
      </c>
      <c r="J18">
        <f>VALUE(LEFT(E18,4))*12+VALUE(RIGHT(E18,2))-1</f>
        <v/>
      </c>
    </row>
    <row r="19">
      <c r="A19" t="inlineStr">
        <is>
          <t>El Corcobo Norte</t>
        </is>
      </c>
      <c r="B19" t="inlineStr">
        <is>
          <t>Neuquina</t>
        </is>
      </c>
      <c r="C19" t="inlineStr">
        <is>
          <t>PETRO ANDINA RESOURCES LTD.</t>
        </is>
      </c>
      <c r="D19" t="inlineStr">
        <is>
          <t>convencional</t>
        </is>
      </c>
      <c r="E19" t="inlineStr">
        <is>
          <t>2007-06</t>
        </is>
      </c>
      <c r="F19" t="n">
        <v>40820.7</v>
      </c>
      <c r="G19" t="n">
        <v>6286.9</v>
      </c>
      <c r="H19" t="n">
        <v>0</v>
      </c>
      <c r="I19">
        <f>DAY(EOMONTH(DATE(VALUE(LEFT(E19,4)),VALUE(RIGHT(E19,2)),1),0))</f>
        <v/>
      </c>
      <c r="J19">
        <f>VALUE(LEFT(E19,4))*12+VALUE(RIGHT(E19,2))-1</f>
        <v/>
      </c>
    </row>
    <row r="20">
      <c r="A20" t="inlineStr">
        <is>
          <t>El Corcobo Norte</t>
        </is>
      </c>
      <c r="B20" t="inlineStr">
        <is>
          <t>Neuquina</t>
        </is>
      </c>
      <c r="C20" t="inlineStr">
        <is>
          <t>PETRO ANDINA RESOURCES LTD.</t>
        </is>
      </c>
      <c r="D20" t="inlineStr">
        <is>
          <t>convencional</t>
        </is>
      </c>
      <c r="E20" t="inlineStr">
        <is>
          <t>2007-07</t>
        </is>
      </c>
      <c r="F20" t="n">
        <v>39897</v>
      </c>
      <c r="G20" t="n">
        <v>7345.5</v>
      </c>
      <c r="H20" t="n">
        <v>3663.3</v>
      </c>
      <c r="I20">
        <f>DAY(EOMONTH(DATE(VALUE(LEFT(E20,4)),VALUE(RIGHT(E20,2)),1),0))</f>
        <v/>
      </c>
      <c r="J20">
        <f>VALUE(LEFT(E20,4))*12+VALUE(RIGHT(E20,2))-1</f>
        <v/>
      </c>
    </row>
    <row r="21">
      <c r="A21" t="inlineStr">
        <is>
          <t>El Corcobo Norte</t>
        </is>
      </c>
      <c r="B21" t="inlineStr">
        <is>
          <t>Neuquina</t>
        </is>
      </c>
      <c r="C21" t="inlineStr">
        <is>
          <t>PETRO ANDINA RESOURCES LTD.</t>
        </is>
      </c>
      <c r="D21" t="inlineStr">
        <is>
          <t>convencional</t>
        </is>
      </c>
      <c r="E21" t="inlineStr">
        <is>
          <t>2007-08</t>
        </is>
      </c>
      <c r="F21" t="n">
        <v>49000.4</v>
      </c>
      <c r="G21" t="n">
        <v>8975.700000000001</v>
      </c>
      <c r="H21" t="n">
        <v>6458.5</v>
      </c>
      <c r="I21">
        <f>DAY(EOMONTH(DATE(VALUE(LEFT(E21,4)),VALUE(RIGHT(E21,2)),1),0))</f>
        <v/>
      </c>
      <c r="J21">
        <f>VALUE(LEFT(E21,4))*12+VALUE(RIGHT(E21,2))-1</f>
        <v/>
      </c>
    </row>
    <row r="22">
      <c r="A22" t="inlineStr">
        <is>
          <t>El Corcobo Norte</t>
        </is>
      </c>
      <c r="B22" t="inlineStr">
        <is>
          <t>Neuquina</t>
        </is>
      </c>
      <c r="C22" t="inlineStr">
        <is>
          <t>PETRO ANDINA RESOURCES LTD.</t>
        </is>
      </c>
      <c r="D22" t="inlineStr">
        <is>
          <t>convencional</t>
        </is>
      </c>
      <c r="E22" t="inlineStr">
        <is>
          <t>2007-09</t>
        </is>
      </c>
      <c r="F22" t="n">
        <v>53980.9</v>
      </c>
      <c r="G22" t="n">
        <v>10270.1</v>
      </c>
      <c r="H22" t="n">
        <v>8801.9</v>
      </c>
      <c r="I22">
        <f>DAY(EOMONTH(DATE(VALUE(LEFT(E22,4)),VALUE(RIGHT(E22,2)),1),0))</f>
        <v/>
      </c>
      <c r="J22">
        <f>VALUE(LEFT(E22,4))*12+VALUE(RIGHT(E22,2))-1</f>
        <v/>
      </c>
    </row>
    <row r="23">
      <c r="A23" t="inlineStr">
        <is>
          <t>El Corcobo Norte</t>
        </is>
      </c>
      <c r="B23" t="inlineStr">
        <is>
          <t>Neuquina</t>
        </is>
      </c>
      <c r="C23" t="inlineStr">
        <is>
          <t>PETRO ANDINA RESOURCES LTD.</t>
        </is>
      </c>
      <c r="D23" t="inlineStr">
        <is>
          <t>convencional</t>
        </is>
      </c>
      <c r="E23" t="inlineStr">
        <is>
          <t>2007-10</t>
        </is>
      </c>
      <c r="F23" t="n">
        <v>52920.6</v>
      </c>
      <c r="G23" t="n">
        <v>15152.8</v>
      </c>
      <c r="H23" t="n">
        <v>11782.8</v>
      </c>
      <c r="I23">
        <f>DAY(EOMONTH(DATE(VALUE(LEFT(E23,4)),VALUE(RIGHT(E23,2)),1),0))</f>
        <v/>
      </c>
      <c r="J23">
        <f>VALUE(LEFT(E23,4))*12+VALUE(RIGHT(E23,2))-1</f>
        <v/>
      </c>
    </row>
    <row r="24">
      <c r="A24" t="inlineStr">
        <is>
          <t>El Corcobo Norte</t>
        </is>
      </c>
      <c r="B24" t="inlineStr">
        <is>
          <t>Neuquina</t>
        </is>
      </c>
      <c r="C24" t="inlineStr">
        <is>
          <t>PETRO ANDINA RESOURCES LTD.</t>
        </is>
      </c>
      <c r="D24" t="inlineStr">
        <is>
          <t>convencional</t>
        </is>
      </c>
      <c r="E24" t="inlineStr">
        <is>
          <t>2007-11</t>
        </is>
      </c>
      <c r="F24" t="n">
        <v>54989.1</v>
      </c>
      <c r="G24" t="n">
        <v>18073.7</v>
      </c>
      <c r="H24" t="n">
        <v>19932.4</v>
      </c>
      <c r="I24">
        <f>DAY(EOMONTH(DATE(VALUE(LEFT(E24,4)),VALUE(RIGHT(E24,2)),1),0))</f>
        <v/>
      </c>
      <c r="J24">
        <f>VALUE(LEFT(E24,4))*12+VALUE(RIGHT(E24,2))-1</f>
        <v/>
      </c>
    </row>
    <row r="25">
      <c r="A25" t="inlineStr">
        <is>
          <t>El Corcobo Norte</t>
        </is>
      </c>
      <c r="B25" t="inlineStr">
        <is>
          <t>Neuquina</t>
        </is>
      </c>
      <c r="C25" t="inlineStr">
        <is>
          <t>PETRO ANDINA RESOURCES LTD.</t>
        </is>
      </c>
      <c r="D25" t="inlineStr">
        <is>
          <t>convencional</t>
        </is>
      </c>
      <c r="E25" t="inlineStr">
        <is>
          <t>2007-12</t>
        </is>
      </c>
      <c r="F25" t="n">
        <v>64081.3</v>
      </c>
      <c r="G25" t="n">
        <v>20169</v>
      </c>
      <c r="H25" t="n">
        <v>23631.3</v>
      </c>
      <c r="I25">
        <f>DAY(EOMONTH(DATE(VALUE(LEFT(E25,4)),VALUE(RIGHT(E25,2)),1),0))</f>
        <v/>
      </c>
      <c r="J25">
        <f>VALUE(LEFT(E25,4))*12+VALUE(RIGHT(E25,2))-1</f>
        <v/>
      </c>
    </row>
    <row r="26">
      <c r="A26" t="inlineStr">
        <is>
          <t>El Corcobo Norte</t>
        </is>
      </c>
      <c r="B26" t="inlineStr">
        <is>
          <t>Neuquina</t>
        </is>
      </c>
      <c r="C26" t="inlineStr">
        <is>
          <t>PETRO ANDINA RESOURCES LTD.</t>
        </is>
      </c>
      <c r="D26" t="inlineStr">
        <is>
          <t>convencional</t>
        </is>
      </c>
      <c r="E26" t="inlineStr">
        <is>
          <t>2008-01</t>
        </is>
      </c>
      <c r="F26" t="n">
        <v>67418.10000000001</v>
      </c>
      <c r="G26" t="n">
        <v>19175.6</v>
      </c>
      <c r="H26" t="n">
        <v>35139</v>
      </c>
      <c r="I26">
        <f>DAY(EOMONTH(DATE(VALUE(LEFT(E26,4)),VALUE(RIGHT(E26,2)),1),0))</f>
        <v/>
      </c>
      <c r="J26">
        <f>VALUE(LEFT(E26,4))*12+VALUE(RIGHT(E26,2))-1</f>
        <v/>
      </c>
    </row>
    <row r="27">
      <c r="A27" t="inlineStr">
        <is>
          <t>El Corcobo Norte</t>
        </is>
      </c>
      <c r="B27" t="inlineStr">
        <is>
          <t>Neuquina</t>
        </is>
      </c>
      <c r="C27" t="inlineStr">
        <is>
          <t>PETRO ANDINA RESOURCES LTD.</t>
        </is>
      </c>
      <c r="D27" t="inlineStr">
        <is>
          <t>convencional</t>
        </is>
      </c>
      <c r="E27" t="inlineStr">
        <is>
          <t>2008-02</t>
        </is>
      </c>
      <c r="F27" t="n">
        <v>69951.8</v>
      </c>
      <c r="G27" t="n">
        <v>19642.4</v>
      </c>
      <c r="H27" t="n">
        <v>57015.6</v>
      </c>
      <c r="I27">
        <f>DAY(EOMONTH(DATE(VALUE(LEFT(E27,4)),VALUE(RIGHT(E27,2)),1),0))</f>
        <v/>
      </c>
      <c r="J27">
        <f>VALUE(LEFT(E27,4))*12+VALUE(RIGHT(E27,2))-1</f>
        <v/>
      </c>
    </row>
    <row r="28">
      <c r="A28" t="inlineStr">
        <is>
          <t>El Corcobo Norte</t>
        </is>
      </c>
      <c r="B28" t="inlineStr">
        <is>
          <t>Neuquina</t>
        </is>
      </c>
      <c r="C28" t="inlineStr">
        <is>
          <t>PETRO ANDINA RESOURCES LTD.</t>
        </is>
      </c>
      <c r="D28" t="inlineStr">
        <is>
          <t>convencional</t>
        </is>
      </c>
      <c r="E28" t="inlineStr">
        <is>
          <t>2008-03</t>
        </is>
      </c>
      <c r="F28" t="n">
        <v>84148.7</v>
      </c>
      <c r="G28" t="n">
        <v>27462.8</v>
      </c>
      <c r="H28" t="n">
        <v>74727.5</v>
      </c>
      <c r="I28">
        <f>DAY(EOMONTH(DATE(VALUE(LEFT(E28,4)),VALUE(RIGHT(E28,2)),1),0))</f>
        <v/>
      </c>
      <c r="J28">
        <f>VALUE(LEFT(E28,4))*12+VALUE(RIGHT(E28,2))-1</f>
        <v/>
      </c>
    </row>
    <row r="29">
      <c r="A29" t="inlineStr">
        <is>
          <t>El Corcobo Norte</t>
        </is>
      </c>
      <c r="B29" t="inlineStr">
        <is>
          <t>Neuquina</t>
        </is>
      </c>
      <c r="C29" t="inlineStr">
        <is>
          <t>PETRO ANDINA RESOURCES LTD.</t>
        </is>
      </c>
      <c r="D29" t="inlineStr">
        <is>
          <t>convencional</t>
        </is>
      </c>
      <c r="E29" t="inlineStr">
        <is>
          <t>2008-04</t>
        </is>
      </c>
      <c r="F29" t="n">
        <v>87808.8</v>
      </c>
      <c r="G29" t="n">
        <v>30314.5</v>
      </c>
      <c r="H29" t="n">
        <v>79480.7</v>
      </c>
      <c r="I29">
        <f>DAY(EOMONTH(DATE(VALUE(LEFT(E29,4)),VALUE(RIGHT(E29,2)),1),0))</f>
        <v/>
      </c>
      <c r="J29">
        <f>VALUE(LEFT(E29,4))*12+VALUE(RIGHT(E29,2))-1</f>
        <v/>
      </c>
    </row>
    <row r="30">
      <c r="A30" t="inlineStr">
        <is>
          <t>El Corcobo Norte</t>
        </is>
      </c>
      <c r="B30" t="inlineStr">
        <is>
          <t>Neuquina</t>
        </is>
      </c>
      <c r="C30" t="inlineStr">
        <is>
          <t>PETRO ANDINA RESOURCES LTD.</t>
        </is>
      </c>
      <c r="D30" t="inlineStr">
        <is>
          <t>convencional</t>
        </is>
      </c>
      <c r="E30" t="inlineStr">
        <is>
          <t>2008-05</t>
        </is>
      </c>
      <c r="F30" t="n">
        <v>88429</v>
      </c>
      <c r="G30" t="n">
        <v>30161.3</v>
      </c>
      <c r="H30" t="n">
        <v>82305.7</v>
      </c>
      <c r="I30">
        <f>DAY(EOMONTH(DATE(VALUE(LEFT(E30,4)),VALUE(RIGHT(E30,2)),1),0))</f>
        <v/>
      </c>
      <c r="J30">
        <f>VALUE(LEFT(E30,4))*12+VALUE(RIGHT(E30,2))-1</f>
        <v/>
      </c>
    </row>
    <row r="31">
      <c r="A31" t="inlineStr">
        <is>
          <t>El Corcobo Norte</t>
        </is>
      </c>
      <c r="B31" t="inlineStr">
        <is>
          <t>Neuquina</t>
        </is>
      </c>
      <c r="C31" t="inlineStr">
        <is>
          <t>PETRO ANDINA RESOURCES LTD.</t>
        </is>
      </c>
      <c r="D31" t="inlineStr">
        <is>
          <t>convencional</t>
        </is>
      </c>
      <c r="E31" t="inlineStr">
        <is>
          <t>2008-06</t>
        </is>
      </c>
      <c r="F31" t="n">
        <v>88268.2</v>
      </c>
      <c r="G31" t="n">
        <v>33077.8</v>
      </c>
      <c r="H31" t="n">
        <v>75329.5</v>
      </c>
      <c r="I31">
        <f>DAY(EOMONTH(DATE(VALUE(LEFT(E31,4)),VALUE(RIGHT(E31,2)),1),0))</f>
        <v/>
      </c>
      <c r="J31">
        <f>VALUE(LEFT(E31,4))*12+VALUE(RIGHT(E31,2))-1</f>
        <v/>
      </c>
    </row>
    <row r="32">
      <c r="A32" t="inlineStr">
        <is>
          <t>El Corcobo Norte</t>
        </is>
      </c>
      <c r="B32" t="inlineStr">
        <is>
          <t>Neuquina</t>
        </is>
      </c>
      <c r="C32" t="inlineStr">
        <is>
          <t>PETRO ANDINA RESOURCES LTD.</t>
        </is>
      </c>
      <c r="D32" t="inlineStr">
        <is>
          <t>convencional</t>
        </is>
      </c>
      <c r="E32" t="inlineStr">
        <is>
          <t>2008-07</t>
        </is>
      </c>
      <c r="F32" t="n">
        <v>95921.10000000001</v>
      </c>
      <c r="G32" t="n">
        <v>39045.7</v>
      </c>
      <c r="H32" t="n">
        <v>85810.8</v>
      </c>
      <c r="I32">
        <f>DAY(EOMONTH(DATE(VALUE(LEFT(E32,4)),VALUE(RIGHT(E32,2)),1),0))</f>
        <v/>
      </c>
      <c r="J32">
        <f>VALUE(LEFT(E32,4))*12+VALUE(RIGHT(E32,2))-1</f>
        <v/>
      </c>
    </row>
    <row r="33">
      <c r="A33" t="inlineStr">
        <is>
          <t>El Corcobo Norte</t>
        </is>
      </c>
      <c r="B33" t="inlineStr">
        <is>
          <t>Neuquina</t>
        </is>
      </c>
      <c r="C33" t="inlineStr">
        <is>
          <t>PETRO ANDINA RESOURCES LTD.</t>
        </is>
      </c>
      <c r="D33" t="inlineStr">
        <is>
          <t>convencional</t>
        </is>
      </c>
      <c r="E33" t="inlineStr">
        <is>
          <t>2008-08</t>
        </is>
      </c>
      <c r="F33" t="n">
        <v>100577.1</v>
      </c>
      <c r="G33" t="n">
        <v>51472.1</v>
      </c>
      <c r="H33" t="n">
        <v>104185</v>
      </c>
      <c r="I33">
        <f>DAY(EOMONTH(DATE(VALUE(LEFT(E33,4)),VALUE(RIGHT(E33,2)),1),0))</f>
        <v/>
      </c>
      <c r="J33">
        <f>VALUE(LEFT(E33,4))*12+VALUE(RIGHT(E33,2))-1</f>
        <v/>
      </c>
    </row>
    <row r="34">
      <c r="A34" t="inlineStr">
        <is>
          <t>El Corcobo Norte</t>
        </is>
      </c>
      <c r="B34" t="inlineStr">
        <is>
          <t>Neuquina</t>
        </is>
      </c>
      <c r="C34" t="inlineStr">
        <is>
          <t>PETRO ANDINA RESOURCES LTD.</t>
        </is>
      </c>
      <c r="D34" t="inlineStr">
        <is>
          <t>convencional</t>
        </is>
      </c>
      <c r="E34" t="inlineStr">
        <is>
          <t>2008-09</t>
        </is>
      </c>
      <c r="F34" t="n">
        <v>100929.8</v>
      </c>
      <c r="G34" t="n">
        <v>56911.7</v>
      </c>
      <c r="H34" t="n">
        <v>110762.1</v>
      </c>
      <c r="I34">
        <f>DAY(EOMONTH(DATE(VALUE(LEFT(E34,4)),VALUE(RIGHT(E34,2)),1),0))</f>
        <v/>
      </c>
      <c r="J34">
        <f>VALUE(LEFT(E34,4))*12+VALUE(RIGHT(E34,2))-1</f>
        <v/>
      </c>
    </row>
    <row r="35">
      <c r="A35" t="inlineStr">
        <is>
          <t>El Corcobo Norte</t>
        </is>
      </c>
      <c r="B35" t="inlineStr">
        <is>
          <t>Neuquina</t>
        </is>
      </c>
      <c r="C35" t="inlineStr">
        <is>
          <t>PETRO ANDINA RESOURCES LTD.</t>
        </is>
      </c>
      <c r="D35" t="inlineStr">
        <is>
          <t>convencional</t>
        </is>
      </c>
      <c r="E35" t="inlineStr">
        <is>
          <t>2008-10</t>
        </is>
      </c>
      <c r="F35" t="n">
        <v>109723.1</v>
      </c>
      <c r="G35" t="n">
        <v>64490.5</v>
      </c>
      <c r="H35" t="n">
        <v>138218.4</v>
      </c>
      <c r="I35">
        <f>DAY(EOMONTH(DATE(VALUE(LEFT(E35,4)),VALUE(RIGHT(E35,2)),1),0))</f>
        <v/>
      </c>
      <c r="J35">
        <f>VALUE(LEFT(E35,4))*12+VALUE(RIGHT(E35,2))-1</f>
        <v/>
      </c>
    </row>
    <row r="36">
      <c r="A36" t="inlineStr">
        <is>
          <t>El Corcobo Norte</t>
        </is>
      </c>
      <c r="B36" t="inlineStr">
        <is>
          <t>Neuquina</t>
        </is>
      </c>
      <c r="C36" t="inlineStr">
        <is>
          <t>PETRO ANDINA RESOURCES LTD.</t>
        </is>
      </c>
      <c r="D36" t="inlineStr">
        <is>
          <t>convencional</t>
        </is>
      </c>
      <c r="E36" t="inlineStr">
        <is>
          <t>2008-11</t>
        </is>
      </c>
      <c r="F36" t="n">
        <v>105153.9</v>
      </c>
      <c r="G36" t="n">
        <v>76694</v>
      </c>
      <c r="H36" t="n">
        <v>160035.8</v>
      </c>
      <c r="I36">
        <f>DAY(EOMONTH(DATE(VALUE(LEFT(E36,4)),VALUE(RIGHT(E36,2)),1),0))</f>
        <v/>
      </c>
      <c r="J36">
        <f>VALUE(LEFT(E36,4))*12+VALUE(RIGHT(E36,2))-1</f>
        <v/>
      </c>
    </row>
    <row r="37">
      <c r="A37" t="inlineStr">
        <is>
          <t>El Corcobo Norte</t>
        </is>
      </c>
      <c r="B37" t="inlineStr">
        <is>
          <t>Neuquina</t>
        </is>
      </c>
      <c r="C37" t="inlineStr">
        <is>
          <t>PETRO ANDINA RESOURCES LTD.</t>
        </is>
      </c>
      <c r="D37" t="inlineStr">
        <is>
          <t>convencional</t>
        </is>
      </c>
      <c r="E37" t="inlineStr">
        <is>
          <t>2008-12</t>
        </is>
      </c>
      <c r="F37" t="n">
        <v>101619.5</v>
      </c>
      <c r="G37" t="n">
        <v>90740.60000000001</v>
      </c>
      <c r="H37" t="n">
        <v>147987.5</v>
      </c>
      <c r="I37">
        <f>DAY(EOMONTH(DATE(VALUE(LEFT(E37,4)),VALUE(RIGHT(E37,2)),1),0))</f>
        <v/>
      </c>
      <c r="J37">
        <f>VALUE(LEFT(E37,4))*12+VALUE(RIGHT(E37,2))-1</f>
        <v/>
      </c>
    </row>
    <row r="38">
      <c r="A38" t="inlineStr">
        <is>
          <t>El Corcobo Norte</t>
        </is>
      </c>
      <c r="B38" t="inlineStr">
        <is>
          <t>Neuquina</t>
        </is>
      </c>
      <c r="C38" t="inlineStr">
        <is>
          <t>PETRO ANDINA RESOURCES LTD.</t>
        </is>
      </c>
      <c r="D38" t="inlineStr">
        <is>
          <t>convencional</t>
        </is>
      </c>
      <c r="E38" t="inlineStr">
        <is>
          <t>2009-01</t>
        </is>
      </c>
      <c r="F38" t="n">
        <v>96533</v>
      </c>
      <c r="G38" t="n">
        <v>80023.89999999999</v>
      </c>
      <c r="H38" t="n">
        <v>133630.2</v>
      </c>
      <c r="I38">
        <f>DAY(EOMONTH(DATE(VALUE(LEFT(E38,4)),VALUE(RIGHT(E38,2)),1),0))</f>
        <v/>
      </c>
      <c r="J38">
        <f>VALUE(LEFT(E38,4))*12+VALUE(RIGHT(E38,2))-1</f>
        <v/>
      </c>
    </row>
    <row r="39">
      <c r="A39" t="inlineStr">
        <is>
          <t>El Corcobo Norte</t>
        </is>
      </c>
      <c r="B39" t="inlineStr">
        <is>
          <t>Neuquina</t>
        </is>
      </c>
      <c r="C39" t="inlineStr">
        <is>
          <t>PETRO ANDINA RESOURCES LTD.</t>
        </is>
      </c>
      <c r="D39" t="inlineStr">
        <is>
          <t>convencional</t>
        </is>
      </c>
      <c r="E39" t="inlineStr">
        <is>
          <t>2009-02</t>
        </is>
      </c>
      <c r="F39" t="n">
        <v>88661.89999999999</v>
      </c>
      <c r="G39" t="n">
        <v>64800.7</v>
      </c>
      <c r="H39" t="n">
        <v>122889.7</v>
      </c>
      <c r="I39">
        <f>DAY(EOMONTH(DATE(VALUE(LEFT(E39,4)),VALUE(RIGHT(E39,2)),1),0))</f>
        <v/>
      </c>
      <c r="J39">
        <f>VALUE(LEFT(E39,4))*12+VALUE(RIGHT(E39,2))-1</f>
        <v/>
      </c>
    </row>
    <row r="40">
      <c r="A40" t="inlineStr">
        <is>
          <t>El Corcobo Norte</t>
        </is>
      </c>
      <c r="B40" t="inlineStr">
        <is>
          <t>Neuquina</t>
        </is>
      </c>
      <c r="C40" t="inlineStr">
        <is>
          <t>PETRO ANDINA RESOURCES LTD.</t>
        </is>
      </c>
      <c r="D40" t="inlineStr">
        <is>
          <t>convencional</t>
        </is>
      </c>
      <c r="E40" t="inlineStr">
        <is>
          <t>2009-03</t>
        </is>
      </c>
      <c r="F40" t="n">
        <v>97810.39999999999</v>
      </c>
      <c r="G40" t="n">
        <v>79037.3</v>
      </c>
      <c r="H40" t="n">
        <v>140534.3</v>
      </c>
      <c r="I40">
        <f>DAY(EOMONTH(DATE(VALUE(LEFT(E40,4)),VALUE(RIGHT(E40,2)),1),0))</f>
        <v/>
      </c>
      <c r="J40">
        <f>VALUE(LEFT(E40,4))*12+VALUE(RIGHT(E40,2))-1</f>
        <v/>
      </c>
    </row>
    <row r="41">
      <c r="A41" t="inlineStr">
        <is>
          <t>El Corcobo Norte</t>
        </is>
      </c>
      <c r="B41" t="inlineStr">
        <is>
          <t>Neuquina</t>
        </is>
      </c>
      <c r="C41" t="inlineStr">
        <is>
          <t>PETRO ANDINA RESOURCES LTD.</t>
        </is>
      </c>
      <c r="D41" t="inlineStr">
        <is>
          <t>convencional</t>
        </is>
      </c>
      <c r="E41" t="inlineStr">
        <is>
          <t>2009-04</t>
        </is>
      </c>
      <c r="F41" t="n">
        <v>92028.7</v>
      </c>
      <c r="G41" t="n">
        <v>86862.89999999999</v>
      </c>
      <c r="H41" t="n">
        <v>132464.1</v>
      </c>
      <c r="I41">
        <f>DAY(EOMONTH(DATE(VALUE(LEFT(E41,4)),VALUE(RIGHT(E41,2)),1),0))</f>
        <v/>
      </c>
      <c r="J41">
        <f>VALUE(LEFT(E41,4))*12+VALUE(RIGHT(E41,2))-1</f>
        <v/>
      </c>
    </row>
    <row r="42">
      <c r="A42" t="inlineStr">
        <is>
          <t>El Corcobo Norte</t>
        </is>
      </c>
      <c r="B42" t="inlineStr">
        <is>
          <t>Neuquina</t>
        </is>
      </c>
      <c r="C42" t="inlineStr">
        <is>
          <t>PETRO ANDINA RESOURCES LTD.</t>
        </is>
      </c>
      <c r="D42" t="inlineStr">
        <is>
          <t>convencional</t>
        </is>
      </c>
      <c r="E42" t="inlineStr">
        <is>
          <t>2009-05</t>
        </is>
      </c>
      <c r="F42" t="n">
        <v>91866.8</v>
      </c>
      <c r="G42" t="n">
        <v>88524.10000000001</v>
      </c>
      <c r="H42" t="n">
        <v>139720.1</v>
      </c>
      <c r="I42">
        <f>DAY(EOMONTH(DATE(VALUE(LEFT(E42,4)),VALUE(RIGHT(E42,2)),1),0))</f>
        <v/>
      </c>
      <c r="J42">
        <f>VALUE(LEFT(E42,4))*12+VALUE(RIGHT(E42,2))-1</f>
        <v/>
      </c>
    </row>
    <row r="43">
      <c r="A43" t="inlineStr">
        <is>
          <t>El Corcobo Norte</t>
        </is>
      </c>
      <c r="B43" t="inlineStr">
        <is>
          <t>Neuquina</t>
        </is>
      </c>
      <c r="C43" t="inlineStr">
        <is>
          <t>PETRO ANDINA RESOURCES LTD.</t>
        </is>
      </c>
      <c r="D43" t="inlineStr">
        <is>
          <t>convencional</t>
        </is>
      </c>
      <c r="E43" t="inlineStr">
        <is>
          <t>2009-06</t>
        </is>
      </c>
      <c r="F43" t="n">
        <v>90800.2</v>
      </c>
      <c r="G43" t="n">
        <v>86590.60000000001</v>
      </c>
      <c r="H43" t="n">
        <v>171419</v>
      </c>
      <c r="I43">
        <f>DAY(EOMONTH(DATE(VALUE(LEFT(E43,4)),VALUE(RIGHT(E43,2)),1),0))</f>
        <v/>
      </c>
      <c r="J43">
        <f>VALUE(LEFT(E43,4))*12+VALUE(RIGHT(E43,2))-1</f>
        <v/>
      </c>
    </row>
    <row r="44">
      <c r="A44" t="inlineStr">
        <is>
          <t>El Corcobo Norte</t>
        </is>
      </c>
      <c r="B44" t="inlineStr">
        <is>
          <t>Neuquina</t>
        </is>
      </c>
      <c r="C44" t="inlineStr">
        <is>
          <t>PETRO ANDINA RESOURCES LTD.</t>
        </is>
      </c>
      <c r="D44" t="inlineStr">
        <is>
          <t>convencional</t>
        </is>
      </c>
      <c r="E44" t="inlineStr">
        <is>
          <t>2009-07</t>
        </is>
      </c>
      <c r="F44" t="n">
        <v>92927.39999999999</v>
      </c>
      <c r="G44" t="n">
        <v>102916.5</v>
      </c>
      <c r="H44" t="n">
        <v>193357.1</v>
      </c>
      <c r="I44">
        <f>DAY(EOMONTH(DATE(VALUE(LEFT(E44,4)),VALUE(RIGHT(E44,2)),1),0))</f>
        <v/>
      </c>
      <c r="J44">
        <f>VALUE(LEFT(E44,4))*12+VALUE(RIGHT(E44,2))-1</f>
        <v/>
      </c>
    </row>
    <row r="45">
      <c r="A45" t="inlineStr">
        <is>
          <t>El Corcobo Norte</t>
        </is>
      </c>
      <c r="B45" t="inlineStr">
        <is>
          <t>Neuquina</t>
        </is>
      </c>
      <c r="C45" t="inlineStr">
        <is>
          <t>PETRO ANDINA RESOURCES LTD.</t>
        </is>
      </c>
      <c r="D45" t="inlineStr">
        <is>
          <t>convencional</t>
        </is>
      </c>
      <c r="E45" t="inlineStr">
        <is>
          <t>2009-08</t>
        </is>
      </c>
      <c r="F45" t="n">
        <v>92495</v>
      </c>
      <c r="G45" t="n">
        <v>115635.2</v>
      </c>
      <c r="H45" t="n">
        <v>195244</v>
      </c>
      <c r="I45">
        <f>DAY(EOMONTH(DATE(VALUE(LEFT(E45,4)),VALUE(RIGHT(E45,2)),1),0))</f>
        <v/>
      </c>
      <c r="J45">
        <f>VALUE(LEFT(E45,4))*12+VALUE(RIGHT(E45,2))-1</f>
        <v/>
      </c>
    </row>
    <row r="46">
      <c r="A46" t="inlineStr">
        <is>
          <t>El Corcobo Norte</t>
        </is>
      </c>
      <c r="B46" t="inlineStr">
        <is>
          <t>Neuquina</t>
        </is>
      </c>
      <c r="C46" t="inlineStr">
        <is>
          <t>PETRO ANDINA RESOURCES LTD.</t>
        </is>
      </c>
      <c r="D46" t="inlineStr">
        <is>
          <t>convencional</t>
        </is>
      </c>
      <c r="E46" t="inlineStr">
        <is>
          <t>2009-09</t>
        </is>
      </c>
      <c r="F46" t="n">
        <v>88102.89999999999</v>
      </c>
      <c r="G46" t="n">
        <v>130326.6</v>
      </c>
      <c r="H46" t="n">
        <v>208237.2</v>
      </c>
      <c r="I46">
        <f>DAY(EOMONTH(DATE(VALUE(LEFT(E46,4)),VALUE(RIGHT(E46,2)),1),0))</f>
        <v/>
      </c>
      <c r="J46">
        <f>VALUE(LEFT(E46,4))*12+VALUE(RIGHT(E46,2))-1</f>
        <v/>
      </c>
    </row>
    <row r="47">
      <c r="A47" t="inlineStr">
        <is>
          <t>El Corcobo Norte</t>
        </is>
      </c>
      <c r="B47" t="inlineStr">
        <is>
          <t>Neuquina</t>
        </is>
      </c>
      <c r="C47" t="inlineStr">
        <is>
          <t>PETRO ANDINA RESOURCES LTD.</t>
        </is>
      </c>
      <c r="D47" t="inlineStr">
        <is>
          <t>convencional</t>
        </is>
      </c>
      <c r="E47" t="inlineStr">
        <is>
          <t>2009-10</t>
        </is>
      </c>
      <c r="F47" t="n">
        <v>90421.60000000001</v>
      </c>
      <c r="G47" t="n">
        <v>141161.2</v>
      </c>
      <c r="H47" t="n">
        <v>224141.4</v>
      </c>
      <c r="I47">
        <f>DAY(EOMONTH(DATE(VALUE(LEFT(E47,4)),VALUE(RIGHT(E47,2)),1),0))</f>
        <v/>
      </c>
      <c r="J47">
        <f>VALUE(LEFT(E47,4))*12+VALUE(RIGHT(E47,2))-1</f>
        <v/>
      </c>
    </row>
    <row r="48">
      <c r="A48" t="inlineStr">
        <is>
          <t>El Corcobo Norte</t>
        </is>
      </c>
      <c r="B48" t="inlineStr">
        <is>
          <t>Neuquina</t>
        </is>
      </c>
      <c r="C48" t="inlineStr">
        <is>
          <t>PETRO ANDINA RESOURCES LTD.</t>
        </is>
      </c>
      <c r="D48" t="inlineStr">
        <is>
          <t>convencional</t>
        </is>
      </c>
      <c r="E48" t="inlineStr">
        <is>
          <t>2009-11</t>
        </is>
      </c>
      <c r="F48" t="n">
        <v>84383.60000000001</v>
      </c>
      <c r="G48" t="n">
        <v>145911.2</v>
      </c>
      <c r="H48" t="n">
        <v>236066.6</v>
      </c>
      <c r="I48">
        <f>DAY(EOMONTH(DATE(VALUE(LEFT(E48,4)),VALUE(RIGHT(E48,2)),1),0))</f>
        <v/>
      </c>
      <c r="J48">
        <f>VALUE(LEFT(E48,4))*12+VALUE(RIGHT(E48,2))-1</f>
        <v/>
      </c>
    </row>
    <row r="49">
      <c r="A49" t="inlineStr">
        <is>
          <t>El Corcobo Norte</t>
        </is>
      </c>
      <c r="B49" t="inlineStr">
        <is>
          <t>Neuquina</t>
        </is>
      </c>
      <c r="C49" t="inlineStr">
        <is>
          <t>PETRO ANDINA RESOURCES LTD.</t>
        </is>
      </c>
      <c r="D49" t="inlineStr">
        <is>
          <t>convencional</t>
        </is>
      </c>
      <c r="E49" t="inlineStr">
        <is>
          <t>2009-12</t>
        </is>
      </c>
      <c r="F49" t="n">
        <v>89442.3</v>
      </c>
      <c r="G49" t="n">
        <v>162705.1</v>
      </c>
      <c r="H49" t="n">
        <v>249334</v>
      </c>
      <c r="I49">
        <f>DAY(EOMONTH(DATE(VALUE(LEFT(E49,4)),VALUE(RIGHT(E49,2)),1),0))</f>
        <v/>
      </c>
      <c r="J49">
        <f>VALUE(LEFT(E49,4))*12+VALUE(RIGHT(E49,2))-1</f>
        <v/>
      </c>
    </row>
    <row r="50">
      <c r="A50" t="inlineStr">
        <is>
          <t>El Corcobo Norte</t>
        </is>
      </c>
      <c r="B50" t="inlineStr">
        <is>
          <t>Neuquina</t>
        </is>
      </c>
      <c r="C50" t="inlineStr">
        <is>
          <t>PETRO ANDINA RESOURCES LTD.</t>
        </is>
      </c>
      <c r="D50" t="inlineStr">
        <is>
          <t>convencional</t>
        </is>
      </c>
      <c r="E50" t="inlineStr">
        <is>
          <t>2010-01</t>
        </is>
      </c>
      <c r="F50" t="n">
        <v>86265.39999999999</v>
      </c>
      <c r="G50" t="n">
        <v>158998.5</v>
      </c>
      <c r="H50" t="n">
        <v>253764.3</v>
      </c>
      <c r="I50">
        <f>DAY(EOMONTH(DATE(VALUE(LEFT(E50,4)),VALUE(RIGHT(E50,2)),1),0))</f>
        <v/>
      </c>
      <c r="J50">
        <f>VALUE(LEFT(E50,4))*12+VALUE(RIGHT(E50,2))-1</f>
        <v/>
      </c>
    </row>
    <row r="51">
      <c r="A51" t="inlineStr">
        <is>
          <t>El Corcobo Norte</t>
        </is>
      </c>
      <c r="B51" t="inlineStr">
        <is>
          <t>Neuquina</t>
        </is>
      </c>
      <c r="C51" t="inlineStr">
        <is>
          <t>PETRO ANDINA RESOURCES LTD.</t>
        </is>
      </c>
      <c r="D51" t="inlineStr">
        <is>
          <t>convencional</t>
        </is>
      </c>
      <c r="E51" t="inlineStr">
        <is>
          <t>2010-02</t>
        </is>
      </c>
      <c r="F51" t="n">
        <v>78697.89999999999</v>
      </c>
      <c r="G51" t="n">
        <v>152098.3</v>
      </c>
      <c r="H51" t="n">
        <v>232084.2</v>
      </c>
      <c r="I51">
        <f>DAY(EOMONTH(DATE(VALUE(LEFT(E51,4)),VALUE(RIGHT(E51,2)),1),0))</f>
        <v/>
      </c>
      <c r="J51">
        <f>VALUE(LEFT(E51,4))*12+VALUE(RIGHT(E51,2))-1</f>
        <v/>
      </c>
    </row>
    <row r="52">
      <c r="A52" t="inlineStr">
        <is>
          <t>El Corcobo Norte</t>
        </is>
      </c>
      <c r="B52" t="inlineStr">
        <is>
          <t>Neuquina</t>
        </is>
      </c>
      <c r="C52" t="inlineStr">
        <is>
          <t>PETRO ANDINA RESOURCES LTD.</t>
        </is>
      </c>
      <c r="D52" t="inlineStr">
        <is>
          <t>convencional</t>
        </is>
      </c>
      <c r="E52" t="inlineStr">
        <is>
          <t>2010-03</t>
        </is>
      </c>
      <c r="F52" t="n">
        <v>83303.5</v>
      </c>
      <c r="G52" t="n">
        <v>166194.4</v>
      </c>
      <c r="H52" t="n">
        <v>282947.2</v>
      </c>
      <c r="I52">
        <f>DAY(EOMONTH(DATE(VALUE(LEFT(E52,4)),VALUE(RIGHT(E52,2)),1),0))</f>
        <v/>
      </c>
      <c r="J52">
        <f>VALUE(LEFT(E52,4))*12+VALUE(RIGHT(E52,2))-1</f>
        <v/>
      </c>
    </row>
    <row r="53">
      <c r="A53" t="inlineStr">
        <is>
          <t>El Corcobo Norte</t>
        </is>
      </c>
      <c r="B53" t="inlineStr">
        <is>
          <t>Neuquina</t>
        </is>
      </c>
      <c r="C53" t="inlineStr">
        <is>
          <t>PETRO ANDINA RESOURCES LTD.</t>
        </is>
      </c>
      <c r="D53" t="inlineStr">
        <is>
          <t>convencional</t>
        </is>
      </c>
      <c r="E53" t="inlineStr">
        <is>
          <t>2010-04</t>
        </is>
      </c>
      <c r="F53" t="n">
        <v>81769.39999999999</v>
      </c>
      <c r="G53" t="n">
        <v>159443.1</v>
      </c>
      <c r="H53" t="n">
        <v>277876.2</v>
      </c>
      <c r="I53">
        <f>DAY(EOMONTH(DATE(VALUE(LEFT(E53,4)),VALUE(RIGHT(E53,2)),1),0))</f>
        <v/>
      </c>
      <c r="J53">
        <f>VALUE(LEFT(E53,4))*12+VALUE(RIGHT(E53,2))-1</f>
        <v/>
      </c>
    </row>
    <row r="54">
      <c r="A54" t="inlineStr">
        <is>
          <t>El Corcobo Norte</t>
        </is>
      </c>
      <c r="B54" t="inlineStr">
        <is>
          <t>Neuquina</t>
        </is>
      </c>
      <c r="C54" t="inlineStr">
        <is>
          <t>PETRO ANDINA RESOURCES LTD.</t>
        </is>
      </c>
      <c r="D54" t="inlineStr">
        <is>
          <t>convencional</t>
        </is>
      </c>
      <c r="E54" t="inlineStr">
        <is>
          <t>2010-05</t>
        </is>
      </c>
      <c r="F54" t="n">
        <v>87762.3</v>
      </c>
      <c r="G54" t="n">
        <v>165877.8</v>
      </c>
      <c r="H54" t="n">
        <v>296568.8</v>
      </c>
      <c r="I54">
        <f>DAY(EOMONTH(DATE(VALUE(LEFT(E54,4)),VALUE(RIGHT(E54,2)),1),0))</f>
        <v/>
      </c>
      <c r="J54">
        <f>VALUE(LEFT(E54,4))*12+VALUE(RIGHT(E54,2))-1</f>
        <v/>
      </c>
    </row>
    <row r="55">
      <c r="A55" t="inlineStr">
        <is>
          <t>El Corcobo Norte</t>
        </is>
      </c>
      <c r="B55" t="inlineStr">
        <is>
          <t>Neuquina</t>
        </is>
      </c>
      <c r="C55" t="inlineStr">
        <is>
          <t>PETRO ANDINA RESOURCES LTD.</t>
        </is>
      </c>
      <c r="D55" t="inlineStr">
        <is>
          <t>convencional</t>
        </is>
      </c>
      <c r="E55" t="inlineStr">
        <is>
          <t>2010-06</t>
        </is>
      </c>
      <c r="F55" t="n">
        <v>87014.8</v>
      </c>
      <c r="G55" t="n">
        <v>166873.2</v>
      </c>
      <c r="H55" t="n">
        <v>286805.6</v>
      </c>
      <c r="I55">
        <f>DAY(EOMONTH(DATE(VALUE(LEFT(E55,4)),VALUE(RIGHT(E55,2)),1),0))</f>
        <v/>
      </c>
      <c r="J55">
        <f>VALUE(LEFT(E55,4))*12+VALUE(RIGHT(E55,2))-1</f>
        <v/>
      </c>
    </row>
    <row r="56">
      <c r="A56" t="inlineStr">
        <is>
          <t>El Corcobo Norte</t>
        </is>
      </c>
      <c r="B56" t="inlineStr">
        <is>
          <t>Neuquina</t>
        </is>
      </c>
      <c r="C56" t="inlineStr">
        <is>
          <t>PETRO ANDINA RESOURCES LTD.</t>
        </is>
      </c>
      <c r="D56" t="inlineStr">
        <is>
          <t>convencional</t>
        </is>
      </c>
      <c r="E56" t="inlineStr">
        <is>
          <t>2010-07</t>
        </is>
      </c>
      <c r="F56" t="n">
        <v>91154.3</v>
      </c>
      <c r="G56" t="n">
        <v>174945.5</v>
      </c>
      <c r="H56" t="n">
        <v>296964.1</v>
      </c>
      <c r="I56">
        <f>DAY(EOMONTH(DATE(VALUE(LEFT(E56,4)),VALUE(RIGHT(E56,2)),1),0))</f>
        <v/>
      </c>
      <c r="J56">
        <f>VALUE(LEFT(E56,4))*12+VALUE(RIGHT(E56,2))-1</f>
        <v/>
      </c>
    </row>
    <row r="57">
      <c r="A57" t="inlineStr">
        <is>
          <t>El Corcobo Norte</t>
        </is>
      </c>
      <c r="B57" t="inlineStr">
        <is>
          <t>Neuquina</t>
        </is>
      </c>
      <c r="C57" t="inlineStr">
        <is>
          <t>PETRO ANDINA RESOURCES LTD.</t>
        </is>
      </c>
      <c r="D57" t="inlineStr">
        <is>
          <t>convencional</t>
        </is>
      </c>
      <c r="E57" t="inlineStr">
        <is>
          <t>2010-08</t>
        </is>
      </c>
      <c r="F57" t="n">
        <v>93186.2</v>
      </c>
      <c r="G57" t="n">
        <v>179813.2</v>
      </c>
      <c r="H57" t="n">
        <v>323950.9</v>
      </c>
      <c r="I57">
        <f>DAY(EOMONTH(DATE(VALUE(LEFT(E57,4)),VALUE(RIGHT(E57,2)),1),0))</f>
        <v/>
      </c>
      <c r="J57">
        <f>VALUE(LEFT(E57,4))*12+VALUE(RIGHT(E57,2))-1</f>
        <v/>
      </c>
    </row>
    <row r="58">
      <c r="A58" t="inlineStr">
        <is>
          <t>El Corcobo Norte</t>
        </is>
      </c>
      <c r="B58" t="inlineStr">
        <is>
          <t>Neuquina</t>
        </is>
      </c>
      <c r="C58" t="inlineStr">
        <is>
          <t>PETRO ANDINA RESOURCES LTD.</t>
        </is>
      </c>
      <c r="D58" t="inlineStr">
        <is>
          <t>convencional</t>
        </is>
      </c>
      <c r="E58" t="inlineStr">
        <is>
          <t>2010-09</t>
        </is>
      </c>
      <c r="F58" t="n">
        <v>91395.89999999999</v>
      </c>
      <c r="G58" t="n">
        <v>167791.7</v>
      </c>
      <c r="H58" t="n">
        <v>303755.9</v>
      </c>
      <c r="I58">
        <f>DAY(EOMONTH(DATE(VALUE(LEFT(E58,4)),VALUE(RIGHT(E58,2)),1),0))</f>
        <v/>
      </c>
      <c r="J58">
        <f>VALUE(LEFT(E58,4))*12+VALUE(RIGHT(E58,2))-1</f>
        <v/>
      </c>
    </row>
    <row r="59">
      <c r="A59" t="inlineStr">
        <is>
          <t>El Corcobo Norte</t>
        </is>
      </c>
      <c r="B59" t="inlineStr">
        <is>
          <t>Neuquina</t>
        </is>
      </c>
      <c r="C59" t="inlineStr">
        <is>
          <t>PETRO ANDINA RESOURCES LTD.</t>
        </is>
      </c>
      <c r="D59" t="inlineStr">
        <is>
          <t>convencional</t>
        </is>
      </c>
      <c r="E59" t="inlineStr">
        <is>
          <t>2010-10</t>
        </is>
      </c>
      <c r="F59" t="n">
        <v>96313.8</v>
      </c>
      <c r="G59" t="n">
        <v>180011.6</v>
      </c>
      <c r="H59" t="n">
        <v>328984.3</v>
      </c>
      <c r="I59">
        <f>DAY(EOMONTH(DATE(VALUE(LEFT(E59,4)),VALUE(RIGHT(E59,2)),1),0))</f>
        <v/>
      </c>
      <c r="J59">
        <f>VALUE(LEFT(E59,4))*12+VALUE(RIGHT(E59,2))-1</f>
        <v/>
      </c>
    </row>
    <row r="60">
      <c r="A60" t="inlineStr">
        <is>
          <t>El Corcobo Norte</t>
        </is>
      </c>
      <c r="B60" t="inlineStr">
        <is>
          <t>Neuquina</t>
        </is>
      </c>
      <c r="C60" t="inlineStr">
        <is>
          <t>PETRO ANDINA RESOURCES LTD.</t>
        </is>
      </c>
      <c r="D60" t="inlineStr">
        <is>
          <t>convencional</t>
        </is>
      </c>
      <c r="E60" t="inlineStr">
        <is>
          <t>2010-11</t>
        </is>
      </c>
      <c r="F60" t="n">
        <v>90545</v>
      </c>
      <c r="G60" t="n">
        <v>182320.3</v>
      </c>
      <c r="H60" t="n">
        <v>314236.3</v>
      </c>
      <c r="I60">
        <f>DAY(EOMONTH(DATE(VALUE(LEFT(E60,4)),VALUE(RIGHT(E60,2)),1),0))</f>
        <v/>
      </c>
      <c r="J60">
        <f>VALUE(LEFT(E60,4))*12+VALUE(RIGHT(E60,2))-1</f>
        <v/>
      </c>
    </row>
    <row r="61">
      <c r="A61" t="inlineStr">
        <is>
          <t>El Corcobo Norte</t>
        </is>
      </c>
      <c r="B61" t="inlineStr">
        <is>
          <t>Neuquina</t>
        </is>
      </c>
      <c r="C61" t="inlineStr">
        <is>
          <t>PETRO ANDINA RESOURCES LTD.</t>
        </is>
      </c>
      <c r="D61" t="inlineStr">
        <is>
          <t>convencional</t>
        </is>
      </c>
      <c r="E61" t="inlineStr">
        <is>
          <t>2010-12</t>
        </is>
      </c>
      <c r="F61" t="n">
        <v>95280.60000000001</v>
      </c>
      <c r="G61" t="n">
        <v>179074.3</v>
      </c>
      <c r="H61" t="n">
        <v>329439.9</v>
      </c>
      <c r="I61">
        <f>DAY(EOMONTH(DATE(VALUE(LEFT(E61,4)),VALUE(RIGHT(E61,2)),1),0))</f>
        <v/>
      </c>
      <c r="J61">
        <f>VALUE(LEFT(E61,4))*12+VALUE(RIGHT(E61,2))-1</f>
        <v/>
      </c>
    </row>
    <row r="62">
      <c r="A62" t="inlineStr">
        <is>
          <t>El Corcobo Norte</t>
        </is>
      </c>
      <c r="B62" t="inlineStr">
        <is>
          <t>Neuquina</t>
        </is>
      </c>
      <c r="C62" t="inlineStr">
        <is>
          <t>PETRO ANDINA RESOURCES LTD.</t>
        </is>
      </c>
      <c r="D62" t="inlineStr">
        <is>
          <t>convencional</t>
        </is>
      </c>
      <c r="E62" t="inlineStr">
        <is>
          <t>2011-01</t>
        </is>
      </c>
      <c r="F62" t="n">
        <v>92423.89999999999</v>
      </c>
      <c r="G62" t="n">
        <v>177116.2</v>
      </c>
      <c r="H62" t="n">
        <v>308916.4</v>
      </c>
      <c r="I62">
        <f>DAY(EOMONTH(DATE(VALUE(LEFT(E62,4)),VALUE(RIGHT(E62,2)),1),0))</f>
        <v/>
      </c>
      <c r="J62">
        <f>VALUE(LEFT(E62,4))*12+VALUE(RIGHT(E62,2))-1</f>
        <v/>
      </c>
    </row>
    <row r="63">
      <c r="A63" t="inlineStr">
        <is>
          <t>El Corcobo Norte</t>
        </is>
      </c>
      <c r="B63" t="inlineStr">
        <is>
          <t>Neuquina</t>
        </is>
      </c>
      <c r="C63" t="inlineStr">
        <is>
          <t>PETRO ANDINA RESOURCES LTD.</t>
        </is>
      </c>
      <c r="D63" t="inlineStr">
        <is>
          <t>convencional</t>
        </is>
      </c>
      <c r="E63" t="inlineStr">
        <is>
          <t>2011-02</t>
        </is>
      </c>
      <c r="F63" t="n">
        <v>81368.5</v>
      </c>
      <c r="G63" t="n">
        <v>153834.7</v>
      </c>
      <c r="H63" t="n">
        <v>274703.1</v>
      </c>
      <c r="I63">
        <f>DAY(EOMONTH(DATE(VALUE(LEFT(E63,4)),VALUE(RIGHT(E63,2)),1),0))</f>
        <v/>
      </c>
      <c r="J63">
        <f>VALUE(LEFT(E63,4))*12+VALUE(RIGHT(E63,2))-1</f>
        <v/>
      </c>
    </row>
    <row r="64">
      <c r="A64" t="inlineStr">
        <is>
          <t>El Corcobo Norte</t>
        </is>
      </c>
      <c r="B64" t="inlineStr">
        <is>
          <t>Neuquina</t>
        </is>
      </c>
      <c r="C64" t="inlineStr">
        <is>
          <t>PETRO ANDINA RESOURCES LTD.</t>
        </is>
      </c>
      <c r="D64" t="inlineStr">
        <is>
          <t>convencional</t>
        </is>
      </c>
      <c r="E64" t="inlineStr">
        <is>
          <t>2011-03</t>
        </is>
      </c>
      <c r="F64" t="n">
        <v>91691.2</v>
      </c>
      <c r="G64" t="n">
        <v>165016.8</v>
      </c>
      <c r="H64" t="n">
        <v>306326.6</v>
      </c>
      <c r="I64">
        <f>DAY(EOMONTH(DATE(VALUE(LEFT(E64,4)),VALUE(RIGHT(E64,2)),1),0))</f>
        <v/>
      </c>
      <c r="J64">
        <f>VALUE(LEFT(E64,4))*12+VALUE(RIGHT(E64,2))-1</f>
        <v/>
      </c>
    </row>
    <row r="65">
      <c r="A65" t="inlineStr">
        <is>
          <t>El Corcobo Norte</t>
        </is>
      </c>
      <c r="B65" t="inlineStr">
        <is>
          <t>Neuquina</t>
        </is>
      </c>
      <c r="C65" t="inlineStr">
        <is>
          <t>PETRO ANDINA RESOURCES LTD.</t>
        </is>
      </c>
      <c r="D65" t="inlineStr">
        <is>
          <t>convencional</t>
        </is>
      </c>
      <c r="E65" t="inlineStr">
        <is>
          <t>2011-04</t>
        </is>
      </c>
      <c r="F65" t="n">
        <v>89342.89999999999</v>
      </c>
      <c r="G65" t="n">
        <v>161634</v>
      </c>
      <c r="H65" t="n">
        <v>309738.4</v>
      </c>
      <c r="I65">
        <f>DAY(EOMONTH(DATE(VALUE(LEFT(E65,4)),VALUE(RIGHT(E65,2)),1),0))</f>
        <v/>
      </c>
      <c r="J65">
        <f>VALUE(LEFT(E65,4))*12+VALUE(RIGHT(E65,2))-1</f>
        <v/>
      </c>
    </row>
    <row r="66">
      <c r="A66" t="inlineStr">
        <is>
          <t>El Corcobo Norte</t>
        </is>
      </c>
      <c r="B66" t="inlineStr">
        <is>
          <t>Neuquina</t>
        </is>
      </c>
      <c r="C66" t="inlineStr">
        <is>
          <t>PETRO ANDINA RESOURCES LTD.</t>
        </is>
      </c>
      <c r="D66" t="inlineStr">
        <is>
          <t>convencional</t>
        </is>
      </c>
      <c r="E66" t="inlineStr">
        <is>
          <t>2011-05</t>
        </is>
      </c>
      <c r="F66" t="n">
        <v>87818.10000000001</v>
      </c>
      <c r="G66" t="n">
        <v>171026.1</v>
      </c>
      <c r="H66" t="n">
        <v>322664.6</v>
      </c>
      <c r="I66">
        <f>DAY(EOMONTH(DATE(VALUE(LEFT(E66,4)),VALUE(RIGHT(E66,2)),1),0))</f>
        <v/>
      </c>
      <c r="J66">
        <f>VALUE(LEFT(E66,4))*12+VALUE(RIGHT(E66,2))-1</f>
        <v/>
      </c>
    </row>
    <row r="67">
      <c r="A67" t="inlineStr">
        <is>
          <t>El Corcobo Norte</t>
        </is>
      </c>
      <c r="B67" t="inlineStr">
        <is>
          <t>Neuquina</t>
        </is>
      </c>
      <c r="C67" t="inlineStr">
        <is>
          <t>PETRO ANDINA RESOURCES LTD.</t>
        </is>
      </c>
      <c r="D67" t="inlineStr">
        <is>
          <t>convencional</t>
        </is>
      </c>
      <c r="E67" t="inlineStr">
        <is>
          <t>2011-06</t>
        </is>
      </c>
      <c r="F67" t="n">
        <v>83802.7</v>
      </c>
      <c r="G67" t="n">
        <v>171386.6</v>
      </c>
      <c r="H67" t="n">
        <v>314759.8</v>
      </c>
      <c r="I67">
        <f>DAY(EOMONTH(DATE(VALUE(LEFT(E67,4)),VALUE(RIGHT(E67,2)),1),0))</f>
        <v/>
      </c>
      <c r="J67">
        <f>VALUE(LEFT(E67,4))*12+VALUE(RIGHT(E67,2))-1</f>
        <v/>
      </c>
    </row>
    <row r="68">
      <c r="A68" t="inlineStr">
        <is>
          <t>El Corcobo Norte</t>
        </is>
      </c>
      <c r="B68" t="inlineStr">
        <is>
          <t>Neuquina</t>
        </is>
      </c>
      <c r="C68" t="inlineStr">
        <is>
          <t>PLUSPETROL S.A.</t>
        </is>
      </c>
      <c r="D68" t="inlineStr">
        <is>
          <t>convencional</t>
        </is>
      </c>
      <c r="E68" t="inlineStr">
        <is>
          <t>2011-07</t>
        </is>
      </c>
      <c r="F68" t="n">
        <v>85789.7</v>
      </c>
      <c r="G68" t="n">
        <v>176358.8</v>
      </c>
      <c r="H68" t="n">
        <v>313933.3</v>
      </c>
      <c r="I68">
        <f>DAY(EOMONTH(DATE(VALUE(LEFT(E68,4)),VALUE(RIGHT(E68,2)),1),0))</f>
        <v/>
      </c>
      <c r="J68">
        <f>VALUE(LEFT(E68,4))*12+VALUE(RIGHT(E68,2))-1</f>
        <v/>
      </c>
    </row>
    <row r="69">
      <c r="A69" t="inlineStr">
        <is>
          <t>El Corcobo Norte</t>
        </is>
      </c>
      <c r="B69" t="inlineStr">
        <is>
          <t>Neuquina</t>
        </is>
      </c>
      <c r="C69" t="inlineStr">
        <is>
          <t>PLUSPETROL S.A.</t>
        </is>
      </c>
      <c r="D69" t="inlineStr">
        <is>
          <t>convencional</t>
        </is>
      </c>
      <c r="E69" t="inlineStr">
        <is>
          <t>2011-08</t>
        </is>
      </c>
      <c r="F69" t="n">
        <v>83483.10000000001</v>
      </c>
      <c r="G69" t="n">
        <v>173512.2</v>
      </c>
      <c r="H69" t="n">
        <v>329733.5</v>
      </c>
      <c r="I69">
        <f>DAY(EOMONTH(DATE(VALUE(LEFT(E69,4)),VALUE(RIGHT(E69,2)),1),0))</f>
        <v/>
      </c>
      <c r="J69">
        <f>VALUE(LEFT(E69,4))*12+VALUE(RIGHT(E69,2))-1</f>
        <v/>
      </c>
    </row>
    <row r="70">
      <c r="A70" t="inlineStr">
        <is>
          <t>El Corcobo Norte</t>
        </is>
      </c>
      <c r="B70" t="inlineStr">
        <is>
          <t>Neuquina</t>
        </is>
      </c>
      <c r="C70" t="inlineStr">
        <is>
          <t>PLUSPETROL S.A.</t>
        </is>
      </c>
      <c r="D70" t="inlineStr">
        <is>
          <t>convencional</t>
        </is>
      </c>
      <c r="E70" t="inlineStr">
        <is>
          <t>2011-09</t>
        </is>
      </c>
      <c r="F70" t="n">
        <v>79870.39999999999</v>
      </c>
      <c r="G70" t="n">
        <v>176838.3</v>
      </c>
      <c r="H70" t="n">
        <v>322253.1</v>
      </c>
      <c r="I70">
        <f>DAY(EOMONTH(DATE(VALUE(LEFT(E70,4)),VALUE(RIGHT(E70,2)),1),0))</f>
        <v/>
      </c>
      <c r="J70">
        <f>VALUE(LEFT(E70,4))*12+VALUE(RIGHT(E70,2))-1</f>
        <v/>
      </c>
    </row>
    <row r="71">
      <c r="A71" t="inlineStr">
        <is>
          <t>El Corcobo Norte</t>
        </is>
      </c>
      <c r="B71" t="inlineStr">
        <is>
          <t>Neuquina</t>
        </is>
      </c>
      <c r="C71" t="inlineStr">
        <is>
          <t>PLUSPETROL S.A.</t>
        </is>
      </c>
      <c r="D71" t="inlineStr">
        <is>
          <t>convencional</t>
        </is>
      </c>
      <c r="E71" t="inlineStr">
        <is>
          <t>2011-10</t>
        </is>
      </c>
      <c r="F71" t="n">
        <v>81494.60000000001</v>
      </c>
      <c r="G71" t="n">
        <v>196940.4</v>
      </c>
      <c r="H71" t="n">
        <v>329720.5</v>
      </c>
      <c r="I71">
        <f>DAY(EOMONTH(DATE(VALUE(LEFT(E71,4)),VALUE(RIGHT(E71,2)),1),0))</f>
        <v/>
      </c>
      <c r="J71">
        <f>VALUE(LEFT(E71,4))*12+VALUE(RIGHT(E71,2))-1</f>
        <v/>
      </c>
    </row>
    <row r="72">
      <c r="A72" t="inlineStr">
        <is>
          <t>El Corcobo Norte</t>
        </is>
      </c>
      <c r="B72" t="inlineStr">
        <is>
          <t>Neuquina</t>
        </is>
      </c>
      <c r="C72" t="inlineStr">
        <is>
          <t>PLUSPETROL S.A.</t>
        </is>
      </c>
      <c r="D72" t="inlineStr">
        <is>
          <t>convencional</t>
        </is>
      </c>
      <c r="E72" t="inlineStr">
        <is>
          <t>2011-11</t>
        </is>
      </c>
      <c r="F72" t="n">
        <v>79745.10000000001</v>
      </c>
      <c r="G72" t="n">
        <v>210493.6</v>
      </c>
      <c r="H72" t="n">
        <v>327370.8</v>
      </c>
      <c r="I72">
        <f>DAY(EOMONTH(DATE(VALUE(LEFT(E72,4)),VALUE(RIGHT(E72,2)),1),0))</f>
        <v/>
      </c>
      <c r="J72">
        <f>VALUE(LEFT(E72,4))*12+VALUE(RIGHT(E72,2))-1</f>
        <v/>
      </c>
    </row>
    <row r="73">
      <c r="A73" t="inlineStr">
        <is>
          <t>El Corcobo Norte</t>
        </is>
      </c>
      <c r="B73" t="inlineStr">
        <is>
          <t>Neuquina</t>
        </is>
      </c>
      <c r="C73" t="inlineStr">
        <is>
          <t>PLUSPETROL S.A.</t>
        </is>
      </c>
      <c r="D73" t="inlineStr">
        <is>
          <t>convencional</t>
        </is>
      </c>
      <c r="E73" t="inlineStr">
        <is>
          <t>2011-12</t>
        </is>
      </c>
      <c r="F73" t="n">
        <v>82925.39999999999</v>
      </c>
      <c r="G73" t="n">
        <v>222339.5</v>
      </c>
      <c r="H73" t="n">
        <v>342114.6</v>
      </c>
      <c r="I73">
        <f>DAY(EOMONTH(DATE(VALUE(LEFT(E73,4)),VALUE(RIGHT(E73,2)),1),0))</f>
        <v/>
      </c>
      <c r="J73">
        <f>VALUE(LEFT(E73,4))*12+VALUE(RIGHT(E73,2))-1</f>
        <v/>
      </c>
    </row>
    <row r="74">
      <c r="A74" t="inlineStr">
        <is>
          <t>El Corcobo Norte</t>
        </is>
      </c>
      <c r="B74" t="inlineStr">
        <is>
          <t>Neuquina</t>
        </is>
      </c>
      <c r="C74" t="inlineStr">
        <is>
          <t>PLUSPETROL S.A.</t>
        </is>
      </c>
      <c r="D74" t="inlineStr">
        <is>
          <t>convencional</t>
        </is>
      </c>
      <c r="E74" t="inlineStr">
        <is>
          <t>2012-01</t>
        </is>
      </c>
      <c r="F74" t="n">
        <v>82125.5</v>
      </c>
      <c r="G74" t="n">
        <v>214950.3</v>
      </c>
      <c r="H74" t="n">
        <v>338172.3</v>
      </c>
      <c r="I74">
        <f>DAY(EOMONTH(DATE(VALUE(LEFT(E74,4)),VALUE(RIGHT(E74,2)),1),0))</f>
        <v/>
      </c>
      <c r="J74">
        <f>VALUE(LEFT(E74,4))*12+VALUE(RIGHT(E74,2))-1</f>
        <v/>
      </c>
    </row>
    <row r="75">
      <c r="A75" t="inlineStr">
        <is>
          <t>El Corcobo Norte</t>
        </is>
      </c>
      <c r="B75" t="inlineStr">
        <is>
          <t>Neuquina</t>
        </is>
      </c>
      <c r="C75" t="inlineStr">
        <is>
          <t>PLUSPETROL S.A.</t>
        </is>
      </c>
      <c r="D75" t="inlineStr">
        <is>
          <t>convencional</t>
        </is>
      </c>
      <c r="E75" t="inlineStr">
        <is>
          <t>2012-02</t>
        </is>
      </c>
      <c r="F75" t="n">
        <v>78094.7</v>
      </c>
      <c r="G75" t="n">
        <v>216951.5</v>
      </c>
      <c r="H75" t="n">
        <v>314050</v>
      </c>
      <c r="I75">
        <f>DAY(EOMONTH(DATE(VALUE(LEFT(E75,4)),VALUE(RIGHT(E75,2)),1),0))</f>
        <v/>
      </c>
      <c r="J75">
        <f>VALUE(LEFT(E75,4))*12+VALUE(RIGHT(E75,2))-1</f>
        <v/>
      </c>
    </row>
    <row r="76">
      <c r="A76" t="inlineStr">
        <is>
          <t>El Corcobo Norte</t>
        </is>
      </c>
      <c r="B76" t="inlineStr">
        <is>
          <t>Neuquina</t>
        </is>
      </c>
      <c r="C76" t="inlineStr">
        <is>
          <t>PLUSPETROL S.A.</t>
        </is>
      </c>
      <c r="D76" t="inlineStr">
        <is>
          <t>convencional</t>
        </is>
      </c>
      <c r="E76" t="inlineStr">
        <is>
          <t>2012-03</t>
        </is>
      </c>
      <c r="F76" t="n">
        <v>81216.60000000001</v>
      </c>
      <c r="G76" t="n">
        <v>230919.3</v>
      </c>
      <c r="H76" t="n">
        <v>349236.8</v>
      </c>
      <c r="I76">
        <f>DAY(EOMONTH(DATE(VALUE(LEFT(E76,4)),VALUE(RIGHT(E76,2)),1),0))</f>
        <v/>
      </c>
      <c r="J76">
        <f>VALUE(LEFT(E76,4))*12+VALUE(RIGHT(E76,2))-1</f>
        <v/>
      </c>
    </row>
    <row r="77">
      <c r="A77" t="inlineStr">
        <is>
          <t>El Corcobo Norte</t>
        </is>
      </c>
      <c r="B77" t="inlineStr">
        <is>
          <t>Neuquina</t>
        </is>
      </c>
      <c r="C77" t="inlineStr">
        <is>
          <t>PLUSPETROL S.A.</t>
        </is>
      </c>
      <c r="D77" t="inlineStr">
        <is>
          <t>convencional</t>
        </is>
      </c>
      <c r="E77" t="inlineStr">
        <is>
          <t>2012-04</t>
        </is>
      </c>
      <c r="F77" t="n">
        <v>76375.7</v>
      </c>
      <c r="G77" t="n">
        <v>228861.8</v>
      </c>
      <c r="H77" t="n">
        <v>336734.2</v>
      </c>
      <c r="I77">
        <f>DAY(EOMONTH(DATE(VALUE(LEFT(E77,4)),VALUE(RIGHT(E77,2)),1),0))</f>
        <v/>
      </c>
      <c r="J77">
        <f>VALUE(LEFT(E77,4))*12+VALUE(RIGHT(E77,2))-1</f>
        <v/>
      </c>
    </row>
    <row r="78">
      <c r="A78" t="inlineStr">
        <is>
          <t>El Corcobo Norte</t>
        </is>
      </c>
      <c r="B78" t="inlineStr">
        <is>
          <t>Neuquina</t>
        </is>
      </c>
      <c r="C78" t="inlineStr">
        <is>
          <t>PLUSPETROL S.A.</t>
        </is>
      </c>
      <c r="D78" t="inlineStr">
        <is>
          <t>convencional</t>
        </is>
      </c>
      <c r="E78" t="inlineStr">
        <is>
          <t>2012-05</t>
        </is>
      </c>
      <c r="F78" t="n">
        <v>77328.60000000001</v>
      </c>
      <c r="G78" t="n">
        <v>246942.1</v>
      </c>
      <c r="H78" t="n">
        <v>351066.5</v>
      </c>
      <c r="I78">
        <f>DAY(EOMONTH(DATE(VALUE(LEFT(E78,4)),VALUE(RIGHT(E78,2)),1),0))</f>
        <v/>
      </c>
      <c r="J78">
        <f>VALUE(LEFT(E78,4))*12+VALUE(RIGHT(E78,2))-1</f>
        <v/>
      </c>
    </row>
    <row r="79">
      <c r="A79" t="inlineStr">
        <is>
          <t>El Corcobo Norte</t>
        </is>
      </c>
      <c r="B79" t="inlineStr">
        <is>
          <t>Neuquina</t>
        </is>
      </c>
      <c r="C79" t="inlineStr">
        <is>
          <t>PLUSPETROL S.A.</t>
        </is>
      </c>
      <c r="D79" t="inlineStr">
        <is>
          <t>convencional</t>
        </is>
      </c>
      <c r="E79" t="inlineStr">
        <is>
          <t>2012-06</t>
        </is>
      </c>
      <c r="F79" t="n">
        <v>83429.2</v>
      </c>
      <c r="G79" t="n">
        <v>271665.5</v>
      </c>
      <c r="H79" t="n">
        <v>345851.3</v>
      </c>
      <c r="I79">
        <f>DAY(EOMONTH(DATE(VALUE(LEFT(E79,4)),VALUE(RIGHT(E79,2)),1),0))</f>
        <v/>
      </c>
      <c r="J79">
        <f>VALUE(LEFT(E79,4))*12+VALUE(RIGHT(E79,2))-1</f>
        <v/>
      </c>
    </row>
    <row r="80">
      <c r="A80" t="inlineStr">
        <is>
          <t>El Corcobo Norte</t>
        </is>
      </c>
      <c r="B80" t="inlineStr">
        <is>
          <t>Neuquina</t>
        </is>
      </c>
      <c r="C80" t="inlineStr">
        <is>
          <t>PLUSPETROL S.A.</t>
        </is>
      </c>
      <c r="D80" t="inlineStr">
        <is>
          <t>convencional</t>
        </is>
      </c>
      <c r="E80" t="inlineStr">
        <is>
          <t>2012-07</t>
        </is>
      </c>
      <c r="F80" t="n">
        <v>83709.7</v>
      </c>
      <c r="G80" t="n">
        <v>284817.4</v>
      </c>
      <c r="H80" t="n">
        <v>356550.2</v>
      </c>
      <c r="I80">
        <f>DAY(EOMONTH(DATE(VALUE(LEFT(E80,4)),VALUE(RIGHT(E80,2)),1),0))</f>
        <v/>
      </c>
      <c r="J80">
        <f>VALUE(LEFT(E80,4))*12+VALUE(RIGHT(E80,2))-1</f>
        <v/>
      </c>
    </row>
    <row r="81">
      <c r="A81" t="inlineStr">
        <is>
          <t>El Corcobo Norte</t>
        </is>
      </c>
      <c r="B81" t="inlineStr">
        <is>
          <t>Neuquina</t>
        </is>
      </c>
      <c r="C81" t="inlineStr">
        <is>
          <t>PLUSPETROL S.A.</t>
        </is>
      </c>
      <c r="D81" t="inlineStr">
        <is>
          <t>convencional</t>
        </is>
      </c>
      <c r="E81" t="inlineStr">
        <is>
          <t>2012-08</t>
        </is>
      </c>
      <c r="F81" t="n">
        <v>84517.8</v>
      </c>
      <c r="G81" t="n">
        <v>304983.2</v>
      </c>
      <c r="H81" t="n">
        <v>373161.8</v>
      </c>
      <c r="I81">
        <f>DAY(EOMONTH(DATE(VALUE(LEFT(E81,4)),VALUE(RIGHT(E81,2)),1),0))</f>
        <v/>
      </c>
      <c r="J81">
        <f>VALUE(LEFT(E81,4))*12+VALUE(RIGHT(E81,2))-1</f>
        <v/>
      </c>
    </row>
    <row r="82">
      <c r="A82" t="inlineStr">
        <is>
          <t>El Corcobo Norte</t>
        </is>
      </c>
      <c r="B82" t="inlineStr">
        <is>
          <t>Neuquina</t>
        </is>
      </c>
      <c r="C82" t="inlineStr">
        <is>
          <t>PLUSPETROL S.A.</t>
        </is>
      </c>
      <c r="D82" t="inlineStr">
        <is>
          <t>convencional</t>
        </is>
      </c>
      <c r="E82" t="inlineStr">
        <is>
          <t>2012-09</t>
        </is>
      </c>
      <c r="F82" t="n">
        <v>78883.60000000001</v>
      </c>
      <c r="G82" t="n">
        <v>297505.4</v>
      </c>
      <c r="H82" t="n">
        <v>351927.7</v>
      </c>
      <c r="I82">
        <f>DAY(EOMONTH(DATE(VALUE(LEFT(E82,4)),VALUE(RIGHT(E82,2)),1),0))</f>
        <v/>
      </c>
      <c r="J82">
        <f>VALUE(LEFT(E82,4))*12+VALUE(RIGHT(E82,2))-1</f>
        <v/>
      </c>
    </row>
    <row r="83">
      <c r="A83" t="inlineStr">
        <is>
          <t>El Corcobo Norte</t>
        </is>
      </c>
      <c r="B83" t="inlineStr">
        <is>
          <t>Neuquina</t>
        </is>
      </c>
      <c r="C83" t="inlineStr">
        <is>
          <t>PLUSPETROL S.A.</t>
        </is>
      </c>
      <c r="D83" t="inlineStr">
        <is>
          <t>convencional</t>
        </is>
      </c>
      <c r="E83" t="inlineStr">
        <is>
          <t>2012-10</t>
        </is>
      </c>
      <c r="F83" t="n">
        <v>81025.3</v>
      </c>
      <c r="G83" t="n">
        <v>306808.7</v>
      </c>
      <c r="H83" t="n">
        <v>362593.9</v>
      </c>
      <c r="I83">
        <f>DAY(EOMONTH(DATE(VALUE(LEFT(E83,4)),VALUE(RIGHT(E83,2)),1),0))</f>
        <v/>
      </c>
      <c r="J83">
        <f>VALUE(LEFT(E83,4))*12+VALUE(RIGHT(E83,2))-1</f>
        <v/>
      </c>
    </row>
    <row r="84">
      <c r="A84" t="inlineStr">
        <is>
          <t>El Corcobo Norte</t>
        </is>
      </c>
      <c r="B84" t="inlineStr">
        <is>
          <t>Neuquina</t>
        </is>
      </c>
      <c r="C84" t="inlineStr">
        <is>
          <t>PLUSPETROL S.A.</t>
        </is>
      </c>
      <c r="D84" t="inlineStr">
        <is>
          <t>convencional</t>
        </is>
      </c>
      <c r="E84" t="inlineStr">
        <is>
          <t>2012-11</t>
        </is>
      </c>
      <c r="F84" t="n">
        <v>71729.60000000001</v>
      </c>
      <c r="G84" t="n">
        <v>291371.4</v>
      </c>
      <c r="H84" t="n">
        <v>346165.6</v>
      </c>
      <c r="I84">
        <f>DAY(EOMONTH(DATE(VALUE(LEFT(E84,4)),VALUE(RIGHT(E84,2)),1),0))</f>
        <v/>
      </c>
      <c r="J84">
        <f>VALUE(LEFT(E84,4))*12+VALUE(RIGHT(E84,2))-1</f>
        <v/>
      </c>
    </row>
    <row r="85">
      <c r="A85" t="inlineStr">
        <is>
          <t>El Corcobo Norte</t>
        </is>
      </c>
      <c r="B85" t="inlineStr">
        <is>
          <t>Neuquina</t>
        </is>
      </c>
      <c r="C85" t="inlineStr">
        <is>
          <t>PLUSPETROL S.A.</t>
        </is>
      </c>
      <c r="D85" t="inlineStr">
        <is>
          <t>convencional</t>
        </is>
      </c>
      <c r="E85" t="inlineStr">
        <is>
          <t>2012-12</t>
        </is>
      </c>
      <c r="F85" t="n">
        <v>78764.7</v>
      </c>
      <c r="G85" t="n">
        <v>313360.5</v>
      </c>
      <c r="H85" t="n">
        <v>374547.4</v>
      </c>
      <c r="I85">
        <f>DAY(EOMONTH(DATE(VALUE(LEFT(E85,4)),VALUE(RIGHT(E85,2)),1),0))</f>
        <v/>
      </c>
      <c r="J85">
        <f>VALUE(LEFT(E85,4))*12+VALUE(RIGHT(E85,2))-1</f>
        <v/>
      </c>
    </row>
    <row r="86">
      <c r="A86" t="inlineStr">
        <is>
          <t>El Corcobo Norte</t>
        </is>
      </c>
      <c r="B86" t="inlineStr">
        <is>
          <t>Neuquina</t>
        </is>
      </c>
      <c r="C86" t="inlineStr">
        <is>
          <t>PLUSPETROL S.A.</t>
        </is>
      </c>
      <c r="D86" t="inlineStr">
        <is>
          <t>convencional</t>
        </is>
      </c>
      <c r="E86" t="inlineStr">
        <is>
          <t>2013-01</t>
        </is>
      </c>
      <c r="F86" t="n">
        <v>79912.60000000001</v>
      </c>
      <c r="G86" t="n">
        <v>322680.4</v>
      </c>
      <c r="H86" t="n">
        <v>374314</v>
      </c>
      <c r="I86">
        <f>DAY(EOMONTH(DATE(VALUE(LEFT(E86,4)),VALUE(RIGHT(E86,2)),1),0))</f>
        <v/>
      </c>
      <c r="J86">
        <f>VALUE(LEFT(E86,4))*12+VALUE(RIGHT(E86,2))-1</f>
        <v/>
      </c>
    </row>
    <row r="87">
      <c r="A87" t="inlineStr">
        <is>
          <t>El Corcobo Norte</t>
        </is>
      </c>
      <c r="B87" t="inlineStr">
        <is>
          <t>Neuquina</t>
        </is>
      </c>
      <c r="C87" t="inlineStr">
        <is>
          <t>PLUSPETROL S.A.</t>
        </is>
      </c>
      <c r="D87" t="inlineStr">
        <is>
          <t>convencional</t>
        </is>
      </c>
      <c r="E87" t="inlineStr">
        <is>
          <t>2013-02</t>
        </is>
      </c>
      <c r="F87" t="n">
        <v>74163.89999999999</v>
      </c>
      <c r="G87" t="n">
        <v>308128.5</v>
      </c>
      <c r="H87" t="n">
        <v>357342.8</v>
      </c>
      <c r="I87">
        <f>DAY(EOMONTH(DATE(VALUE(LEFT(E87,4)),VALUE(RIGHT(E87,2)),1),0))</f>
        <v/>
      </c>
      <c r="J87">
        <f>VALUE(LEFT(E87,4))*12+VALUE(RIGHT(E87,2))-1</f>
        <v/>
      </c>
    </row>
    <row r="88">
      <c r="A88" t="inlineStr">
        <is>
          <t>El Corcobo Norte</t>
        </is>
      </c>
      <c r="B88" t="inlineStr">
        <is>
          <t>Neuquina</t>
        </is>
      </c>
      <c r="C88" t="inlineStr">
        <is>
          <t>PLUSPETROL S.A.</t>
        </is>
      </c>
      <c r="D88" t="inlineStr">
        <is>
          <t>convencional</t>
        </is>
      </c>
      <c r="E88" t="inlineStr">
        <is>
          <t>2013-03</t>
        </is>
      </c>
      <c r="F88" t="n">
        <v>82393.8</v>
      </c>
      <c r="G88" t="n">
        <v>346376.8</v>
      </c>
      <c r="H88" t="n">
        <v>397612</v>
      </c>
      <c r="I88">
        <f>DAY(EOMONTH(DATE(VALUE(LEFT(E88,4)),VALUE(RIGHT(E88,2)),1),0))</f>
        <v/>
      </c>
      <c r="J88">
        <f>VALUE(LEFT(E88,4))*12+VALUE(RIGHT(E88,2))-1</f>
        <v/>
      </c>
    </row>
    <row r="89">
      <c r="A89" t="inlineStr">
        <is>
          <t>El Corcobo Norte</t>
        </is>
      </c>
      <c r="B89" t="inlineStr">
        <is>
          <t>Neuquina</t>
        </is>
      </c>
      <c r="C89" t="inlineStr">
        <is>
          <t>PLUSPETROL S.A.</t>
        </is>
      </c>
      <c r="D89" t="inlineStr">
        <is>
          <t>convencional</t>
        </is>
      </c>
      <c r="E89" t="inlineStr">
        <is>
          <t>2013-04</t>
        </is>
      </c>
      <c r="F89" t="n">
        <v>83219.3</v>
      </c>
      <c r="G89" t="n">
        <v>349682.9</v>
      </c>
      <c r="H89" t="n">
        <v>391302.6</v>
      </c>
      <c r="I89">
        <f>DAY(EOMONTH(DATE(VALUE(LEFT(E89,4)),VALUE(RIGHT(E89,2)),1),0))</f>
        <v/>
      </c>
      <c r="J89">
        <f>VALUE(LEFT(E89,4))*12+VALUE(RIGHT(E89,2))-1</f>
        <v/>
      </c>
    </row>
    <row r="90">
      <c r="A90" t="inlineStr">
        <is>
          <t>El Corcobo Norte</t>
        </is>
      </c>
      <c r="B90" t="inlineStr">
        <is>
          <t>Neuquina</t>
        </is>
      </c>
      <c r="C90" t="inlineStr">
        <is>
          <t>PLUSPETROL S.A.</t>
        </is>
      </c>
      <c r="D90" t="inlineStr">
        <is>
          <t>convencional</t>
        </is>
      </c>
      <c r="E90" t="inlineStr">
        <is>
          <t>2013-05</t>
        </is>
      </c>
      <c r="F90" t="n">
        <v>85339.60000000001</v>
      </c>
      <c r="G90" t="n">
        <v>369253.7</v>
      </c>
      <c r="H90" t="n">
        <v>408855.7</v>
      </c>
      <c r="I90">
        <f>DAY(EOMONTH(DATE(VALUE(LEFT(E90,4)),VALUE(RIGHT(E90,2)),1),0))</f>
        <v/>
      </c>
      <c r="J90">
        <f>VALUE(LEFT(E90,4))*12+VALUE(RIGHT(E90,2))-1</f>
        <v/>
      </c>
    </row>
    <row r="91">
      <c r="A91" t="inlineStr">
        <is>
          <t>El Corcobo Norte</t>
        </is>
      </c>
      <c r="B91" t="inlineStr">
        <is>
          <t>Neuquina</t>
        </is>
      </c>
      <c r="C91" t="inlineStr">
        <is>
          <t>PLUSPETROL S.A.</t>
        </is>
      </c>
      <c r="D91" t="inlineStr">
        <is>
          <t>convencional</t>
        </is>
      </c>
      <c r="E91" t="inlineStr">
        <is>
          <t>2013-06</t>
        </is>
      </c>
      <c r="F91" t="n">
        <v>79935</v>
      </c>
      <c r="G91" t="n">
        <v>350607</v>
      </c>
      <c r="H91" t="n">
        <v>386062.3</v>
      </c>
      <c r="I91">
        <f>DAY(EOMONTH(DATE(VALUE(LEFT(E91,4)),VALUE(RIGHT(E91,2)),1),0))</f>
        <v/>
      </c>
      <c r="J91">
        <f>VALUE(LEFT(E91,4))*12+VALUE(RIGHT(E91,2))-1</f>
        <v/>
      </c>
    </row>
    <row r="92">
      <c r="A92" t="inlineStr">
        <is>
          <t>El Corcobo Norte</t>
        </is>
      </c>
      <c r="B92" t="inlineStr">
        <is>
          <t>Neuquina</t>
        </is>
      </c>
      <c r="C92" t="inlineStr">
        <is>
          <t>PLUSPETROL S.A.</t>
        </is>
      </c>
      <c r="D92" t="inlineStr">
        <is>
          <t>convencional</t>
        </is>
      </c>
      <c r="E92" t="inlineStr">
        <is>
          <t>2013-07</t>
        </is>
      </c>
      <c r="F92" t="n">
        <v>83381.89999999999</v>
      </c>
      <c r="G92" t="n">
        <v>376077</v>
      </c>
      <c r="H92" t="n">
        <v>401868</v>
      </c>
      <c r="I92">
        <f>DAY(EOMONTH(DATE(VALUE(LEFT(E92,4)),VALUE(RIGHT(E92,2)),1),0))</f>
        <v/>
      </c>
      <c r="J92">
        <f>VALUE(LEFT(E92,4))*12+VALUE(RIGHT(E92,2))-1</f>
        <v/>
      </c>
    </row>
    <row r="93">
      <c r="A93" t="inlineStr">
        <is>
          <t>El Corcobo Norte</t>
        </is>
      </c>
      <c r="B93" t="inlineStr">
        <is>
          <t>Neuquina</t>
        </is>
      </c>
      <c r="C93" t="inlineStr">
        <is>
          <t>PLUSPETROL S.A.</t>
        </is>
      </c>
      <c r="D93" t="inlineStr">
        <is>
          <t>convencional</t>
        </is>
      </c>
      <c r="E93" t="inlineStr">
        <is>
          <t>2013-08</t>
        </is>
      </c>
      <c r="F93" t="n">
        <v>82557.2</v>
      </c>
      <c r="G93" t="n">
        <v>384654.5</v>
      </c>
      <c r="H93" t="n">
        <v>409988.5</v>
      </c>
      <c r="I93">
        <f>DAY(EOMONTH(DATE(VALUE(LEFT(E93,4)),VALUE(RIGHT(E93,2)),1),0))</f>
        <v/>
      </c>
      <c r="J93">
        <f>VALUE(LEFT(E93,4))*12+VALUE(RIGHT(E93,2))-1</f>
        <v/>
      </c>
    </row>
    <row r="94">
      <c r="A94" t="inlineStr">
        <is>
          <t>El Corcobo Norte</t>
        </is>
      </c>
      <c r="B94" t="inlineStr">
        <is>
          <t>Neuquina</t>
        </is>
      </c>
      <c r="C94" t="inlineStr">
        <is>
          <t>PLUSPETROL S.A.</t>
        </is>
      </c>
      <c r="D94" t="inlineStr">
        <is>
          <t>convencional</t>
        </is>
      </c>
      <c r="E94" t="inlineStr">
        <is>
          <t>2013-09</t>
        </is>
      </c>
      <c r="F94" t="n">
        <v>80424.8</v>
      </c>
      <c r="G94" t="n">
        <v>377807.2</v>
      </c>
      <c r="H94" t="n">
        <v>400295</v>
      </c>
      <c r="I94">
        <f>DAY(EOMONTH(DATE(VALUE(LEFT(E94,4)),VALUE(RIGHT(E94,2)),1),0))</f>
        <v/>
      </c>
      <c r="J94">
        <f>VALUE(LEFT(E94,4))*12+VALUE(RIGHT(E94,2))-1</f>
        <v/>
      </c>
    </row>
    <row r="95">
      <c r="A95" t="inlineStr">
        <is>
          <t>El Corcobo Norte</t>
        </is>
      </c>
      <c r="B95" t="inlineStr">
        <is>
          <t>Neuquina</t>
        </is>
      </c>
      <c r="C95" t="inlineStr">
        <is>
          <t>PLUSPETROL S.A.</t>
        </is>
      </c>
      <c r="D95" t="inlineStr">
        <is>
          <t>convencional</t>
        </is>
      </c>
      <c r="E95" t="inlineStr">
        <is>
          <t>2013-10</t>
        </is>
      </c>
      <c r="F95" t="n">
        <v>84975.8</v>
      </c>
      <c r="G95" t="n">
        <v>393637.1</v>
      </c>
      <c r="H95" t="n">
        <v>412066</v>
      </c>
      <c r="I95">
        <f>DAY(EOMONTH(DATE(VALUE(LEFT(E95,4)),VALUE(RIGHT(E95,2)),1),0))</f>
        <v/>
      </c>
      <c r="J95">
        <f>VALUE(LEFT(E95,4))*12+VALUE(RIGHT(E95,2))-1</f>
        <v/>
      </c>
    </row>
    <row r="96">
      <c r="A96" t="inlineStr">
        <is>
          <t>El Corcobo Norte</t>
        </is>
      </c>
      <c r="B96" t="inlineStr">
        <is>
          <t>Neuquina</t>
        </is>
      </c>
      <c r="C96" t="inlineStr">
        <is>
          <t>PLUSPETROL S.A.</t>
        </is>
      </c>
      <c r="D96" t="inlineStr">
        <is>
          <t>convencional</t>
        </is>
      </c>
      <c r="E96" t="inlineStr">
        <is>
          <t>2013-11</t>
        </is>
      </c>
      <c r="F96" t="n">
        <v>80012.8</v>
      </c>
      <c r="G96" t="n">
        <v>383279.5</v>
      </c>
      <c r="H96" t="n">
        <v>413192</v>
      </c>
      <c r="I96">
        <f>DAY(EOMONTH(DATE(VALUE(LEFT(E96,4)),VALUE(RIGHT(E96,2)),1),0))</f>
        <v/>
      </c>
      <c r="J96">
        <f>VALUE(LEFT(E96,4))*12+VALUE(RIGHT(E96,2))-1</f>
        <v/>
      </c>
    </row>
    <row r="97">
      <c r="A97" t="inlineStr">
        <is>
          <t>El Corcobo Norte</t>
        </is>
      </c>
      <c r="B97" t="inlineStr">
        <is>
          <t>Neuquina</t>
        </is>
      </c>
      <c r="C97" t="inlineStr">
        <is>
          <t>PLUSPETROL S.A.</t>
        </is>
      </c>
      <c r="D97" t="inlineStr">
        <is>
          <t>convencional</t>
        </is>
      </c>
      <c r="E97" t="inlineStr">
        <is>
          <t>2013-12</t>
        </is>
      </c>
      <c r="F97" t="n">
        <v>82068.10000000001</v>
      </c>
      <c r="G97" t="n">
        <v>405579.6</v>
      </c>
      <c r="H97" t="n">
        <v>423522.9</v>
      </c>
      <c r="I97">
        <f>DAY(EOMONTH(DATE(VALUE(LEFT(E97,4)),VALUE(RIGHT(E97,2)),1),0))</f>
        <v/>
      </c>
      <c r="J97">
        <f>VALUE(LEFT(E97,4))*12+VALUE(RIGHT(E97,2))-1</f>
        <v/>
      </c>
    </row>
    <row r="98">
      <c r="A98" t="inlineStr">
        <is>
          <t>El Corcobo Norte</t>
        </is>
      </c>
      <c r="B98" t="inlineStr">
        <is>
          <t>Neuquina</t>
        </is>
      </c>
      <c r="C98" t="inlineStr">
        <is>
          <t>PLUSPETROL S.A.</t>
        </is>
      </c>
      <c r="D98" t="inlineStr">
        <is>
          <t>convencional</t>
        </is>
      </c>
      <c r="E98" t="inlineStr">
        <is>
          <t>2014-01</t>
        </is>
      </c>
      <c r="F98" t="n">
        <v>81763.5</v>
      </c>
      <c r="G98" t="n">
        <v>406754.7</v>
      </c>
      <c r="H98" t="n">
        <v>411550</v>
      </c>
      <c r="I98">
        <f>DAY(EOMONTH(DATE(VALUE(LEFT(E98,4)),VALUE(RIGHT(E98,2)),1),0))</f>
        <v/>
      </c>
      <c r="J98">
        <f>VALUE(LEFT(E98,4))*12+VALUE(RIGHT(E98,2))-1</f>
        <v/>
      </c>
    </row>
    <row r="99">
      <c r="A99" t="inlineStr">
        <is>
          <t>El Corcobo Norte</t>
        </is>
      </c>
      <c r="B99" t="inlineStr">
        <is>
          <t>Neuquina</t>
        </is>
      </c>
      <c r="C99" t="inlineStr">
        <is>
          <t>PLUSPETROL S.A.</t>
        </is>
      </c>
      <c r="D99" t="inlineStr">
        <is>
          <t>convencional</t>
        </is>
      </c>
      <c r="E99" t="inlineStr">
        <is>
          <t>2014-02</t>
        </is>
      </c>
      <c r="F99" t="n">
        <v>74037.8</v>
      </c>
      <c r="G99" t="n">
        <v>366561.6</v>
      </c>
      <c r="H99" t="n">
        <v>386318.9</v>
      </c>
      <c r="I99">
        <f>DAY(EOMONTH(DATE(VALUE(LEFT(E99,4)),VALUE(RIGHT(E99,2)),1),0))</f>
        <v/>
      </c>
      <c r="J99">
        <f>VALUE(LEFT(E99,4))*12+VALUE(RIGHT(E99,2))-1</f>
        <v/>
      </c>
    </row>
    <row r="100">
      <c r="A100" t="inlineStr">
        <is>
          <t>El Corcobo Norte</t>
        </is>
      </c>
      <c r="B100" t="inlineStr">
        <is>
          <t>Neuquina</t>
        </is>
      </c>
      <c r="C100" t="inlineStr">
        <is>
          <t>PLUSPETROL S.A.</t>
        </is>
      </c>
      <c r="D100" t="inlineStr">
        <is>
          <t>convencional</t>
        </is>
      </c>
      <c r="E100" t="inlineStr">
        <is>
          <t>2014-03</t>
        </is>
      </c>
      <c r="F100" t="n">
        <v>78945.5</v>
      </c>
      <c r="G100" t="n">
        <v>413862.2</v>
      </c>
      <c r="H100" t="n">
        <v>432772</v>
      </c>
      <c r="I100">
        <f>DAY(EOMONTH(DATE(VALUE(LEFT(E100,4)),VALUE(RIGHT(E100,2)),1),0))</f>
        <v/>
      </c>
      <c r="J100">
        <f>VALUE(LEFT(E100,4))*12+VALUE(RIGHT(E100,2))-1</f>
        <v/>
      </c>
    </row>
    <row r="101">
      <c r="A101" t="inlineStr">
        <is>
          <t>El Corcobo Norte</t>
        </is>
      </c>
      <c r="B101" t="inlineStr">
        <is>
          <t>Neuquina</t>
        </is>
      </c>
      <c r="C101" t="inlineStr">
        <is>
          <t>PLUSPETROL S.A.</t>
        </is>
      </c>
      <c r="D101" t="inlineStr">
        <is>
          <t>convencional</t>
        </is>
      </c>
      <c r="E101" t="inlineStr">
        <is>
          <t>2014-04</t>
        </is>
      </c>
      <c r="F101" t="n">
        <v>77544.10000000001</v>
      </c>
      <c r="G101" t="n">
        <v>402778.9</v>
      </c>
      <c r="H101" t="n">
        <v>418117</v>
      </c>
      <c r="I101">
        <f>DAY(EOMONTH(DATE(VALUE(LEFT(E101,4)),VALUE(RIGHT(E101,2)),1),0))</f>
        <v/>
      </c>
      <c r="J101">
        <f>VALUE(LEFT(E101,4))*12+VALUE(RIGHT(E101,2))-1</f>
        <v/>
      </c>
    </row>
    <row r="102">
      <c r="A102" t="inlineStr">
        <is>
          <t>El Corcobo Norte</t>
        </is>
      </c>
      <c r="B102" t="inlineStr">
        <is>
          <t>Neuquina</t>
        </is>
      </c>
      <c r="C102" t="inlineStr">
        <is>
          <t>PLUSPETROL S.A.</t>
        </is>
      </c>
      <c r="D102" t="inlineStr">
        <is>
          <t>convencional</t>
        </is>
      </c>
      <c r="E102" t="inlineStr">
        <is>
          <t>2014-05</t>
        </is>
      </c>
      <c r="F102" t="n">
        <v>79216.39999999999</v>
      </c>
      <c r="G102" t="n">
        <v>421723.8</v>
      </c>
      <c r="H102" t="n">
        <v>439438</v>
      </c>
      <c r="I102">
        <f>DAY(EOMONTH(DATE(VALUE(LEFT(E102,4)),VALUE(RIGHT(E102,2)),1),0))</f>
        <v/>
      </c>
      <c r="J102">
        <f>VALUE(LEFT(E102,4))*12+VALUE(RIGHT(E102,2))-1</f>
        <v/>
      </c>
    </row>
    <row r="103">
      <c r="A103" t="inlineStr">
        <is>
          <t>El Corcobo Norte</t>
        </is>
      </c>
      <c r="B103" t="inlineStr">
        <is>
          <t>Neuquina</t>
        </is>
      </c>
      <c r="C103" t="inlineStr">
        <is>
          <t>PLUSPETROL S.A.</t>
        </is>
      </c>
      <c r="D103" t="inlineStr">
        <is>
          <t>convencional</t>
        </is>
      </c>
      <c r="E103" t="inlineStr">
        <is>
          <t>2014-06</t>
        </is>
      </c>
      <c r="F103" t="n">
        <v>76468.7</v>
      </c>
      <c r="G103" t="n">
        <v>417173.5</v>
      </c>
      <c r="H103" t="n">
        <v>427637</v>
      </c>
      <c r="I103">
        <f>DAY(EOMONTH(DATE(VALUE(LEFT(E103,4)),VALUE(RIGHT(E103,2)),1),0))</f>
        <v/>
      </c>
      <c r="J103">
        <f>VALUE(LEFT(E103,4))*12+VALUE(RIGHT(E103,2))-1</f>
        <v/>
      </c>
    </row>
    <row r="104">
      <c r="A104" t="inlineStr">
        <is>
          <t>El Corcobo Norte</t>
        </is>
      </c>
      <c r="B104" t="inlineStr">
        <is>
          <t>Neuquina</t>
        </is>
      </c>
      <c r="C104" t="inlineStr">
        <is>
          <t>PLUSPETROL S.A.</t>
        </is>
      </c>
      <c r="D104" t="inlineStr">
        <is>
          <t>convencional</t>
        </is>
      </c>
      <c r="E104" t="inlineStr">
        <is>
          <t>2014-07</t>
        </is>
      </c>
      <c r="F104" t="n">
        <v>77404</v>
      </c>
      <c r="G104" t="n">
        <v>415032.6</v>
      </c>
      <c r="H104" t="n">
        <v>429809.5</v>
      </c>
      <c r="I104">
        <f>DAY(EOMONTH(DATE(VALUE(LEFT(E104,4)),VALUE(RIGHT(E104,2)),1),0))</f>
        <v/>
      </c>
      <c r="J104">
        <f>VALUE(LEFT(E104,4))*12+VALUE(RIGHT(E104,2))-1</f>
        <v/>
      </c>
    </row>
    <row r="105">
      <c r="A105" t="inlineStr">
        <is>
          <t>El Corcobo Norte</t>
        </is>
      </c>
      <c r="B105" t="inlineStr">
        <is>
          <t>Neuquina</t>
        </is>
      </c>
      <c r="C105" t="inlineStr">
        <is>
          <t>PLUSPETROL S.A.</t>
        </is>
      </c>
      <c r="D105" t="inlineStr">
        <is>
          <t>convencional</t>
        </is>
      </c>
      <c r="E105" t="inlineStr">
        <is>
          <t>2014-08</t>
        </is>
      </c>
      <c r="F105" t="n">
        <v>77716.5</v>
      </c>
      <c r="G105" t="n">
        <v>423712.8</v>
      </c>
      <c r="H105" t="n">
        <v>446234</v>
      </c>
      <c r="I105">
        <f>DAY(EOMONTH(DATE(VALUE(LEFT(E105,4)),VALUE(RIGHT(E105,2)),1),0))</f>
        <v/>
      </c>
      <c r="J105">
        <f>VALUE(LEFT(E105,4))*12+VALUE(RIGHT(E105,2))-1</f>
        <v/>
      </c>
    </row>
    <row r="106">
      <c r="A106" t="inlineStr">
        <is>
          <t>El Corcobo Norte</t>
        </is>
      </c>
      <c r="B106" t="inlineStr">
        <is>
          <t>Neuquina</t>
        </is>
      </c>
      <c r="C106" t="inlineStr">
        <is>
          <t>PLUSPETROL S.A.</t>
        </is>
      </c>
      <c r="D106" t="inlineStr">
        <is>
          <t>convencional</t>
        </is>
      </c>
      <c r="E106" t="inlineStr">
        <is>
          <t>2014-09</t>
        </is>
      </c>
      <c r="F106" t="n">
        <v>77471.39999999999</v>
      </c>
      <c r="G106" t="n">
        <v>424449</v>
      </c>
      <c r="H106" t="n">
        <v>447113</v>
      </c>
      <c r="I106">
        <f>DAY(EOMONTH(DATE(VALUE(LEFT(E106,4)),VALUE(RIGHT(E106,2)),1),0))</f>
        <v/>
      </c>
      <c r="J106">
        <f>VALUE(LEFT(E106,4))*12+VALUE(RIGHT(E106,2))-1</f>
        <v/>
      </c>
    </row>
    <row r="107">
      <c r="A107" t="inlineStr">
        <is>
          <t>El Corcobo Norte</t>
        </is>
      </c>
      <c r="B107" t="inlineStr">
        <is>
          <t>Neuquina</t>
        </is>
      </c>
      <c r="C107" t="inlineStr">
        <is>
          <t>PLUSPETROL S.A.</t>
        </is>
      </c>
      <c r="D107" t="inlineStr">
        <is>
          <t>convencional</t>
        </is>
      </c>
      <c r="E107" t="inlineStr">
        <is>
          <t>2014-10</t>
        </is>
      </c>
      <c r="F107" t="n">
        <v>79342.8</v>
      </c>
      <c r="G107" t="n">
        <v>448407.9</v>
      </c>
      <c r="H107" t="n">
        <v>466916</v>
      </c>
      <c r="I107">
        <f>DAY(EOMONTH(DATE(VALUE(LEFT(E107,4)),VALUE(RIGHT(E107,2)),1),0))</f>
        <v/>
      </c>
      <c r="J107">
        <f>VALUE(LEFT(E107,4))*12+VALUE(RIGHT(E107,2))-1</f>
        <v/>
      </c>
    </row>
    <row r="108">
      <c r="A108" t="inlineStr">
        <is>
          <t>El Corcobo Norte</t>
        </is>
      </c>
      <c r="B108" t="inlineStr">
        <is>
          <t>Neuquina</t>
        </is>
      </c>
      <c r="C108" t="inlineStr">
        <is>
          <t>PLUSPETROL S.A.</t>
        </is>
      </c>
      <c r="D108" t="inlineStr">
        <is>
          <t>convencional</t>
        </is>
      </c>
      <c r="E108" t="inlineStr">
        <is>
          <t>2014-11</t>
        </is>
      </c>
      <c r="F108" t="n">
        <v>69626.89999999999</v>
      </c>
      <c r="G108" t="n">
        <v>406988.7</v>
      </c>
      <c r="H108" t="n">
        <v>422264.8</v>
      </c>
      <c r="I108">
        <f>DAY(EOMONTH(DATE(VALUE(LEFT(E108,4)),VALUE(RIGHT(E108,2)),1),0))</f>
        <v/>
      </c>
      <c r="J108">
        <f>VALUE(LEFT(E108,4))*12+VALUE(RIGHT(E108,2))-1</f>
        <v/>
      </c>
    </row>
    <row r="109">
      <c r="A109" t="inlineStr">
        <is>
          <t>El Corcobo Norte</t>
        </is>
      </c>
      <c r="B109" t="inlineStr">
        <is>
          <t>Neuquina</t>
        </is>
      </c>
      <c r="C109" t="inlineStr">
        <is>
          <t>PLUSPETROL S.A.</t>
        </is>
      </c>
      <c r="D109" t="inlineStr">
        <is>
          <t>convencional</t>
        </is>
      </c>
      <c r="E109" t="inlineStr">
        <is>
          <t>2014-12</t>
        </is>
      </c>
      <c r="F109" t="n">
        <v>77163</v>
      </c>
      <c r="G109" t="n">
        <v>456743.8</v>
      </c>
      <c r="H109" t="n">
        <v>467572</v>
      </c>
      <c r="I109">
        <f>DAY(EOMONTH(DATE(VALUE(LEFT(E109,4)),VALUE(RIGHT(E109,2)),1),0))</f>
        <v/>
      </c>
      <c r="J109">
        <f>VALUE(LEFT(E109,4))*12+VALUE(RIGHT(E109,2))-1</f>
        <v/>
      </c>
    </row>
    <row r="110">
      <c r="A110" t="inlineStr">
        <is>
          <t>El Corcobo Norte</t>
        </is>
      </c>
      <c r="B110" t="inlineStr">
        <is>
          <t>Neuquina</t>
        </is>
      </c>
      <c r="C110" t="inlineStr">
        <is>
          <t>PLUSPETROL S.A.</t>
        </is>
      </c>
      <c r="D110" t="inlineStr">
        <is>
          <t>convencional</t>
        </is>
      </c>
      <c r="E110" t="inlineStr">
        <is>
          <t>2015-01</t>
        </is>
      </c>
      <c r="F110" t="n">
        <v>77819</v>
      </c>
      <c r="G110" t="n">
        <v>455665.1</v>
      </c>
      <c r="H110" t="n">
        <v>460572</v>
      </c>
      <c r="I110">
        <f>DAY(EOMONTH(DATE(VALUE(LEFT(E110,4)),VALUE(RIGHT(E110,2)),1),0))</f>
        <v/>
      </c>
      <c r="J110">
        <f>VALUE(LEFT(E110,4))*12+VALUE(RIGHT(E110,2))-1</f>
        <v/>
      </c>
    </row>
    <row r="111">
      <c r="A111" t="inlineStr">
        <is>
          <t>El Corcobo Norte</t>
        </is>
      </c>
      <c r="B111" t="inlineStr">
        <is>
          <t>Neuquina</t>
        </is>
      </c>
      <c r="C111" t="inlineStr">
        <is>
          <t>PLUSPETROL S.A.</t>
        </is>
      </c>
      <c r="D111" t="inlineStr">
        <is>
          <t>convencional</t>
        </is>
      </c>
      <c r="E111" t="inlineStr">
        <is>
          <t>2015-02</t>
        </is>
      </c>
      <c r="F111" t="n">
        <v>67926.2</v>
      </c>
      <c r="G111" t="n">
        <v>408486.7</v>
      </c>
      <c r="H111" t="n">
        <v>422983</v>
      </c>
      <c r="I111">
        <f>DAY(EOMONTH(DATE(VALUE(LEFT(E111,4)),VALUE(RIGHT(E111,2)),1),0))</f>
        <v/>
      </c>
      <c r="J111">
        <f>VALUE(LEFT(E111,4))*12+VALUE(RIGHT(E111,2))-1</f>
        <v/>
      </c>
    </row>
    <row r="112">
      <c r="A112" t="inlineStr">
        <is>
          <t>El Corcobo Norte</t>
        </is>
      </c>
      <c r="B112" t="inlineStr">
        <is>
          <t>Neuquina</t>
        </is>
      </c>
      <c r="C112" t="inlineStr">
        <is>
          <t>PLUSPETROL S.A.</t>
        </is>
      </c>
      <c r="D112" t="inlineStr">
        <is>
          <t>convencional</t>
        </is>
      </c>
      <c r="E112" t="inlineStr">
        <is>
          <t>2015-03</t>
        </is>
      </c>
      <c r="F112" t="n">
        <v>76173.3</v>
      </c>
      <c r="G112" t="n">
        <v>466533.2</v>
      </c>
      <c r="H112" t="n">
        <v>476032</v>
      </c>
      <c r="I112">
        <f>DAY(EOMONTH(DATE(VALUE(LEFT(E112,4)),VALUE(RIGHT(E112,2)),1),0))</f>
        <v/>
      </c>
      <c r="J112">
        <f>VALUE(LEFT(E112,4))*12+VALUE(RIGHT(E112,2))-1</f>
        <v/>
      </c>
    </row>
    <row r="113">
      <c r="A113" t="inlineStr">
        <is>
          <t>El Corcobo Norte</t>
        </is>
      </c>
      <c r="B113" t="inlineStr">
        <is>
          <t>Neuquina</t>
        </is>
      </c>
      <c r="C113" t="inlineStr">
        <is>
          <t>PLUSPETROL S.A.</t>
        </is>
      </c>
      <c r="D113" t="inlineStr">
        <is>
          <t>convencional</t>
        </is>
      </c>
      <c r="E113" t="inlineStr">
        <is>
          <t>2015-04</t>
        </is>
      </c>
      <c r="F113" t="n">
        <v>76956.8</v>
      </c>
      <c r="G113" t="n">
        <v>463760.3</v>
      </c>
      <c r="H113" t="n">
        <v>463372</v>
      </c>
      <c r="I113">
        <f>DAY(EOMONTH(DATE(VALUE(LEFT(E113,4)),VALUE(RIGHT(E113,2)),1),0))</f>
        <v/>
      </c>
      <c r="J113">
        <f>VALUE(LEFT(E113,4))*12+VALUE(RIGHT(E113,2))-1</f>
        <v/>
      </c>
    </row>
    <row r="114">
      <c r="A114" t="inlineStr">
        <is>
          <t>El Corcobo Norte</t>
        </is>
      </c>
      <c r="B114" t="inlineStr">
        <is>
          <t>Neuquina</t>
        </is>
      </c>
      <c r="C114" t="inlineStr">
        <is>
          <t>PLUSPETROL S.A.</t>
        </is>
      </c>
      <c r="D114" t="inlineStr">
        <is>
          <t>convencional</t>
        </is>
      </c>
      <c r="E114" t="inlineStr">
        <is>
          <t>2015-05</t>
        </is>
      </c>
      <c r="F114" t="n">
        <v>80836.60000000001</v>
      </c>
      <c r="G114" t="n">
        <v>484194.5</v>
      </c>
      <c r="H114" t="n">
        <v>480504</v>
      </c>
      <c r="I114">
        <f>DAY(EOMONTH(DATE(VALUE(LEFT(E114,4)),VALUE(RIGHT(E114,2)),1),0))</f>
        <v/>
      </c>
      <c r="J114">
        <f>VALUE(LEFT(E114,4))*12+VALUE(RIGHT(E114,2))-1</f>
        <v/>
      </c>
    </row>
    <row r="115">
      <c r="A115" t="inlineStr">
        <is>
          <t>El Corcobo Norte</t>
        </is>
      </c>
      <c r="B115" t="inlineStr">
        <is>
          <t>Neuquina</t>
        </is>
      </c>
      <c r="C115" t="inlineStr">
        <is>
          <t>PLUSPETROL S.A.</t>
        </is>
      </c>
      <c r="D115" t="inlineStr">
        <is>
          <t>convencional</t>
        </is>
      </c>
      <c r="E115" t="inlineStr">
        <is>
          <t>2015-06</t>
        </is>
      </c>
      <c r="F115" t="n">
        <v>75774.3</v>
      </c>
      <c r="G115" t="n">
        <v>467073.1</v>
      </c>
      <c r="H115" t="n">
        <v>468008</v>
      </c>
      <c r="I115">
        <f>DAY(EOMONTH(DATE(VALUE(LEFT(E115,4)),VALUE(RIGHT(E115,2)),1),0))</f>
        <v/>
      </c>
      <c r="J115">
        <f>VALUE(LEFT(E115,4))*12+VALUE(RIGHT(E115,2))-1</f>
        <v/>
      </c>
    </row>
    <row r="116">
      <c r="A116" t="inlineStr">
        <is>
          <t>El Corcobo Norte</t>
        </is>
      </c>
      <c r="B116" t="inlineStr">
        <is>
          <t>Neuquina</t>
        </is>
      </c>
      <c r="C116" t="inlineStr">
        <is>
          <t>PLUSPETROL S.A.</t>
        </is>
      </c>
      <c r="D116" t="inlineStr">
        <is>
          <t>convencional</t>
        </is>
      </c>
      <c r="E116" t="inlineStr">
        <is>
          <t>2015-07</t>
        </is>
      </c>
      <c r="F116" t="n">
        <v>76991.60000000001</v>
      </c>
      <c r="G116" t="n">
        <v>486618.6</v>
      </c>
      <c r="H116" t="n">
        <v>485148</v>
      </c>
      <c r="I116">
        <f>DAY(EOMONTH(DATE(VALUE(LEFT(E116,4)),VALUE(RIGHT(E116,2)),1),0))</f>
        <v/>
      </c>
      <c r="J116">
        <f>VALUE(LEFT(E116,4))*12+VALUE(RIGHT(E116,2))-1</f>
        <v/>
      </c>
    </row>
    <row r="117">
      <c r="A117" t="inlineStr">
        <is>
          <t>El Corcobo Norte</t>
        </is>
      </c>
      <c r="B117" t="inlineStr">
        <is>
          <t>Neuquina</t>
        </is>
      </c>
      <c r="C117" t="inlineStr">
        <is>
          <t>PLUSPETROL S.A.</t>
        </is>
      </c>
      <c r="D117" t="inlineStr">
        <is>
          <t>convencional</t>
        </is>
      </c>
      <c r="E117" t="inlineStr">
        <is>
          <t>2015-08</t>
        </is>
      </c>
      <c r="F117" t="n">
        <v>76984.8</v>
      </c>
      <c r="G117" t="n">
        <v>473020.8</v>
      </c>
      <c r="H117" t="n">
        <v>489339</v>
      </c>
      <c r="I117">
        <f>DAY(EOMONTH(DATE(VALUE(LEFT(E117,4)),VALUE(RIGHT(E117,2)),1),0))</f>
        <v/>
      </c>
      <c r="J117">
        <f>VALUE(LEFT(E117,4))*12+VALUE(RIGHT(E117,2))-1</f>
        <v/>
      </c>
    </row>
    <row r="118">
      <c r="A118" t="inlineStr">
        <is>
          <t>El Corcobo Norte</t>
        </is>
      </c>
      <c r="B118" t="inlineStr">
        <is>
          <t>Neuquina</t>
        </is>
      </c>
      <c r="C118" t="inlineStr">
        <is>
          <t>PLUSPETROL S.A.</t>
        </is>
      </c>
      <c r="D118" t="inlineStr">
        <is>
          <t>convencional</t>
        </is>
      </c>
      <c r="E118" t="inlineStr">
        <is>
          <t>2015-09</t>
        </is>
      </c>
      <c r="F118" t="n">
        <v>74607.10000000001</v>
      </c>
      <c r="G118" t="n">
        <v>459817.2</v>
      </c>
      <c r="H118" t="n">
        <v>489134.8</v>
      </c>
      <c r="I118">
        <f>DAY(EOMONTH(DATE(VALUE(LEFT(E118,4)),VALUE(RIGHT(E118,2)),1),0))</f>
        <v/>
      </c>
      <c r="J118">
        <f>VALUE(LEFT(E118,4))*12+VALUE(RIGHT(E118,2))-1</f>
        <v/>
      </c>
    </row>
    <row r="119">
      <c r="A119" t="inlineStr">
        <is>
          <t>El Corcobo Norte</t>
        </is>
      </c>
      <c r="B119" t="inlineStr">
        <is>
          <t>Neuquina</t>
        </is>
      </c>
      <c r="C119" t="inlineStr">
        <is>
          <t>PLUSPETROL S.A.</t>
        </is>
      </c>
      <c r="D119" t="inlineStr">
        <is>
          <t>convencional</t>
        </is>
      </c>
      <c r="E119" t="inlineStr">
        <is>
          <t>2015-10</t>
        </is>
      </c>
      <c r="F119" t="n">
        <v>73788.89999999999</v>
      </c>
      <c r="G119" t="n">
        <v>471278.2</v>
      </c>
      <c r="H119" t="n">
        <v>505052</v>
      </c>
      <c r="I119">
        <f>DAY(EOMONTH(DATE(VALUE(LEFT(E119,4)),VALUE(RIGHT(E119,2)),1),0))</f>
        <v/>
      </c>
      <c r="J119">
        <f>VALUE(LEFT(E119,4))*12+VALUE(RIGHT(E119,2))-1</f>
        <v/>
      </c>
    </row>
    <row r="120">
      <c r="A120" t="inlineStr">
        <is>
          <t>El Corcobo Norte</t>
        </is>
      </c>
      <c r="B120" t="inlineStr">
        <is>
          <t>Neuquina</t>
        </is>
      </c>
      <c r="C120" t="inlineStr">
        <is>
          <t>PLUSPETROL S.A.</t>
        </is>
      </c>
      <c r="D120" t="inlineStr">
        <is>
          <t>convencional</t>
        </is>
      </c>
      <c r="E120" t="inlineStr">
        <is>
          <t>2015-11</t>
        </is>
      </c>
      <c r="F120" t="n">
        <v>71149.10000000001</v>
      </c>
      <c r="G120" t="n">
        <v>462812</v>
      </c>
      <c r="H120" t="n">
        <v>493022</v>
      </c>
      <c r="I120">
        <f>DAY(EOMONTH(DATE(VALUE(LEFT(E120,4)),VALUE(RIGHT(E120,2)),1),0))</f>
        <v/>
      </c>
      <c r="J120">
        <f>VALUE(LEFT(E120,4))*12+VALUE(RIGHT(E120,2))-1</f>
        <v/>
      </c>
    </row>
    <row r="121">
      <c r="A121" t="inlineStr">
        <is>
          <t>El Corcobo Norte</t>
        </is>
      </c>
      <c r="B121" t="inlineStr">
        <is>
          <t>Neuquina</t>
        </is>
      </c>
      <c r="C121" t="inlineStr">
        <is>
          <t>PLUSPETROL S.A.</t>
        </is>
      </c>
      <c r="D121" t="inlineStr">
        <is>
          <t>convencional</t>
        </is>
      </c>
      <c r="E121" t="inlineStr">
        <is>
          <t>2015-12</t>
        </is>
      </c>
      <c r="F121" t="n">
        <v>70123.2</v>
      </c>
      <c r="G121" t="n">
        <v>491298.8</v>
      </c>
      <c r="H121" t="n">
        <v>509478</v>
      </c>
      <c r="I121">
        <f>DAY(EOMONTH(DATE(VALUE(LEFT(E121,4)),VALUE(RIGHT(E121,2)),1),0))</f>
        <v/>
      </c>
      <c r="J121">
        <f>VALUE(LEFT(E121,4))*12+VALUE(RIGHT(E121,2))-1</f>
        <v/>
      </c>
    </row>
    <row r="122">
      <c r="A122" t="inlineStr">
        <is>
          <t>El Corcobo Norte</t>
        </is>
      </c>
      <c r="B122" t="inlineStr">
        <is>
          <t>Neuquina</t>
        </is>
      </c>
      <c r="C122" t="inlineStr">
        <is>
          <t>PLUSPETROL S.A.</t>
        </is>
      </c>
      <c r="D122" t="inlineStr">
        <is>
          <t>convencional</t>
        </is>
      </c>
      <c r="E122" t="inlineStr">
        <is>
          <t>2016-01</t>
        </is>
      </c>
      <c r="F122" t="n">
        <v>66508.10000000001</v>
      </c>
      <c r="G122" t="n">
        <v>516718.2</v>
      </c>
      <c r="H122" t="n">
        <v>509607</v>
      </c>
      <c r="I122">
        <f>DAY(EOMONTH(DATE(VALUE(LEFT(E122,4)),VALUE(RIGHT(E122,2)),1),0))</f>
        <v/>
      </c>
      <c r="J122">
        <f>VALUE(LEFT(E122,4))*12+VALUE(RIGHT(E122,2))-1</f>
        <v/>
      </c>
    </row>
    <row r="123">
      <c r="A123" t="inlineStr">
        <is>
          <t>El Corcobo Norte</t>
        </is>
      </c>
      <c r="B123" t="inlineStr">
        <is>
          <t>Neuquina</t>
        </is>
      </c>
      <c r="C123" t="inlineStr">
        <is>
          <t>PLUSPETROL S.A.</t>
        </is>
      </c>
      <c r="D123" t="inlineStr">
        <is>
          <t>convencional</t>
        </is>
      </c>
      <c r="E123" t="inlineStr">
        <is>
          <t>2016-02</t>
        </is>
      </c>
      <c r="F123" t="n">
        <v>64839.8</v>
      </c>
      <c r="G123" t="n">
        <v>505086.8</v>
      </c>
      <c r="H123" t="n">
        <v>474639</v>
      </c>
      <c r="I123">
        <f>DAY(EOMONTH(DATE(VALUE(LEFT(E123,4)),VALUE(RIGHT(E123,2)),1),0))</f>
        <v/>
      </c>
      <c r="J123">
        <f>VALUE(LEFT(E123,4))*12+VALUE(RIGHT(E123,2))-1</f>
        <v/>
      </c>
    </row>
    <row r="124">
      <c r="A124" t="inlineStr">
        <is>
          <t>El Corcobo Norte</t>
        </is>
      </c>
      <c r="B124" t="inlineStr">
        <is>
          <t>Neuquina</t>
        </is>
      </c>
      <c r="C124" t="inlineStr">
        <is>
          <t>PLUSPETROL S.A.</t>
        </is>
      </c>
      <c r="D124" t="inlineStr">
        <is>
          <t>convencional</t>
        </is>
      </c>
      <c r="E124" t="inlineStr">
        <is>
          <t>2016-03</t>
        </is>
      </c>
      <c r="F124" t="n">
        <v>71460.7</v>
      </c>
      <c r="G124" t="n">
        <v>551576.1</v>
      </c>
      <c r="H124" t="n">
        <v>511203</v>
      </c>
      <c r="I124">
        <f>DAY(EOMONTH(DATE(VALUE(LEFT(E124,4)),VALUE(RIGHT(E124,2)),1),0))</f>
        <v/>
      </c>
      <c r="J124">
        <f>VALUE(LEFT(E124,4))*12+VALUE(RIGHT(E124,2))-1</f>
        <v/>
      </c>
    </row>
    <row r="125">
      <c r="A125" t="inlineStr">
        <is>
          <t>El Corcobo Norte</t>
        </is>
      </c>
      <c r="B125" t="inlineStr">
        <is>
          <t>Neuquina</t>
        </is>
      </c>
      <c r="C125" t="inlineStr">
        <is>
          <t>PLUSPETROL S.A.</t>
        </is>
      </c>
      <c r="D125" t="inlineStr">
        <is>
          <t>convencional</t>
        </is>
      </c>
      <c r="E125" t="inlineStr">
        <is>
          <t>2016-04</t>
        </is>
      </c>
      <c r="F125" t="n">
        <v>70935.8</v>
      </c>
      <c r="G125" t="n">
        <v>540489.2</v>
      </c>
      <c r="H125" t="n">
        <v>499862</v>
      </c>
      <c r="I125">
        <f>DAY(EOMONTH(DATE(VALUE(LEFT(E125,4)),VALUE(RIGHT(E125,2)),1),0))</f>
        <v/>
      </c>
      <c r="J125">
        <f>VALUE(LEFT(E125,4))*12+VALUE(RIGHT(E125,2))-1</f>
        <v/>
      </c>
    </row>
    <row r="126">
      <c r="A126" t="inlineStr">
        <is>
          <t>El Corcobo Norte</t>
        </is>
      </c>
      <c r="B126" t="inlineStr">
        <is>
          <t>Neuquina</t>
        </is>
      </c>
      <c r="C126" t="inlineStr">
        <is>
          <t>PLUSPETROL S.A.</t>
        </is>
      </c>
      <c r="D126" t="inlineStr">
        <is>
          <t>convencional</t>
        </is>
      </c>
      <c r="E126" t="inlineStr">
        <is>
          <t>2016-05</t>
        </is>
      </c>
      <c r="F126" t="n">
        <v>69477.7</v>
      </c>
      <c r="G126" t="n">
        <v>537089.3</v>
      </c>
      <c r="H126" t="n">
        <v>502370.2</v>
      </c>
      <c r="I126">
        <f>DAY(EOMONTH(DATE(VALUE(LEFT(E126,4)),VALUE(RIGHT(E126,2)),1),0))</f>
        <v/>
      </c>
      <c r="J126">
        <f>VALUE(LEFT(E126,4))*12+VALUE(RIGHT(E126,2))-1</f>
        <v/>
      </c>
    </row>
    <row r="127">
      <c r="A127" t="inlineStr">
        <is>
          <t>El Corcobo Norte</t>
        </is>
      </c>
      <c r="B127" t="inlineStr">
        <is>
          <t>Neuquina</t>
        </is>
      </c>
      <c r="C127" t="inlineStr">
        <is>
          <t>PLUSPETROL S.A.</t>
        </is>
      </c>
      <c r="D127" t="inlineStr">
        <is>
          <t>convencional</t>
        </is>
      </c>
      <c r="E127" t="inlineStr">
        <is>
          <t>2016-06</t>
        </is>
      </c>
      <c r="F127" t="n">
        <v>63979.8</v>
      </c>
      <c r="G127" t="n">
        <v>514572.2</v>
      </c>
      <c r="H127" t="n">
        <v>477336.4</v>
      </c>
      <c r="I127">
        <f>DAY(EOMONTH(DATE(VALUE(LEFT(E127,4)),VALUE(RIGHT(E127,2)),1),0))</f>
        <v/>
      </c>
      <c r="J127">
        <f>VALUE(LEFT(E127,4))*12+VALUE(RIGHT(E127,2))-1</f>
        <v/>
      </c>
    </row>
    <row r="128">
      <c r="A128" t="inlineStr">
        <is>
          <t>El Corcobo Norte</t>
        </is>
      </c>
      <c r="B128" t="inlineStr">
        <is>
          <t>Neuquina</t>
        </is>
      </c>
      <c r="C128" t="inlineStr">
        <is>
          <t>PLUSPETROL S.A.</t>
        </is>
      </c>
      <c r="D128" t="inlineStr">
        <is>
          <t>convencional</t>
        </is>
      </c>
      <c r="E128" t="inlineStr">
        <is>
          <t>2016-07</t>
        </is>
      </c>
      <c r="F128" t="n">
        <v>70140.7</v>
      </c>
      <c r="G128" t="n">
        <v>566976.8</v>
      </c>
      <c r="H128" t="n">
        <v>531331</v>
      </c>
      <c r="I128">
        <f>DAY(EOMONTH(DATE(VALUE(LEFT(E128,4)),VALUE(RIGHT(E128,2)),1),0))</f>
        <v/>
      </c>
      <c r="J128">
        <f>VALUE(LEFT(E128,4))*12+VALUE(RIGHT(E128,2))-1</f>
        <v/>
      </c>
    </row>
    <row r="129">
      <c r="A129" t="inlineStr">
        <is>
          <t>El Corcobo Norte</t>
        </is>
      </c>
      <c r="B129" t="inlineStr">
        <is>
          <t>Neuquina</t>
        </is>
      </c>
      <c r="C129" t="inlineStr">
        <is>
          <t>PLUSPETROL S.A.</t>
        </is>
      </c>
      <c r="D129" t="inlineStr">
        <is>
          <t>convencional</t>
        </is>
      </c>
      <c r="E129" t="inlineStr">
        <is>
          <t>2016-08</t>
        </is>
      </c>
      <c r="F129" t="n">
        <v>69540.10000000001</v>
      </c>
      <c r="G129" t="n">
        <v>568798.7</v>
      </c>
      <c r="H129" t="n">
        <v>530443</v>
      </c>
      <c r="I129">
        <f>DAY(EOMONTH(DATE(VALUE(LEFT(E129,4)),VALUE(RIGHT(E129,2)),1),0))</f>
        <v/>
      </c>
      <c r="J129">
        <f>VALUE(LEFT(E129,4))*12+VALUE(RIGHT(E129,2))-1</f>
        <v/>
      </c>
    </row>
    <row r="130">
      <c r="A130" t="inlineStr">
        <is>
          <t>El Corcobo Norte</t>
        </is>
      </c>
      <c r="B130" t="inlineStr">
        <is>
          <t>Neuquina</t>
        </is>
      </c>
      <c r="C130" t="inlineStr">
        <is>
          <t>PLUSPETROL S.A.</t>
        </is>
      </c>
      <c r="D130" t="inlineStr">
        <is>
          <t>convencional</t>
        </is>
      </c>
      <c r="E130" t="inlineStr">
        <is>
          <t>2016-09</t>
        </is>
      </c>
      <c r="F130" t="n">
        <v>65535</v>
      </c>
      <c r="G130" t="n">
        <v>551926.3</v>
      </c>
      <c r="H130" t="n">
        <v>515940</v>
      </c>
      <c r="I130">
        <f>DAY(EOMONTH(DATE(VALUE(LEFT(E130,4)),VALUE(RIGHT(E130,2)),1),0))</f>
        <v/>
      </c>
      <c r="J130">
        <f>VALUE(LEFT(E130,4))*12+VALUE(RIGHT(E130,2))-1</f>
        <v/>
      </c>
    </row>
    <row r="131">
      <c r="A131" t="inlineStr">
        <is>
          <t>El Corcobo Norte</t>
        </is>
      </c>
      <c r="B131" t="inlineStr">
        <is>
          <t>Neuquina</t>
        </is>
      </c>
      <c r="C131" t="inlineStr">
        <is>
          <t>PLUSPETROL S.A.</t>
        </is>
      </c>
      <c r="D131" t="inlineStr">
        <is>
          <t>convencional</t>
        </is>
      </c>
      <c r="E131" t="inlineStr">
        <is>
          <t>2016-10</t>
        </is>
      </c>
      <c r="F131" t="n">
        <v>65936.60000000001</v>
      </c>
      <c r="G131" t="n">
        <v>575207.9</v>
      </c>
      <c r="H131" t="n">
        <v>545369</v>
      </c>
      <c r="I131">
        <f>DAY(EOMONTH(DATE(VALUE(LEFT(E131,4)),VALUE(RIGHT(E131,2)),1),0))</f>
        <v/>
      </c>
      <c r="J131">
        <f>VALUE(LEFT(E131,4))*12+VALUE(RIGHT(E131,2))-1</f>
        <v/>
      </c>
    </row>
    <row r="132">
      <c r="A132" t="inlineStr">
        <is>
          <t>El Corcobo Norte</t>
        </is>
      </c>
      <c r="B132" t="inlineStr">
        <is>
          <t>Neuquina</t>
        </is>
      </c>
      <c r="C132" t="inlineStr">
        <is>
          <t>PLUSPETROL S.A.</t>
        </is>
      </c>
      <c r="D132" t="inlineStr">
        <is>
          <t>convencional</t>
        </is>
      </c>
      <c r="E132" t="inlineStr">
        <is>
          <t>2016-11</t>
        </is>
      </c>
      <c r="F132" t="n">
        <v>65483.7</v>
      </c>
      <c r="G132" t="n">
        <v>568982.8</v>
      </c>
      <c r="H132" t="n">
        <v>530958</v>
      </c>
      <c r="I132">
        <f>DAY(EOMONTH(DATE(VALUE(LEFT(E132,4)),VALUE(RIGHT(E132,2)),1),0))</f>
        <v/>
      </c>
      <c r="J132">
        <f>VALUE(LEFT(E132,4))*12+VALUE(RIGHT(E132,2))-1</f>
        <v/>
      </c>
    </row>
    <row r="133">
      <c r="A133" t="inlineStr">
        <is>
          <t>El Corcobo Norte</t>
        </is>
      </c>
      <c r="B133" t="inlineStr">
        <is>
          <t>Neuquina</t>
        </is>
      </c>
      <c r="C133" t="inlineStr">
        <is>
          <t>PLUSPETROL S.A.</t>
        </is>
      </c>
      <c r="D133" t="inlineStr">
        <is>
          <t>convencional</t>
        </is>
      </c>
      <c r="E133" t="inlineStr">
        <is>
          <t>2016-12</t>
        </is>
      </c>
      <c r="F133" t="n">
        <v>65888.8</v>
      </c>
      <c r="G133" t="n">
        <v>584041.5</v>
      </c>
      <c r="H133" t="n">
        <v>528689</v>
      </c>
      <c r="I133">
        <f>DAY(EOMONTH(DATE(VALUE(LEFT(E133,4)),VALUE(RIGHT(E133,2)),1),0))</f>
        <v/>
      </c>
      <c r="J133">
        <f>VALUE(LEFT(E133,4))*12+VALUE(RIGHT(E133,2))-1</f>
        <v/>
      </c>
    </row>
    <row r="134">
      <c r="A134" t="inlineStr">
        <is>
          <t>El Corcobo Norte</t>
        </is>
      </c>
      <c r="B134" t="inlineStr">
        <is>
          <t>Neuquina</t>
        </is>
      </c>
      <c r="C134" t="inlineStr">
        <is>
          <t>PLUSPETROL S.A.</t>
        </is>
      </c>
      <c r="D134" t="inlineStr">
        <is>
          <t>convencional</t>
        </is>
      </c>
      <c r="E134" t="inlineStr">
        <is>
          <t>2017-01</t>
        </is>
      </c>
      <c r="F134" t="n">
        <v>65686.7</v>
      </c>
      <c r="G134" t="n">
        <v>583755.5</v>
      </c>
      <c r="H134" t="n">
        <v>533909</v>
      </c>
      <c r="I134">
        <f>DAY(EOMONTH(DATE(VALUE(LEFT(E134,4)),VALUE(RIGHT(E134,2)),1),0))</f>
        <v/>
      </c>
      <c r="J134">
        <f>VALUE(LEFT(E134,4))*12+VALUE(RIGHT(E134,2))-1</f>
        <v/>
      </c>
    </row>
    <row r="135">
      <c r="A135" t="inlineStr">
        <is>
          <t>El Corcobo Norte</t>
        </is>
      </c>
      <c r="B135" t="inlineStr">
        <is>
          <t>Neuquina</t>
        </is>
      </c>
      <c r="C135" t="inlineStr">
        <is>
          <t>PLUSPETROL S.A.</t>
        </is>
      </c>
      <c r="D135" t="inlineStr">
        <is>
          <t>convencional</t>
        </is>
      </c>
      <c r="E135" t="inlineStr">
        <is>
          <t>2017-02</t>
        </is>
      </c>
      <c r="F135" t="n">
        <v>57842.4</v>
      </c>
      <c r="G135" t="n">
        <v>521486</v>
      </c>
      <c r="H135" t="n">
        <v>479082</v>
      </c>
      <c r="I135">
        <f>DAY(EOMONTH(DATE(VALUE(LEFT(E135,4)),VALUE(RIGHT(E135,2)),1),0))</f>
        <v/>
      </c>
      <c r="J135">
        <f>VALUE(LEFT(E135,4))*12+VALUE(RIGHT(E135,2))-1</f>
        <v/>
      </c>
    </row>
    <row r="136">
      <c r="A136" t="inlineStr">
        <is>
          <t>El Corcobo Norte</t>
        </is>
      </c>
      <c r="B136" t="inlineStr">
        <is>
          <t>Neuquina</t>
        </is>
      </c>
      <c r="C136" t="inlineStr">
        <is>
          <t>PLUSPETROL S.A.</t>
        </is>
      </c>
      <c r="D136" t="inlineStr">
        <is>
          <t>convencional</t>
        </is>
      </c>
      <c r="E136" t="inlineStr">
        <is>
          <t>2017-03</t>
        </is>
      </c>
      <c r="F136" t="n">
        <v>63531.2</v>
      </c>
      <c r="G136" t="n">
        <v>583156.2</v>
      </c>
      <c r="H136" t="n">
        <v>539981</v>
      </c>
      <c r="I136">
        <f>DAY(EOMONTH(DATE(VALUE(LEFT(E136,4)),VALUE(RIGHT(E136,2)),1),0))</f>
        <v/>
      </c>
      <c r="J136">
        <f>VALUE(LEFT(E136,4))*12+VALUE(RIGHT(E136,2))-1</f>
        <v/>
      </c>
    </row>
    <row r="137">
      <c r="A137" t="inlineStr">
        <is>
          <t>El Corcobo Norte</t>
        </is>
      </c>
      <c r="B137" t="inlineStr">
        <is>
          <t>Neuquina</t>
        </is>
      </c>
      <c r="C137" t="inlineStr">
        <is>
          <t>PLUSPETROL S.A.</t>
        </is>
      </c>
      <c r="D137" t="inlineStr">
        <is>
          <t>convencional</t>
        </is>
      </c>
      <c r="E137" t="inlineStr">
        <is>
          <t>2017-04</t>
        </is>
      </c>
      <c r="F137" t="n">
        <v>60806</v>
      </c>
      <c r="G137" t="n">
        <v>551818.7</v>
      </c>
      <c r="H137" t="n">
        <v>513942</v>
      </c>
      <c r="I137">
        <f>DAY(EOMONTH(DATE(VALUE(LEFT(E137,4)),VALUE(RIGHT(E137,2)),1),0))</f>
        <v/>
      </c>
      <c r="J137">
        <f>VALUE(LEFT(E137,4))*12+VALUE(RIGHT(E137,2))-1</f>
        <v/>
      </c>
    </row>
    <row r="138">
      <c r="A138" t="inlineStr">
        <is>
          <t>El Corcobo Norte</t>
        </is>
      </c>
      <c r="B138" t="inlineStr">
        <is>
          <t>Neuquina</t>
        </is>
      </c>
      <c r="C138" t="inlineStr">
        <is>
          <t>PLUSPETROL S.A.</t>
        </is>
      </c>
      <c r="D138" t="inlineStr">
        <is>
          <t>convencional</t>
        </is>
      </c>
      <c r="E138" t="inlineStr">
        <is>
          <t>2017-05</t>
        </is>
      </c>
      <c r="F138" t="n">
        <v>55695.5</v>
      </c>
      <c r="G138" t="n">
        <v>534728.6</v>
      </c>
      <c r="H138" t="n">
        <v>499059</v>
      </c>
      <c r="I138">
        <f>DAY(EOMONTH(DATE(VALUE(LEFT(E138,4)),VALUE(RIGHT(E138,2)),1),0))</f>
        <v/>
      </c>
      <c r="J138">
        <f>VALUE(LEFT(E138,4))*12+VALUE(RIGHT(E138,2))-1</f>
        <v/>
      </c>
    </row>
    <row r="139">
      <c r="A139" t="inlineStr">
        <is>
          <t>El Corcobo Norte</t>
        </is>
      </c>
      <c r="B139" t="inlineStr">
        <is>
          <t>Neuquina</t>
        </is>
      </c>
      <c r="C139" t="inlineStr">
        <is>
          <t>PLUSPETROL S.A.</t>
        </is>
      </c>
      <c r="D139" t="inlineStr">
        <is>
          <t>convencional</t>
        </is>
      </c>
      <c r="E139" t="inlineStr">
        <is>
          <t>2017-06</t>
        </is>
      </c>
      <c r="F139" t="n">
        <v>62082.4</v>
      </c>
      <c r="G139" t="n">
        <v>592070.3</v>
      </c>
      <c r="H139" t="n">
        <v>536310</v>
      </c>
      <c r="I139">
        <f>DAY(EOMONTH(DATE(VALUE(LEFT(E139,4)),VALUE(RIGHT(E139,2)),1),0))</f>
        <v/>
      </c>
      <c r="J139">
        <f>VALUE(LEFT(E139,4))*12+VALUE(RIGHT(E139,2))-1</f>
        <v/>
      </c>
    </row>
    <row r="140">
      <c r="A140" t="inlineStr">
        <is>
          <t>El Corcobo Norte</t>
        </is>
      </c>
      <c r="B140" t="inlineStr">
        <is>
          <t>Neuquina</t>
        </is>
      </c>
      <c r="C140" t="inlineStr">
        <is>
          <t>PLUSPETROL S.A.</t>
        </is>
      </c>
      <c r="D140" t="inlineStr">
        <is>
          <t>convencional</t>
        </is>
      </c>
      <c r="E140" t="inlineStr">
        <is>
          <t>2017-07</t>
        </is>
      </c>
      <c r="F140" t="n">
        <v>68416.5</v>
      </c>
      <c r="G140" t="n">
        <v>614209.2</v>
      </c>
      <c r="H140" t="n">
        <v>552697</v>
      </c>
      <c r="I140">
        <f>DAY(EOMONTH(DATE(VALUE(LEFT(E140,4)),VALUE(RIGHT(E140,2)),1),0))</f>
        <v/>
      </c>
      <c r="J140">
        <f>VALUE(LEFT(E140,4))*12+VALUE(RIGHT(E140,2))-1</f>
        <v/>
      </c>
    </row>
    <row r="141">
      <c r="A141" t="inlineStr">
        <is>
          <t>El Corcobo Norte</t>
        </is>
      </c>
      <c r="B141" t="inlineStr">
        <is>
          <t>Neuquina</t>
        </is>
      </c>
      <c r="C141" t="inlineStr">
        <is>
          <t>PLUSPETROL S.A.</t>
        </is>
      </c>
      <c r="D141" t="inlineStr">
        <is>
          <t>convencional</t>
        </is>
      </c>
      <c r="E141" t="inlineStr">
        <is>
          <t>2017-08</t>
        </is>
      </c>
      <c r="F141" t="n">
        <v>66151.10000000001</v>
      </c>
      <c r="G141" t="n">
        <v>600866.9</v>
      </c>
      <c r="H141" t="n">
        <v>542646</v>
      </c>
      <c r="I141">
        <f>DAY(EOMONTH(DATE(VALUE(LEFT(E141,4)),VALUE(RIGHT(E141,2)),1),0))</f>
        <v/>
      </c>
      <c r="J141">
        <f>VALUE(LEFT(E141,4))*12+VALUE(RIGHT(E141,2))-1</f>
        <v/>
      </c>
    </row>
    <row r="142">
      <c r="A142" t="inlineStr">
        <is>
          <t>El Corcobo Norte</t>
        </is>
      </c>
      <c r="B142" t="inlineStr">
        <is>
          <t>Neuquina</t>
        </is>
      </c>
      <c r="C142" t="inlineStr">
        <is>
          <t>PLUSPETROL S.A.</t>
        </is>
      </c>
      <c r="D142" t="inlineStr">
        <is>
          <t>convencional</t>
        </is>
      </c>
      <c r="E142" t="inlineStr">
        <is>
          <t>2017-09</t>
        </is>
      </c>
      <c r="F142" t="n">
        <v>65654</v>
      </c>
      <c r="G142" t="n">
        <v>584950.1</v>
      </c>
      <c r="H142" t="n">
        <v>520259</v>
      </c>
      <c r="I142">
        <f>DAY(EOMONTH(DATE(VALUE(LEFT(E142,4)),VALUE(RIGHT(E142,2)),1),0))</f>
        <v/>
      </c>
      <c r="J142">
        <f>VALUE(LEFT(E142,4))*12+VALUE(RIGHT(E142,2))-1</f>
        <v/>
      </c>
    </row>
    <row r="143">
      <c r="A143" t="inlineStr">
        <is>
          <t>El Corcobo Norte</t>
        </is>
      </c>
      <c r="B143" t="inlineStr">
        <is>
          <t>Neuquina</t>
        </is>
      </c>
      <c r="C143" t="inlineStr">
        <is>
          <t>PLUSPETROL S.A.</t>
        </is>
      </c>
      <c r="D143" t="inlineStr">
        <is>
          <t>convencional</t>
        </is>
      </c>
      <c r="E143" t="inlineStr">
        <is>
          <t>2017-10</t>
        </is>
      </c>
      <c r="F143" t="n">
        <v>68766.5</v>
      </c>
      <c r="G143" t="n">
        <v>609967.4</v>
      </c>
      <c r="H143" t="n">
        <v>542817</v>
      </c>
      <c r="I143">
        <f>DAY(EOMONTH(DATE(VALUE(LEFT(E143,4)),VALUE(RIGHT(E143,2)),1),0))</f>
        <v/>
      </c>
      <c r="J143">
        <f>VALUE(LEFT(E143,4))*12+VALUE(RIGHT(E143,2))-1</f>
        <v/>
      </c>
    </row>
    <row r="144">
      <c r="A144" t="inlineStr">
        <is>
          <t>El Corcobo Norte</t>
        </is>
      </c>
      <c r="B144" t="inlineStr">
        <is>
          <t>Neuquina</t>
        </is>
      </c>
      <c r="C144" t="inlineStr">
        <is>
          <t>PLUSPETROL S.A.</t>
        </is>
      </c>
      <c r="D144" t="inlineStr">
        <is>
          <t>convencional</t>
        </is>
      </c>
      <c r="E144" t="inlineStr">
        <is>
          <t>2017-11</t>
        </is>
      </c>
      <c r="F144" t="n">
        <v>64422.2</v>
      </c>
      <c r="G144" t="n">
        <v>607161.1</v>
      </c>
      <c r="H144" t="n">
        <v>520634</v>
      </c>
      <c r="I144">
        <f>DAY(EOMONTH(DATE(VALUE(LEFT(E144,4)),VALUE(RIGHT(E144,2)),1),0))</f>
        <v/>
      </c>
      <c r="J144">
        <f>VALUE(LEFT(E144,4))*12+VALUE(RIGHT(E144,2))-1</f>
        <v/>
      </c>
    </row>
    <row r="145">
      <c r="A145" t="inlineStr">
        <is>
          <t>El Corcobo Norte</t>
        </is>
      </c>
      <c r="B145" t="inlineStr">
        <is>
          <t>Neuquina</t>
        </is>
      </c>
      <c r="C145" t="inlineStr">
        <is>
          <t>PLUSPETROL S.A.</t>
        </is>
      </c>
      <c r="D145" t="inlineStr">
        <is>
          <t>convencional</t>
        </is>
      </c>
      <c r="E145" t="inlineStr">
        <is>
          <t>2017-12</t>
        </is>
      </c>
      <c r="F145" t="n">
        <v>65173.1</v>
      </c>
      <c r="G145" t="n">
        <v>624504.1</v>
      </c>
      <c r="H145" t="n">
        <v>543982</v>
      </c>
      <c r="I145">
        <f>DAY(EOMONTH(DATE(VALUE(LEFT(E145,4)),VALUE(RIGHT(E145,2)),1),0))</f>
        <v/>
      </c>
      <c r="J145">
        <f>VALUE(LEFT(E145,4))*12+VALUE(RIGHT(E145,2))-1</f>
        <v/>
      </c>
    </row>
    <row r="146">
      <c r="A146" t="inlineStr">
        <is>
          <t>El Corcobo Norte</t>
        </is>
      </c>
      <c r="B146" t="inlineStr">
        <is>
          <t>Neuquina</t>
        </is>
      </c>
      <c r="C146" t="inlineStr">
        <is>
          <t>PLUSPETROL S.A.</t>
        </is>
      </c>
      <c r="D146" t="inlineStr">
        <is>
          <t>convencional</t>
        </is>
      </c>
      <c r="E146" t="inlineStr">
        <is>
          <t>2018-01</t>
        </is>
      </c>
      <c r="F146" t="n">
        <v>63221.5</v>
      </c>
      <c r="G146" t="n">
        <v>619077.4</v>
      </c>
      <c r="H146" t="n">
        <v>542318</v>
      </c>
      <c r="I146">
        <f>DAY(EOMONTH(DATE(VALUE(LEFT(E146,4)),VALUE(RIGHT(E146,2)),1),0))</f>
        <v/>
      </c>
      <c r="J146">
        <f>VALUE(LEFT(E146,4))*12+VALUE(RIGHT(E146,2))-1</f>
        <v/>
      </c>
    </row>
    <row r="147">
      <c r="A147" t="inlineStr">
        <is>
          <t>El Corcobo Norte</t>
        </is>
      </c>
      <c r="B147" t="inlineStr">
        <is>
          <t>Neuquina</t>
        </is>
      </c>
      <c r="C147" t="inlineStr">
        <is>
          <t>PLUSPETROL S.A.</t>
        </is>
      </c>
      <c r="D147" t="inlineStr">
        <is>
          <t>convencional</t>
        </is>
      </c>
      <c r="E147" t="inlineStr">
        <is>
          <t>2018-02</t>
        </is>
      </c>
      <c r="F147" t="n">
        <v>55582.6</v>
      </c>
      <c r="G147" t="n">
        <v>555581.9</v>
      </c>
      <c r="H147" t="n">
        <v>483672</v>
      </c>
      <c r="I147">
        <f>DAY(EOMONTH(DATE(VALUE(LEFT(E147,4)),VALUE(RIGHT(E147,2)),1),0))</f>
        <v/>
      </c>
      <c r="J147">
        <f>VALUE(LEFT(E147,4))*12+VALUE(RIGHT(E147,2))-1</f>
        <v/>
      </c>
    </row>
    <row r="148">
      <c r="A148" t="inlineStr">
        <is>
          <t>El Corcobo Norte</t>
        </is>
      </c>
      <c r="B148" t="inlineStr">
        <is>
          <t>Neuquina</t>
        </is>
      </c>
      <c r="C148" t="inlineStr">
        <is>
          <t>PLUSPETROL S.A.</t>
        </is>
      </c>
      <c r="D148" t="inlineStr">
        <is>
          <t>convencional</t>
        </is>
      </c>
      <c r="E148" t="inlineStr">
        <is>
          <t>2018-03</t>
        </is>
      </c>
      <c r="F148" t="n">
        <v>64016.2</v>
      </c>
      <c r="G148" t="n">
        <v>627906.8</v>
      </c>
      <c r="H148" t="n">
        <v>546956</v>
      </c>
      <c r="I148">
        <f>DAY(EOMONTH(DATE(VALUE(LEFT(E148,4)),VALUE(RIGHT(E148,2)),1),0))</f>
        <v/>
      </c>
      <c r="J148">
        <f>VALUE(LEFT(E148,4))*12+VALUE(RIGHT(E148,2))-1</f>
        <v/>
      </c>
    </row>
    <row r="149">
      <c r="A149" t="inlineStr">
        <is>
          <t>El Corcobo Norte</t>
        </is>
      </c>
      <c r="B149" t="inlineStr">
        <is>
          <t>Neuquina</t>
        </is>
      </c>
      <c r="C149" t="inlineStr">
        <is>
          <t>PLUSPETROL S.A.</t>
        </is>
      </c>
      <c r="D149" t="inlineStr">
        <is>
          <t>convencional</t>
        </is>
      </c>
      <c r="E149" t="inlineStr">
        <is>
          <t>2018-04</t>
        </is>
      </c>
      <c r="F149" t="n">
        <v>61528.6</v>
      </c>
      <c r="G149" t="n">
        <v>605385.2</v>
      </c>
      <c r="H149" t="n">
        <v>548006</v>
      </c>
      <c r="I149">
        <f>DAY(EOMONTH(DATE(VALUE(LEFT(E149,4)),VALUE(RIGHT(E149,2)),1),0))</f>
        <v/>
      </c>
      <c r="J149">
        <f>VALUE(LEFT(E149,4))*12+VALUE(RIGHT(E149,2))-1</f>
        <v/>
      </c>
    </row>
    <row r="150">
      <c r="A150" t="inlineStr">
        <is>
          <t>El Corcobo Norte</t>
        </is>
      </c>
      <c r="B150" t="inlineStr">
        <is>
          <t>Neuquina</t>
        </is>
      </c>
      <c r="C150" t="inlineStr">
        <is>
          <t>PLUSPETROL S.A.</t>
        </is>
      </c>
      <c r="D150" t="inlineStr">
        <is>
          <t>convencional</t>
        </is>
      </c>
      <c r="E150" t="inlineStr">
        <is>
          <t>2018-05</t>
        </is>
      </c>
      <c r="F150" t="n">
        <v>62032.8</v>
      </c>
      <c r="G150" t="n">
        <v>629951.2</v>
      </c>
      <c r="H150" t="n">
        <v>574822</v>
      </c>
      <c r="I150">
        <f>DAY(EOMONTH(DATE(VALUE(LEFT(E150,4)),VALUE(RIGHT(E150,2)),1),0))</f>
        <v/>
      </c>
      <c r="J150">
        <f>VALUE(LEFT(E150,4))*12+VALUE(RIGHT(E150,2))-1</f>
        <v/>
      </c>
    </row>
    <row r="151">
      <c r="A151" t="inlineStr">
        <is>
          <t>El Corcobo Norte</t>
        </is>
      </c>
      <c r="B151" t="inlineStr">
        <is>
          <t>Neuquina</t>
        </is>
      </c>
      <c r="C151" t="inlineStr">
        <is>
          <t>PLUSPETROL S.A.</t>
        </is>
      </c>
      <c r="D151" t="inlineStr">
        <is>
          <t>convencional</t>
        </is>
      </c>
      <c r="E151" t="inlineStr">
        <is>
          <t>2018-06</t>
        </is>
      </c>
      <c r="F151" t="n">
        <v>61051</v>
      </c>
      <c r="G151" t="n">
        <v>623622.5</v>
      </c>
      <c r="H151" t="n">
        <v>547441</v>
      </c>
      <c r="I151">
        <f>DAY(EOMONTH(DATE(VALUE(LEFT(E151,4)),VALUE(RIGHT(E151,2)),1),0))</f>
        <v/>
      </c>
      <c r="J151">
        <f>VALUE(LEFT(E151,4))*12+VALUE(RIGHT(E151,2))-1</f>
        <v/>
      </c>
    </row>
    <row r="152">
      <c r="A152" t="inlineStr">
        <is>
          <t>El Corcobo Norte</t>
        </is>
      </c>
      <c r="B152" t="inlineStr">
        <is>
          <t>Neuquina</t>
        </is>
      </c>
      <c r="C152" t="inlineStr">
        <is>
          <t>PLUSPETROL S.A.</t>
        </is>
      </c>
      <c r="D152" t="inlineStr">
        <is>
          <t>convencional</t>
        </is>
      </c>
      <c r="E152" t="inlineStr">
        <is>
          <t>2018-07</t>
        </is>
      </c>
      <c r="F152" t="n">
        <v>60469.4</v>
      </c>
      <c r="G152" t="n">
        <v>650721.3</v>
      </c>
      <c r="H152" t="n">
        <v>567014</v>
      </c>
      <c r="I152">
        <f>DAY(EOMONTH(DATE(VALUE(LEFT(E152,4)),VALUE(RIGHT(E152,2)),1),0))</f>
        <v/>
      </c>
      <c r="J152">
        <f>VALUE(LEFT(E152,4))*12+VALUE(RIGHT(E152,2))-1</f>
        <v/>
      </c>
    </row>
    <row r="153">
      <c r="A153" t="inlineStr">
        <is>
          <t>El Corcobo Norte</t>
        </is>
      </c>
      <c r="B153" t="inlineStr">
        <is>
          <t>Neuquina</t>
        </is>
      </c>
      <c r="C153" t="inlineStr">
        <is>
          <t>PLUSPETROL S.A.</t>
        </is>
      </c>
      <c r="D153" t="inlineStr">
        <is>
          <t>convencional</t>
        </is>
      </c>
      <c r="E153" t="inlineStr">
        <is>
          <t>2018-08</t>
        </is>
      </c>
      <c r="F153" t="n">
        <v>60250.9</v>
      </c>
      <c r="G153" t="n">
        <v>658243.2</v>
      </c>
      <c r="H153" t="n">
        <v>565971</v>
      </c>
      <c r="I153">
        <f>DAY(EOMONTH(DATE(VALUE(LEFT(E153,4)),VALUE(RIGHT(E153,2)),1),0))</f>
        <v/>
      </c>
      <c r="J153">
        <f>VALUE(LEFT(E153,4))*12+VALUE(RIGHT(E153,2))-1</f>
        <v/>
      </c>
    </row>
    <row r="154">
      <c r="A154" t="inlineStr">
        <is>
          <t>El Corcobo Norte</t>
        </is>
      </c>
      <c r="B154" t="inlineStr">
        <is>
          <t>Neuquina</t>
        </is>
      </c>
      <c r="C154" t="inlineStr">
        <is>
          <t>PLUSPETROL S.A.</t>
        </is>
      </c>
      <c r="D154" t="inlineStr">
        <is>
          <t>convencional</t>
        </is>
      </c>
      <c r="E154" t="inlineStr">
        <is>
          <t>2018-09</t>
        </is>
      </c>
      <c r="F154" t="n">
        <v>59229.9</v>
      </c>
      <c r="G154" t="n">
        <v>640638.3</v>
      </c>
      <c r="H154" t="n">
        <v>552019</v>
      </c>
      <c r="I154">
        <f>DAY(EOMONTH(DATE(VALUE(LEFT(E154,4)),VALUE(RIGHT(E154,2)),1),0))</f>
        <v/>
      </c>
      <c r="J154">
        <f>VALUE(LEFT(E154,4))*12+VALUE(RIGHT(E154,2))-1</f>
        <v/>
      </c>
    </row>
    <row r="155">
      <c r="A155" t="inlineStr">
        <is>
          <t>El Corcobo Norte</t>
        </is>
      </c>
      <c r="B155" t="inlineStr">
        <is>
          <t>Neuquina</t>
        </is>
      </c>
      <c r="C155" t="inlineStr">
        <is>
          <t>PLUSPETROL S.A.</t>
        </is>
      </c>
      <c r="D155" t="inlineStr">
        <is>
          <t>convencional</t>
        </is>
      </c>
      <c r="E155" t="inlineStr">
        <is>
          <t>2018-10</t>
        </is>
      </c>
      <c r="F155" t="n">
        <v>61159.3</v>
      </c>
      <c r="G155" t="n">
        <v>666095</v>
      </c>
      <c r="H155" t="n">
        <v>570517</v>
      </c>
      <c r="I155">
        <f>DAY(EOMONTH(DATE(VALUE(LEFT(E155,4)),VALUE(RIGHT(E155,2)),1),0))</f>
        <v/>
      </c>
      <c r="J155">
        <f>VALUE(LEFT(E155,4))*12+VALUE(RIGHT(E155,2))-1</f>
        <v/>
      </c>
    </row>
    <row r="156">
      <c r="A156" t="inlineStr">
        <is>
          <t>El Corcobo Norte</t>
        </is>
      </c>
      <c r="B156" t="inlineStr">
        <is>
          <t>Neuquina</t>
        </is>
      </c>
      <c r="C156" t="inlineStr">
        <is>
          <t>PLUSPETROL S.A.</t>
        </is>
      </c>
      <c r="D156" t="inlineStr">
        <is>
          <t>convencional</t>
        </is>
      </c>
      <c r="E156" t="inlineStr">
        <is>
          <t>2018-11</t>
        </is>
      </c>
      <c r="F156" t="n">
        <v>56835.6</v>
      </c>
      <c r="G156" t="n">
        <v>632582.1</v>
      </c>
      <c r="H156" t="n">
        <v>546622</v>
      </c>
      <c r="I156">
        <f>DAY(EOMONTH(DATE(VALUE(LEFT(E156,4)),VALUE(RIGHT(E156,2)),1),0))</f>
        <v/>
      </c>
      <c r="J156">
        <f>VALUE(LEFT(E156,4))*12+VALUE(RIGHT(E156,2))-1</f>
        <v/>
      </c>
    </row>
    <row r="157">
      <c r="A157" t="inlineStr">
        <is>
          <t>El Corcobo Norte</t>
        </is>
      </c>
      <c r="B157" t="inlineStr">
        <is>
          <t>Neuquina</t>
        </is>
      </c>
      <c r="C157" t="inlineStr">
        <is>
          <t>PLUSPETROL S.A.</t>
        </is>
      </c>
      <c r="D157" t="inlineStr">
        <is>
          <t>convencional</t>
        </is>
      </c>
      <c r="E157" t="inlineStr">
        <is>
          <t>2018-12</t>
        </is>
      </c>
      <c r="F157" t="n">
        <v>59028.9</v>
      </c>
      <c r="G157" t="n">
        <v>658406.2</v>
      </c>
      <c r="H157" t="n">
        <v>568011</v>
      </c>
      <c r="I157">
        <f>DAY(EOMONTH(DATE(VALUE(LEFT(E157,4)),VALUE(RIGHT(E157,2)),1),0))</f>
        <v/>
      </c>
      <c r="J157">
        <f>VALUE(LEFT(E157,4))*12+VALUE(RIGHT(E157,2))-1</f>
        <v/>
      </c>
    </row>
    <row r="158">
      <c r="A158" t="inlineStr">
        <is>
          <t>El Corcobo Norte</t>
        </is>
      </c>
      <c r="B158" t="inlineStr">
        <is>
          <t>Neuquina</t>
        </is>
      </c>
      <c r="C158" t="inlineStr">
        <is>
          <t>PLUSPETROL S.A.</t>
        </is>
      </c>
      <c r="D158" t="inlineStr">
        <is>
          <t>convencional</t>
        </is>
      </c>
      <c r="E158" t="inlineStr">
        <is>
          <t>2019-02</t>
        </is>
      </c>
      <c r="F158" t="n">
        <v>50830</v>
      </c>
      <c r="G158" t="n">
        <v>582081.9</v>
      </c>
      <c r="H158" t="n">
        <v>510664.2</v>
      </c>
      <c r="I158">
        <f>DAY(EOMONTH(DATE(VALUE(LEFT(E158,4)),VALUE(RIGHT(E158,2)),1),0))</f>
        <v/>
      </c>
      <c r="J158">
        <f>VALUE(LEFT(E158,4))*12+VALUE(RIGHT(E158,2))-1</f>
        <v/>
      </c>
    </row>
    <row r="159">
      <c r="A159" t="inlineStr">
        <is>
          <t>El Corcobo Norte</t>
        </is>
      </c>
      <c r="B159" t="inlineStr">
        <is>
          <t>Neuquina</t>
        </is>
      </c>
      <c r="C159" t="inlineStr">
        <is>
          <t>PLUSPETROL S.A.</t>
        </is>
      </c>
      <c r="D159" t="inlineStr">
        <is>
          <t>convencional</t>
        </is>
      </c>
      <c r="E159" t="inlineStr">
        <is>
          <t>2019-03</t>
        </is>
      </c>
      <c r="F159" t="n">
        <v>57517.6</v>
      </c>
      <c r="G159" t="n">
        <v>645262.3</v>
      </c>
      <c r="H159" t="n">
        <v>564788.8</v>
      </c>
      <c r="I159">
        <f>DAY(EOMONTH(DATE(VALUE(LEFT(E159,4)),VALUE(RIGHT(E159,2)),1),0))</f>
        <v/>
      </c>
      <c r="J159">
        <f>VALUE(LEFT(E159,4))*12+VALUE(RIGHT(E159,2))-1</f>
        <v/>
      </c>
    </row>
    <row r="160">
      <c r="A160" t="inlineStr">
        <is>
          <t>El Corcobo Norte</t>
        </is>
      </c>
      <c r="B160" t="inlineStr">
        <is>
          <t>Neuquina</t>
        </is>
      </c>
      <c r="C160" t="inlineStr">
        <is>
          <t>PLUSPETROL S.A.</t>
        </is>
      </c>
      <c r="D160" t="inlineStr">
        <is>
          <t>convencional</t>
        </is>
      </c>
      <c r="E160" t="inlineStr">
        <is>
          <t>2019-04</t>
        </is>
      </c>
      <c r="F160" t="n">
        <v>54200.1</v>
      </c>
      <c r="G160" t="n">
        <v>618571.7</v>
      </c>
      <c r="H160" t="n">
        <v>538484.1</v>
      </c>
      <c r="I160">
        <f>DAY(EOMONTH(DATE(VALUE(LEFT(E160,4)),VALUE(RIGHT(E160,2)),1),0))</f>
        <v/>
      </c>
      <c r="J160">
        <f>VALUE(LEFT(E160,4))*12+VALUE(RIGHT(E160,2))-1</f>
        <v/>
      </c>
    </row>
    <row r="161">
      <c r="A161" t="inlineStr">
        <is>
          <t>El Corcobo Norte</t>
        </is>
      </c>
      <c r="B161" t="inlineStr">
        <is>
          <t>Neuquina</t>
        </is>
      </c>
      <c r="C161" t="inlineStr">
        <is>
          <t>PLUSPETROL S.A.</t>
        </is>
      </c>
      <c r="D161" t="inlineStr">
        <is>
          <t>convencional</t>
        </is>
      </c>
      <c r="E161" t="inlineStr">
        <is>
          <t>2019-05</t>
        </is>
      </c>
      <c r="F161" t="n">
        <v>56907</v>
      </c>
      <c r="G161" t="n">
        <v>652086.9</v>
      </c>
      <c r="H161" t="n">
        <v>565012.8</v>
      </c>
      <c r="I161">
        <f>DAY(EOMONTH(DATE(VALUE(LEFT(E161,4)),VALUE(RIGHT(E161,2)),1),0))</f>
        <v/>
      </c>
      <c r="J161">
        <f>VALUE(LEFT(E161,4))*12+VALUE(RIGHT(E161,2))-1</f>
        <v/>
      </c>
    </row>
    <row r="162">
      <c r="A162" t="inlineStr">
        <is>
          <t>El Corcobo Norte</t>
        </is>
      </c>
      <c r="B162" t="inlineStr">
        <is>
          <t>Neuquina</t>
        </is>
      </c>
      <c r="C162" t="inlineStr">
        <is>
          <t>PLUSPETROL S.A.</t>
        </is>
      </c>
      <c r="D162" t="inlineStr">
        <is>
          <t>convencional</t>
        </is>
      </c>
      <c r="E162" t="inlineStr">
        <is>
          <t>2019-06</t>
        </is>
      </c>
      <c r="F162" t="n">
        <v>55512.7</v>
      </c>
      <c r="G162" t="n">
        <v>623760.3</v>
      </c>
      <c r="H162" t="n">
        <v>550019.3</v>
      </c>
      <c r="I162">
        <f>DAY(EOMONTH(DATE(VALUE(LEFT(E162,4)),VALUE(RIGHT(E162,2)),1),0))</f>
        <v/>
      </c>
      <c r="J162">
        <f>VALUE(LEFT(E162,4))*12+VALUE(RIGHT(E162,2))-1</f>
        <v/>
      </c>
    </row>
    <row r="163">
      <c r="A163" t="inlineStr">
        <is>
          <t>El Corcobo Norte</t>
        </is>
      </c>
      <c r="B163" t="inlineStr">
        <is>
          <t>Neuquina</t>
        </is>
      </c>
      <c r="C163" t="inlineStr">
        <is>
          <t>PLUSPETROL S.A.</t>
        </is>
      </c>
      <c r="D163" t="inlineStr">
        <is>
          <t>convencional</t>
        </is>
      </c>
      <c r="E163" t="inlineStr">
        <is>
          <t>2019-07</t>
        </is>
      </c>
      <c r="F163" t="n">
        <v>55429</v>
      </c>
      <c r="G163" t="n">
        <v>634050</v>
      </c>
      <c r="H163" t="n">
        <v>559790.9</v>
      </c>
      <c r="I163">
        <f>DAY(EOMONTH(DATE(VALUE(LEFT(E163,4)),VALUE(RIGHT(E163,2)),1),0))</f>
        <v/>
      </c>
      <c r="J163">
        <f>VALUE(LEFT(E163,4))*12+VALUE(RIGHT(E163,2))-1</f>
        <v/>
      </c>
    </row>
    <row r="164">
      <c r="A164" t="inlineStr">
        <is>
          <t>El Corcobo Norte</t>
        </is>
      </c>
      <c r="B164" t="inlineStr">
        <is>
          <t>Neuquina</t>
        </is>
      </c>
      <c r="C164" t="inlineStr">
        <is>
          <t>PLUSPETROL S.A.</t>
        </is>
      </c>
      <c r="D164" t="inlineStr">
        <is>
          <t>convencional</t>
        </is>
      </c>
      <c r="E164" t="inlineStr">
        <is>
          <t>2019-08</t>
        </is>
      </c>
      <c r="F164" t="n">
        <v>55994.8</v>
      </c>
      <c r="G164" t="n">
        <v>653878.7</v>
      </c>
      <c r="H164" t="n">
        <v>579258.3</v>
      </c>
      <c r="I164">
        <f>DAY(EOMONTH(DATE(VALUE(LEFT(E164,4)),VALUE(RIGHT(E164,2)),1),0))</f>
        <v/>
      </c>
      <c r="J164">
        <f>VALUE(LEFT(E164,4))*12+VALUE(RIGHT(E164,2))-1</f>
        <v/>
      </c>
    </row>
    <row r="165">
      <c r="A165" t="inlineStr">
        <is>
          <t>El Corcobo Norte</t>
        </is>
      </c>
      <c r="B165" t="inlineStr">
        <is>
          <t>Neuquina</t>
        </is>
      </c>
      <c r="C165" t="inlineStr">
        <is>
          <t>PLUSPETROL S.A.</t>
        </is>
      </c>
      <c r="D165" t="inlineStr">
        <is>
          <t>convencional</t>
        </is>
      </c>
      <c r="E165" t="inlineStr">
        <is>
          <t>2019-09</t>
        </is>
      </c>
      <c r="F165" t="n">
        <v>54538.1</v>
      </c>
      <c r="G165" t="n">
        <v>631380.5</v>
      </c>
      <c r="H165" t="n">
        <v>573603.7</v>
      </c>
      <c r="I165">
        <f>DAY(EOMONTH(DATE(VALUE(LEFT(E165,4)),VALUE(RIGHT(E165,2)),1),0))</f>
        <v/>
      </c>
      <c r="J165">
        <f>VALUE(LEFT(E165,4))*12+VALUE(RIGHT(E165,2))-1</f>
        <v/>
      </c>
    </row>
    <row r="166">
      <c r="A166" t="inlineStr">
        <is>
          <t>El Corcobo Norte</t>
        </is>
      </c>
      <c r="B166" t="inlineStr">
        <is>
          <t>Neuquina</t>
        </is>
      </c>
      <c r="C166" t="inlineStr">
        <is>
          <t>PLUSPETROL S.A.</t>
        </is>
      </c>
      <c r="D166" t="inlineStr">
        <is>
          <t>convencional</t>
        </is>
      </c>
      <c r="E166" t="inlineStr">
        <is>
          <t>2019-10</t>
        </is>
      </c>
      <c r="F166" t="n">
        <v>57074.4</v>
      </c>
      <c r="G166" t="n">
        <v>665308</v>
      </c>
      <c r="H166" t="n">
        <v>584859.5</v>
      </c>
      <c r="I166">
        <f>DAY(EOMONTH(DATE(VALUE(LEFT(E166,4)),VALUE(RIGHT(E166,2)),1),0))</f>
        <v/>
      </c>
      <c r="J166">
        <f>VALUE(LEFT(E166,4))*12+VALUE(RIGHT(E166,2))-1</f>
        <v/>
      </c>
    </row>
    <row r="167">
      <c r="A167" t="inlineStr">
        <is>
          <t>El Corcobo Norte</t>
        </is>
      </c>
      <c r="B167" t="inlineStr">
        <is>
          <t>Neuquina</t>
        </is>
      </c>
      <c r="C167" t="inlineStr">
        <is>
          <t>PLUSPETROL S.A.</t>
        </is>
      </c>
      <c r="D167" t="inlineStr">
        <is>
          <t>convencional</t>
        </is>
      </c>
      <c r="E167" t="inlineStr">
        <is>
          <t>2019-11</t>
        </is>
      </c>
      <c r="F167" t="n">
        <v>56505.2</v>
      </c>
      <c r="G167" t="n">
        <v>637077.8</v>
      </c>
      <c r="H167" t="n">
        <v>536052</v>
      </c>
      <c r="I167">
        <f>DAY(EOMONTH(DATE(VALUE(LEFT(E167,4)),VALUE(RIGHT(E167,2)),1),0))</f>
        <v/>
      </c>
      <c r="J167">
        <f>VALUE(LEFT(E167,4))*12+VALUE(RIGHT(E167,2))-1</f>
        <v/>
      </c>
    </row>
    <row r="168">
      <c r="A168" t="inlineStr">
        <is>
          <t>El Corcobo Norte</t>
        </is>
      </c>
      <c r="B168" t="inlineStr">
        <is>
          <t>Neuquina</t>
        </is>
      </c>
      <c r="C168" t="inlineStr">
        <is>
          <t>PLUSPETROL S.A.</t>
        </is>
      </c>
      <c r="D168" t="inlineStr">
        <is>
          <t>convencional</t>
        </is>
      </c>
      <c r="E168" t="inlineStr">
        <is>
          <t>2019-12</t>
        </is>
      </c>
      <c r="F168" t="n">
        <v>56968.5</v>
      </c>
      <c r="G168" t="n">
        <v>655406.7</v>
      </c>
      <c r="H168" t="n">
        <v>547270.2</v>
      </c>
      <c r="I168">
        <f>DAY(EOMONTH(DATE(VALUE(LEFT(E168,4)),VALUE(RIGHT(E168,2)),1),0))</f>
        <v/>
      </c>
      <c r="J168">
        <f>VALUE(LEFT(E168,4))*12+VALUE(RIGHT(E168,2))-1</f>
        <v/>
      </c>
    </row>
    <row r="169">
      <c r="A169" t="inlineStr">
        <is>
          <t>El Corcobo Norte</t>
        </is>
      </c>
      <c r="B169" t="inlineStr">
        <is>
          <t>Neuquina</t>
        </is>
      </c>
      <c r="C169" t="inlineStr">
        <is>
          <t>PLUSPETROL S.A.</t>
        </is>
      </c>
      <c r="D169" t="inlineStr">
        <is>
          <t>convencional</t>
        </is>
      </c>
      <c r="E169" t="inlineStr">
        <is>
          <t>2020-01</t>
        </is>
      </c>
      <c r="F169" t="n">
        <v>55099.6</v>
      </c>
      <c r="G169" t="n">
        <v>660539.6</v>
      </c>
      <c r="H169" t="n">
        <v>567868.5</v>
      </c>
      <c r="I169">
        <f>DAY(EOMONTH(DATE(VALUE(LEFT(E169,4)),VALUE(RIGHT(E169,2)),1),0))</f>
        <v/>
      </c>
      <c r="J169">
        <f>VALUE(LEFT(E169,4))*12+VALUE(RIGHT(E169,2))-1</f>
        <v/>
      </c>
    </row>
    <row r="170">
      <c r="A170" t="inlineStr">
        <is>
          <t>El Corcobo Norte</t>
        </is>
      </c>
      <c r="B170" t="inlineStr">
        <is>
          <t>Neuquina</t>
        </is>
      </c>
      <c r="C170" t="inlineStr">
        <is>
          <t>PLUSPETROL S.A.</t>
        </is>
      </c>
      <c r="D170" t="inlineStr">
        <is>
          <t>convencional</t>
        </is>
      </c>
      <c r="E170" t="inlineStr">
        <is>
          <t>2020-02</t>
        </is>
      </c>
      <c r="F170" t="n">
        <v>52706.4</v>
      </c>
      <c r="G170" t="n">
        <v>615194.5</v>
      </c>
      <c r="H170" t="n">
        <v>511738.6</v>
      </c>
      <c r="I170">
        <f>DAY(EOMONTH(DATE(VALUE(LEFT(E170,4)),VALUE(RIGHT(E170,2)),1),0))</f>
        <v/>
      </c>
      <c r="J170">
        <f>VALUE(LEFT(E170,4))*12+VALUE(RIGHT(E170,2))-1</f>
        <v/>
      </c>
    </row>
    <row r="171">
      <c r="A171" t="inlineStr">
        <is>
          <t>El Corcobo Norte</t>
        </is>
      </c>
      <c r="B171" t="inlineStr">
        <is>
          <t>Neuquina</t>
        </is>
      </c>
      <c r="C171" t="inlineStr">
        <is>
          <t>PLUSPETROL S.A.</t>
        </is>
      </c>
      <c r="D171" t="inlineStr">
        <is>
          <t>convencional</t>
        </is>
      </c>
      <c r="E171" t="inlineStr">
        <is>
          <t>2020-03</t>
        </is>
      </c>
      <c r="F171" t="n">
        <v>57305.1</v>
      </c>
      <c r="G171" t="n">
        <v>654624.2</v>
      </c>
      <c r="H171" t="n">
        <v>560460</v>
      </c>
      <c r="I171">
        <f>DAY(EOMONTH(DATE(VALUE(LEFT(E171,4)),VALUE(RIGHT(E171,2)),1),0))</f>
        <v/>
      </c>
      <c r="J171">
        <f>VALUE(LEFT(E171,4))*12+VALUE(RIGHT(E171,2))-1</f>
        <v/>
      </c>
    </row>
    <row r="172">
      <c r="A172" t="inlineStr">
        <is>
          <t>El Corcobo Norte</t>
        </is>
      </c>
      <c r="B172" t="inlineStr">
        <is>
          <t>Neuquina</t>
        </is>
      </c>
      <c r="C172" t="inlineStr">
        <is>
          <t>PLUSPETROL S.A.</t>
        </is>
      </c>
      <c r="D172" t="inlineStr">
        <is>
          <t>convencional</t>
        </is>
      </c>
      <c r="E172" t="inlineStr">
        <is>
          <t>2020-04</t>
        </is>
      </c>
      <c r="F172" t="n">
        <v>44778.4</v>
      </c>
      <c r="G172" t="n">
        <v>553264.2</v>
      </c>
      <c r="H172" t="n">
        <v>503911.9</v>
      </c>
      <c r="I172">
        <f>DAY(EOMONTH(DATE(VALUE(LEFT(E172,4)),VALUE(RIGHT(E172,2)),1),0))</f>
        <v/>
      </c>
      <c r="J172">
        <f>VALUE(LEFT(E172,4))*12+VALUE(RIGHT(E172,2))-1</f>
        <v/>
      </c>
    </row>
    <row r="173">
      <c r="A173" t="inlineStr">
        <is>
          <t>El Corcobo Norte</t>
        </is>
      </c>
      <c r="B173" t="inlineStr">
        <is>
          <t>Neuquina</t>
        </is>
      </c>
      <c r="C173" t="inlineStr">
        <is>
          <t>PLUSPETROL S.A.</t>
        </is>
      </c>
      <c r="D173" t="inlineStr">
        <is>
          <t>convencional</t>
        </is>
      </c>
      <c r="E173" t="inlineStr">
        <is>
          <t>2020-05</t>
        </is>
      </c>
      <c r="F173" t="n">
        <v>46892.8</v>
      </c>
      <c r="G173" t="n">
        <v>585153.2</v>
      </c>
      <c r="H173" t="n">
        <v>545109.2</v>
      </c>
      <c r="I173">
        <f>DAY(EOMONTH(DATE(VALUE(LEFT(E173,4)),VALUE(RIGHT(E173,2)),1),0))</f>
        <v/>
      </c>
      <c r="J173">
        <f>VALUE(LEFT(E173,4))*12+VALUE(RIGHT(E173,2))-1</f>
        <v/>
      </c>
    </row>
    <row r="174">
      <c r="A174" t="inlineStr">
        <is>
          <t>El Corcobo Norte</t>
        </is>
      </c>
      <c r="B174" t="inlineStr">
        <is>
          <t>Neuquina</t>
        </is>
      </c>
      <c r="C174" t="inlineStr">
        <is>
          <t>PLUSPETROL S.A.</t>
        </is>
      </c>
      <c r="D174" t="inlineStr">
        <is>
          <t>convencional</t>
        </is>
      </c>
      <c r="E174" t="inlineStr">
        <is>
          <t>2020-06</t>
        </is>
      </c>
      <c r="F174" t="n">
        <v>47557.8</v>
      </c>
      <c r="G174" t="n">
        <v>565912.7</v>
      </c>
      <c r="H174" t="n">
        <v>504556.8</v>
      </c>
      <c r="I174">
        <f>DAY(EOMONTH(DATE(VALUE(LEFT(E174,4)),VALUE(RIGHT(E174,2)),1),0))</f>
        <v/>
      </c>
      <c r="J174">
        <f>VALUE(LEFT(E174,4))*12+VALUE(RIGHT(E174,2))-1</f>
        <v/>
      </c>
    </row>
    <row r="175">
      <c r="A175" t="inlineStr">
        <is>
          <t>El Corcobo Norte</t>
        </is>
      </c>
      <c r="B175" t="inlineStr">
        <is>
          <t>Neuquina</t>
        </is>
      </c>
      <c r="C175" t="inlineStr">
        <is>
          <t>PLUSPETROL S.A.</t>
        </is>
      </c>
      <c r="D175" t="inlineStr">
        <is>
          <t>convencional</t>
        </is>
      </c>
      <c r="E175" t="inlineStr">
        <is>
          <t>2020-07</t>
        </is>
      </c>
      <c r="F175" t="n">
        <v>49635.7</v>
      </c>
      <c r="G175" t="n">
        <v>605230</v>
      </c>
      <c r="H175" t="n">
        <v>538728.5</v>
      </c>
      <c r="I175">
        <f>DAY(EOMONTH(DATE(VALUE(LEFT(E175,4)),VALUE(RIGHT(E175,2)),1),0))</f>
        <v/>
      </c>
      <c r="J175">
        <f>VALUE(LEFT(E175,4))*12+VALUE(RIGHT(E175,2))-1</f>
        <v/>
      </c>
    </row>
    <row r="176">
      <c r="A176" t="inlineStr">
        <is>
          <t>El Corcobo Norte</t>
        </is>
      </c>
      <c r="B176" t="inlineStr">
        <is>
          <t>Neuquina</t>
        </is>
      </c>
      <c r="C176" t="inlineStr">
        <is>
          <t>PLUSPETROL S.A.</t>
        </is>
      </c>
      <c r="D176" t="inlineStr">
        <is>
          <t>convencional</t>
        </is>
      </c>
      <c r="E176" t="inlineStr">
        <is>
          <t>2020-08</t>
        </is>
      </c>
      <c r="F176" t="n">
        <v>49386.3</v>
      </c>
      <c r="G176" t="n">
        <v>606652.5</v>
      </c>
      <c r="H176" t="n">
        <v>549186</v>
      </c>
      <c r="I176">
        <f>DAY(EOMONTH(DATE(VALUE(LEFT(E176,4)),VALUE(RIGHT(E176,2)),1),0))</f>
        <v/>
      </c>
      <c r="J176">
        <f>VALUE(LEFT(E176,4))*12+VALUE(RIGHT(E176,2))-1</f>
        <v/>
      </c>
    </row>
    <row r="177">
      <c r="A177" t="inlineStr">
        <is>
          <t>El Corcobo Norte</t>
        </is>
      </c>
      <c r="B177" t="inlineStr">
        <is>
          <t>Neuquina</t>
        </is>
      </c>
      <c r="C177" t="inlineStr">
        <is>
          <t>PLUSPETROL S.A.</t>
        </is>
      </c>
      <c r="D177" t="inlineStr">
        <is>
          <t>convencional</t>
        </is>
      </c>
      <c r="E177" t="inlineStr">
        <is>
          <t>2020-09</t>
        </is>
      </c>
      <c r="F177" t="n">
        <v>48568.2</v>
      </c>
      <c r="G177" t="n">
        <v>600107.1</v>
      </c>
      <c r="H177" t="n">
        <v>545885</v>
      </c>
      <c r="I177">
        <f>DAY(EOMONTH(DATE(VALUE(LEFT(E177,4)),VALUE(RIGHT(E177,2)),1),0))</f>
        <v/>
      </c>
      <c r="J177">
        <f>VALUE(LEFT(E177,4))*12+VALUE(RIGHT(E177,2))-1</f>
        <v/>
      </c>
    </row>
    <row r="178">
      <c r="A178" t="inlineStr">
        <is>
          <t>El Corcobo Norte</t>
        </is>
      </c>
      <c r="B178" t="inlineStr">
        <is>
          <t>Neuquina</t>
        </is>
      </c>
      <c r="C178" t="inlineStr">
        <is>
          <t>PLUSPETROL S.A.</t>
        </is>
      </c>
      <c r="D178" t="inlineStr">
        <is>
          <t>convencional</t>
        </is>
      </c>
      <c r="E178" t="inlineStr">
        <is>
          <t>2020-10</t>
        </is>
      </c>
      <c r="F178" t="n">
        <v>49165.4</v>
      </c>
      <c r="G178" t="n">
        <v>612525.3</v>
      </c>
      <c r="H178" t="n">
        <v>558737.2</v>
      </c>
      <c r="I178">
        <f>DAY(EOMONTH(DATE(VALUE(LEFT(E178,4)),VALUE(RIGHT(E178,2)),1),0))</f>
        <v/>
      </c>
      <c r="J178">
        <f>VALUE(LEFT(E178,4))*12+VALUE(RIGHT(E178,2))-1</f>
        <v/>
      </c>
    </row>
    <row r="179">
      <c r="A179" t="inlineStr">
        <is>
          <t>El Corcobo Norte</t>
        </is>
      </c>
      <c r="B179" t="inlineStr">
        <is>
          <t>Neuquina</t>
        </is>
      </c>
      <c r="C179" t="inlineStr">
        <is>
          <t>PLUSPETROL S.A.</t>
        </is>
      </c>
      <c r="D179" t="inlineStr">
        <is>
          <t>convencional</t>
        </is>
      </c>
      <c r="E179" t="inlineStr">
        <is>
          <t>2020-11</t>
        </is>
      </c>
      <c r="F179" t="n">
        <v>48568.7</v>
      </c>
      <c r="G179" t="n">
        <v>593526.7</v>
      </c>
      <c r="H179" t="n">
        <v>531004</v>
      </c>
      <c r="I179">
        <f>DAY(EOMONTH(DATE(VALUE(LEFT(E179,4)),VALUE(RIGHT(E179,2)),1),0))</f>
        <v/>
      </c>
      <c r="J179">
        <f>VALUE(LEFT(E179,4))*12+VALUE(RIGHT(E179,2))-1</f>
        <v/>
      </c>
    </row>
    <row r="180">
      <c r="A180" t="inlineStr">
        <is>
          <t>El Corcobo Norte</t>
        </is>
      </c>
      <c r="B180" t="inlineStr">
        <is>
          <t>Neuquina</t>
        </is>
      </c>
      <c r="C180" t="inlineStr">
        <is>
          <t>PLUSPETROL S.A.</t>
        </is>
      </c>
      <c r="D180" t="inlineStr">
        <is>
          <t>convencional</t>
        </is>
      </c>
      <c r="E180" t="inlineStr">
        <is>
          <t>2020-12</t>
        </is>
      </c>
      <c r="F180" t="n">
        <v>44821.3</v>
      </c>
      <c r="G180" t="n">
        <v>595206.9</v>
      </c>
      <c r="H180" t="n">
        <v>530241.2</v>
      </c>
      <c r="I180">
        <f>DAY(EOMONTH(DATE(VALUE(LEFT(E180,4)),VALUE(RIGHT(E180,2)),1),0))</f>
        <v/>
      </c>
      <c r="J180">
        <f>VALUE(LEFT(E180,4))*12+VALUE(RIGHT(E180,2))-1</f>
        <v/>
      </c>
    </row>
    <row r="181">
      <c r="A181" t="inlineStr">
        <is>
          <t>El Corcobo Norte</t>
        </is>
      </c>
      <c r="B181" t="inlineStr">
        <is>
          <t>Neuquina</t>
        </is>
      </c>
      <c r="C181" t="inlineStr">
        <is>
          <t>PLUSPETROL S.A.</t>
        </is>
      </c>
      <c r="D181" t="inlineStr">
        <is>
          <t>convencional</t>
        </is>
      </c>
      <c r="E181" t="inlineStr">
        <is>
          <t>2021-01</t>
        </is>
      </c>
      <c r="F181" t="n">
        <v>45681.2</v>
      </c>
      <c r="G181" t="n">
        <v>608134.6</v>
      </c>
      <c r="H181" t="n">
        <v>540721.4</v>
      </c>
      <c r="I181">
        <f>DAY(EOMONTH(DATE(VALUE(LEFT(E181,4)),VALUE(RIGHT(E181,2)),1),0))</f>
        <v/>
      </c>
      <c r="J181">
        <f>VALUE(LEFT(E181,4))*12+VALUE(RIGHT(E181,2))-1</f>
        <v/>
      </c>
    </row>
    <row r="182">
      <c r="A182" t="inlineStr">
        <is>
          <t>El Corcobo Norte</t>
        </is>
      </c>
      <c r="B182" t="inlineStr">
        <is>
          <t>Neuquina</t>
        </is>
      </c>
      <c r="C182" t="inlineStr">
        <is>
          <t>PLUSPETROL S.A.</t>
        </is>
      </c>
      <c r="D182" t="inlineStr">
        <is>
          <t>convencional</t>
        </is>
      </c>
      <c r="E182" t="inlineStr">
        <is>
          <t>2021-02</t>
        </is>
      </c>
      <c r="F182" t="n">
        <v>44352.3</v>
      </c>
      <c r="G182" t="n">
        <v>579097</v>
      </c>
      <c r="H182" t="n">
        <v>499975</v>
      </c>
      <c r="I182">
        <f>DAY(EOMONTH(DATE(VALUE(LEFT(E182,4)),VALUE(RIGHT(E182,2)),1),0))</f>
        <v/>
      </c>
      <c r="J182">
        <f>VALUE(LEFT(E182,4))*12+VALUE(RIGHT(E182,2))-1</f>
        <v/>
      </c>
    </row>
    <row r="183">
      <c r="A183" t="inlineStr">
        <is>
          <t>El Corcobo Norte</t>
        </is>
      </c>
      <c r="B183" t="inlineStr">
        <is>
          <t>Neuquina</t>
        </is>
      </c>
      <c r="C183" t="inlineStr">
        <is>
          <t>PLUSPETROL S.A.</t>
        </is>
      </c>
      <c r="D183" t="inlineStr">
        <is>
          <t>convencional</t>
        </is>
      </c>
      <c r="E183" t="inlineStr">
        <is>
          <t>2021-03</t>
        </is>
      </c>
      <c r="F183" t="n">
        <v>51225.3</v>
      </c>
      <c r="G183" t="n">
        <v>656495.6</v>
      </c>
      <c r="H183" t="n">
        <v>552485</v>
      </c>
      <c r="I183">
        <f>DAY(EOMONTH(DATE(VALUE(LEFT(E183,4)),VALUE(RIGHT(E183,2)),1),0))</f>
        <v/>
      </c>
      <c r="J183">
        <f>VALUE(LEFT(E183,4))*12+VALUE(RIGHT(E183,2))-1</f>
        <v/>
      </c>
    </row>
    <row r="184">
      <c r="A184" t="inlineStr">
        <is>
          <t>El Corcobo Norte</t>
        </is>
      </c>
      <c r="B184" t="inlineStr">
        <is>
          <t>Neuquina</t>
        </is>
      </c>
      <c r="C184" t="inlineStr">
        <is>
          <t>PLUSPETROL S.A.</t>
        </is>
      </c>
      <c r="D184" t="inlineStr">
        <is>
          <t>convencional</t>
        </is>
      </c>
      <c r="E184" t="inlineStr">
        <is>
          <t>2021-04</t>
        </is>
      </c>
      <c r="F184" t="n">
        <v>50683.5</v>
      </c>
      <c r="G184" t="n">
        <v>651912.4</v>
      </c>
      <c r="H184" t="n">
        <v>550200</v>
      </c>
      <c r="I184">
        <f>DAY(EOMONTH(DATE(VALUE(LEFT(E184,4)),VALUE(RIGHT(E184,2)),1),0))</f>
        <v/>
      </c>
      <c r="J184">
        <f>VALUE(LEFT(E184,4))*12+VALUE(RIGHT(E184,2))-1</f>
        <v/>
      </c>
    </row>
    <row r="185">
      <c r="A185" t="inlineStr">
        <is>
          <t>El Corcobo Norte</t>
        </is>
      </c>
      <c r="B185" t="inlineStr">
        <is>
          <t>Neuquina</t>
        </is>
      </c>
      <c r="C185" t="inlineStr">
        <is>
          <t>PLUSPETROL S.A.</t>
        </is>
      </c>
      <c r="D185" t="inlineStr">
        <is>
          <t>convencional</t>
        </is>
      </c>
      <c r="E185" t="inlineStr">
        <is>
          <t>2021-05</t>
        </is>
      </c>
      <c r="F185" t="n">
        <v>49515</v>
      </c>
      <c r="G185" t="n">
        <v>658552.1</v>
      </c>
      <c r="H185" t="n">
        <v>558886.2</v>
      </c>
      <c r="I185">
        <f>DAY(EOMONTH(DATE(VALUE(LEFT(E185,4)),VALUE(RIGHT(E185,2)),1),0))</f>
        <v/>
      </c>
      <c r="J185">
        <f>VALUE(LEFT(E185,4))*12+VALUE(RIGHT(E185,2))-1</f>
        <v/>
      </c>
    </row>
    <row r="186">
      <c r="A186" t="inlineStr">
        <is>
          <t>El Corcobo Norte</t>
        </is>
      </c>
      <c r="B186" t="inlineStr">
        <is>
          <t>Neuquina</t>
        </is>
      </c>
      <c r="C186" t="inlineStr">
        <is>
          <t>PLUSPETROL S.A.</t>
        </is>
      </c>
      <c r="D186" t="inlineStr">
        <is>
          <t>convencional</t>
        </is>
      </c>
      <c r="E186" t="inlineStr">
        <is>
          <t>2021-06</t>
        </is>
      </c>
      <c r="F186" t="n">
        <v>46354.2</v>
      </c>
      <c r="G186" t="n">
        <v>628328.7</v>
      </c>
      <c r="H186" t="n">
        <v>527250.4</v>
      </c>
      <c r="I186">
        <f>DAY(EOMONTH(DATE(VALUE(LEFT(E186,4)),VALUE(RIGHT(E186,2)),1),0))</f>
        <v/>
      </c>
      <c r="J186">
        <f>VALUE(LEFT(E186,4))*12+VALUE(RIGHT(E186,2))-1</f>
        <v/>
      </c>
    </row>
    <row r="187">
      <c r="A187" t="inlineStr">
        <is>
          <t>El Corcobo Norte</t>
        </is>
      </c>
      <c r="B187" t="inlineStr">
        <is>
          <t>Neuquina</t>
        </is>
      </c>
      <c r="C187" t="inlineStr">
        <is>
          <t>PLUSPETROL S.A.</t>
        </is>
      </c>
      <c r="D187" t="inlineStr">
        <is>
          <t>convencional</t>
        </is>
      </c>
      <c r="E187" t="inlineStr">
        <is>
          <t>2021-07</t>
        </is>
      </c>
      <c r="F187" t="n">
        <v>52990.2</v>
      </c>
      <c r="G187" t="n">
        <v>697008.3</v>
      </c>
      <c r="H187" t="n">
        <v>579747</v>
      </c>
      <c r="I187">
        <f>DAY(EOMONTH(DATE(VALUE(LEFT(E187,4)),VALUE(RIGHT(E187,2)),1),0))</f>
        <v/>
      </c>
      <c r="J187">
        <f>VALUE(LEFT(E187,4))*12+VALUE(RIGHT(E187,2))-1</f>
        <v/>
      </c>
    </row>
    <row r="188">
      <c r="A188" t="inlineStr">
        <is>
          <t>El Corcobo Norte</t>
        </is>
      </c>
      <c r="B188" t="inlineStr">
        <is>
          <t>Neuquina</t>
        </is>
      </c>
      <c r="C188" t="inlineStr">
        <is>
          <t>PLUSPETROL S.A.</t>
        </is>
      </c>
      <c r="D188" t="inlineStr">
        <is>
          <t>convencional</t>
        </is>
      </c>
      <c r="E188" t="inlineStr">
        <is>
          <t>2021-08</t>
        </is>
      </c>
      <c r="F188" t="n">
        <v>49518.6</v>
      </c>
      <c r="G188" t="n">
        <v>675783.1</v>
      </c>
      <c r="H188" t="n">
        <v>588417.1</v>
      </c>
      <c r="I188">
        <f>DAY(EOMONTH(DATE(VALUE(LEFT(E188,4)),VALUE(RIGHT(E188,2)),1),0))</f>
        <v/>
      </c>
      <c r="J188">
        <f>VALUE(LEFT(E188,4))*12+VALUE(RIGHT(E188,2))-1</f>
        <v/>
      </c>
    </row>
    <row r="189">
      <c r="A189" t="inlineStr">
        <is>
          <t>El Corcobo Norte</t>
        </is>
      </c>
      <c r="B189" t="inlineStr">
        <is>
          <t>Neuquina</t>
        </is>
      </c>
      <c r="C189" t="inlineStr">
        <is>
          <t>PLUSPETROL S.A.</t>
        </is>
      </c>
      <c r="D189" t="inlineStr">
        <is>
          <t>convencional</t>
        </is>
      </c>
      <c r="E189" t="inlineStr">
        <is>
          <t>2021-09</t>
        </is>
      </c>
      <c r="F189" t="n">
        <v>47662.5</v>
      </c>
      <c r="G189" t="n">
        <v>651567.8</v>
      </c>
      <c r="H189" t="n">
        <v>577081</v>
      </c>
      <c r="I189">
        <f>DAY(EOMONTH(DATE(VALUE(LEFT(E189,4)),VALUE(RIGHT(E189,2)),1),0))</f>
        <v/>
      </c>
      <c r="J189">
        <f>VALUE(LEFT(E189,4))*12+VALUE(RIGHT(E189,2))-1</f>
        <v/>
      </c>
    </row>
    <row r="190">
      <c r="A190" t="inlineStr">
        <is>
          <t>El Corcobo Norte</t>
        </is>
      </c>
      <c r="B190" t="inlineStr">
        <is>
          <t>Neuquina</t>
        </is>
      </c>
      <c r="C190" t="inlineStr">
        <is>
          <t>PLUSPETROL S.A.</t>
        </is>
      </c>
      <c r="D190" t="inlineStr">
        <is>
          <t>convencional</t>
        </is>
      </c>
      <c r="E190" t="inlineStr">
        <is>
          <t>2021-10</t>
        </is>
      </c>
      <c r="F190" t="n">
        <v>48005.2</v>
      </c>
      <c r="G190" t="n">
        <v>703352.8</v>
      </c>
      <c r="H190" t="n">
        <v>609452.4</v>
      </c>
      <c r="I190">
        <f>DAY(EOMONTH(DATE(VALUE(LEFT(E190,4)),VALUE(RIGHT(E190,2)),1),0))</f>
        <v/>
      </c>
      <c r="J190">
        <f>VALUE(LEFT(E190,4))*12+VALUE(RIGHT(E190,2))-1</f>
        <v/>
      </c>
    </row>
    <row r="191">
      <c r="A191" t="inlineStr">
        <is>
          <t>El Corcobo Norte</t>
        </is>
      </c>
      <c r="B191" t="inlineStr">
        <is>
          <t>Neuquina</t>
        </is>
      </c>
      <c r="C191" t="inlineStr">
        <is>
          <t>PLUSPETROL S.A.</t>
        </is>
      </c>
      <c r="D191" t="inlineStr">
        <is>
          <t>convencional</t>
        </is>
      </c>
      <c r="E191" t="inlineStr">
        <is>
          <t>2021-11</t>
        </is>
      </c>
      <c r="F191" t="n">
        <v>47358.9</v>
      </c>
      <c r="G191" t="n">
        <v>668212.4</v>
      </c>
      <c r="H191" t="n">
        <v>577256.2</v>
      </c>
      <c r="I191">
        <f>DAY(EOMONTH(DATE(VALUE(LEFT(E191,4)),VALUE(RIGHT(E191,2)),1),0))</f>
        <v/>
      </c>
      <c r="J191">
        <f>VALUE(LEFT(E191,4))*12+VALUE(RIGHT(E191,2))-1</f>
        <v/>
      </c>
    </row>
    <row r="192">
      <c r="A192" t="inlineStr">
        <is>
          <t>El Corcobo Norte</t>
        </is>
      </c>
      <c r="B192" t="inlineStr">
        <is>
          <t>Neuquina</t>
        </is>
      </c>
      <c r="C192" t="inlineStr">
        <is>
          <t>PLUSPETROL S.A.</t>
        </is>
      </c>
      <c r="D192" t="inlineStr">
        <is>
          <t>convencional</t>
        </is>
      </c>
      <c r="E192" t="inlineStr">
        <is>
          <t>2021-12</t>
        </is>
      </c>
      <c r="F192" t="n">
        <v>47943.1</v>
      </c>
      <c r="G192" t="n">
        <v>675490.1</v>
      </c>
      <c r="H192" t="n">
        <v>568984.7</v>
      </c>
      <c r="I192">
        <f>DAY(EOMONTH(DATE(VALUE(LEFT(E192,4)),VALUE(RIGHT(E192,2)),1),0))</f>
        <v/>
      </c>
      <c r="J192">
        <f>VALUE(LEFT(E192,4))*12+VALUE(RIGHT(E192,2))-1</f>
        <v/>
      </c>
    </row>
    <row r="193">
      <c r="A193" t="inlineStr">
        <is>
          <t>El Corcobo Norte</t>
        </is>
      </c>
      <c r="B193" t="inlineStr">
        <is>
          <t>Neuquina</t>
        </is>
      </c>
      <c r="C193" t="inlineStr">
        <is>
          <t>PLUSPETROL S.A.</t>
        </is>
      </c>
      <c r="D193" t="inlineStr">
        <is>
          <t>convencional</t>
        </is>
      </c>
      <c r="E193" t="inlineStr">
        <is>
          <t>2022-01</t>
        </is>
      </c>
      <c r="F193" t="n">
        <v>50563.7</v>
      </c>
      <c r="G193" t="n">
        <v>696260.3</v>
      </c>
      <c r="H193" t="n">
        <v>545950.8</v>
      </c>
      <c r="I193">
        <f>DAY(EOMONTH(DATE(VALUE(LEFT(E193,4)),VALUE(RIGHT(E193,2)),1),0))</f>
        <v/>
      </c>
      <c r="J193">
        <f>VALUE(LEFT(E193,4))*12+VALUE(RIGHT(E193,2))-1</f>
        <v/>
      </c>
    </row>
    <row r="194">
      <c r="A194" t="inlineStr">
        <is>
          <t>El Corcobo Norte</t>
        </is>
      </c>
      <c r="B194" t="inlineStr">
        <is>
          <t>Neuquina</t>
        </is>
      </c>
      <c r="C194" t="inlineStr">
        <is>
          <t>PLUSPETROL S.A.</t>
        </is>
      </c>
      <c r="D194" t="inlineStr">
        <is>
          <t>convencional</t>
        </is>
      </c>
      <c r="E194" t="inlineStr">
        <is>
          <t>2022-02</t>
        </is>
      </c>
      <c r="F194" t="n">
        <v>45109.8</v>
      </c>
      <c r="G194" t="n">
        <v>613384.2</v>
      </c>
      <c r="H194" t="n">
        <v>451626.7</v>
      </c>
      <c r="I194">
        <f>DAY(EOMONTH(DATE(VALUE(LEFT(E194,4)),VALUE(RIGHT(E194,2)),1),0))</f>
        <v/>
      </c>
      <c r="J194">
        <f>VALUE(LEFT(E194,4))*12+VALUE(RIGHT(E194,2))-1</f>
        <v/>
      </c>
    </row>
    <row r="195">
      <c r="A195" t="inlineStr">
        <is>
          <t>El Corcobo Norte</t>
        </is>
      </c>
      <c r="B195" t="inlineStr">
        <is>
          <t>Neuquina</t>
        </is>
      </c>
      <c r="C195" t="inlineStr">
        <is>
          <t>PLUSPETROL S.A.</t>
        </is>
      </c>
      <c r="D195" t="inlineStr">
        <is>
          <t>convencional</t>
        </is>
      </c>
      <c r="E195" t="inlineStr">
        <is>
          <t>2022-03</t>
        </is>
      </c>
      <c r="F195" t="n">
        <v>48920.6</v>
      </c>
      <c r="G195" t="n">
        <v>659613.5</v>
      </c>
      <c r="H195" t="n">
        <v>497630.8</v>
      </c>
      <c r="I195">
        <f>DAY(EOMONTH(DATE(VALUE(LEFT(E195,4)),VALUE(RIGHT(E195,2)),1),0))</f>
        <v/>
      </c>
      <c r="J195">
        <f>VALUE(LEFT(E195,4))*12+VALUE(RIGHT(E195,2))-1</f>
        <v/>
      </c>
    </row>
    <row r="196">
      <c r="A196" t="inlineStr">
        <is>
          <t>El Corcobo Norte</t>
        </is>
      </c>
      <c r="B196" t="inlineStr">
        <is>
          <t>Neuquina</t>
        </is>
      </c>
      <c r="C196" t="inlineStr">
        <is>
          <t>PLUSPETROL S.A.</t>
        </is>
      </c>
      <c r="D196" t="inlineStr">
        <is>
          <t>convencional</t>
        </is>
      </c>
      <c r="E196" t="inlineStr">
        <is>
          <t>2022-04</t>
        </is>
      </c>
      <c r="F196" t="n">
        <v>47447.5</v>
      </c>
      <c r="G196" t="n">
        <v>647855.1</v>
      </c>
      <c r="H196" t="n">
        <v>558434.1</v>
      </c>
      <c r="I196">
        <f>DAY(EOMONTH(DATE(VALUE(LEFT(E196,4)),VALUE(RIGHT(E196,2)),1),0))</f>
        <v/>
      </c>
      <c r="J196">
        <f>VALUE(LEFT(E196,4))*12+VALUE(RIGHT(E196,2))-1</f>
        <v/>
      </c>
    </row>
    <row r="197">
      <c r="A197" t="inlineStr">
        <is>
          <t>El Corcobo Norte</t>
        </is>
      </c>
      <c r="B197" t="inlineStr">
        <is>
          <t>Neuquina</t>
        </is>
      </c>
      <c r="C197" t="inlineStr">
        <is>
          <t>PLUSPETROL S.A.</t>
        </is>
      </c>
      <c r="D197" t="inlineStr">
        <is>
          <t>convencional</t>
        </is>
      </c>
      <c r="E197" t="inlineStr">
        <is>
          <t>2022-05</t>
        </is>
      </c>
      <c r="F197" t="n">
        <v>48859.4</v>
      </c>
      <c r="G197" t="n">
        <v>659390.9</v>
      </c>
      <c r="H197" t="n">
        <v>563057.6</v>
      </c>
      <c r="I197">
        <f>DAY(EOMONTH(DATE(VALUE(LEFT(E197,4)),VALUE(RIGHT(E197,2)),1),0))</f>
        <v/>
      </c>
      <c r="J197">
        <f>VALUE(LEFT(E197,4))*12+VALUE(RIGHT(E197,2))-1</f>
        <v/>
      </c>
    </row>
    <row r="198">
      <c r="A198" t="inlineStr">
        <is>
          <t>El Corcobo Norte</t>
        </is>
      </c>
      <c r="B198" t="inlineStr">
        <is>
          <t>Neuquina</t>
        </is>
      </c>
      <c r="C198" t="inlineStr">
        <is>
          <t>PLUSPETROL S.A.</t>
        </is>
      </c>
      <c r="D198" t="inlineStr">
        <is>
          <t>convencional</t>
        </is>
      </c>
      <c r="E198" t="inlineStr">
        <is>
          <t>2022-06</t>
        </is>
      </c>
      <c r="F198" t="n">
        <v>47040.5</v>
      </c>
      <c r="G198" t="n">
        <v>627158.6</v>
      </c>
      <c r="H198" t="n">
        <v>559395.9</v>
      </c>
      <c r="I198">
        <f>DAY(EOMONTH(DATE(VALUE(LEFT(E198,4)),VALUE(RIGHT(E198,2)),1),0))</f>
        <v/>
      </c>
      <c r="J198">
        <f>VALUE(LEFT(E198,4))*12+VALUE(RIGHT(E198,2))-1</f>
        <v/>
      </c>
    </row>
    <row r="199">
      <c r="A199" t="inlineStr">
        <is>
          <t>El Corcobo Norte</t>
        </is>
      </c>
      <c r="B199" t="inlineStr">
        <is>
          <t>Neuquina</t>
        </is>
      </c>
      <c r="C199" t="inlineStr">
        <is>
          <t>PLUSPETROL S.A.</t>
        </is>
      </c>
      <c r="D199" t="inlineStr">
        <is>
          <t>convencional</t>
        </is>
      </c>
      <c r="E199" t="inlineStr">
        <is>
          <t>2022-07</t>
        </is>
      </c>
      <c r="F199" t="n">
        <v>46274.6</v>
      </c>
      <c r="G199" t="n">
        <v>645370.9</v>
      </c>
      <c r="H199" t="n">
        <v>562690.1</v>
      </c>
      <c r="I199">
        <f>DAY(EOMONTH(DATE(VALUE(LEFT(E199,4)),VALUE(RIGHT(E199,2)),1),0))</f>
        <v/>
      </c>
      <c r="J199">
        <f>VALUE(LEFT(E199,4))*12+VALUE(RIGHT(E199,2))-1</f>
        <v/>
      </c>
    </row>
    <row r="200">
      <c r="A200" t="inlineStr">
        <is>
          <t>El Corcobo Norte</t>
        </is>
      </c>
      <c r="B200" t="inlineStr">
        <is>
          <t>Neuquina</t>
        </is>
      </c>
      <c r="C200" t="inlineStr">
        <is>
          <t>PLUSPETROL S.A.</t>
        </is>
      </c>
      <c r="D200" t="inlineStr">
        <is>
          <t>convencional</t>
        </is>
      </c>
      <c r="E200" t="inlineStr">
        <is>
          <t>2022-08</t>
        </is>
      </c>
      <c r="F200" t="n">
        <v>46730.7</v>
      </c>
      <c r="G200" t="n">
        <v>636175.4</v>
      </c>
      <c r="H200" t="n">
        <v>557820.1</v>
      </c>
      <c r="I200">
        <f>DAY(EOMONTH(DATE(VALUE(LEFT(E200,4)),VALUE(RIGHT(E200,2)),1),0))</f>
        <v/>
      </c>
      <c r="J200">
        <f>VALUE(LEFT(E200,4))*12+VALUE(RIGHT(E200,2))-1</f>
        <v/>
      </c>
    </row>
    <row r="201">
      <c r="A201" t="inlineStr">
        <is>
          <t>El Corcobo Norte</t>
        </is>
      </c>
      <c r="B201" t="inlineStr">
        <is>
          <t>Neuquina</t>
        </is>
      </c>
      <c r="C201" t="inlineStr">
        <is>
          <t>PLUSPETROL S.A.</t>
        </is>
      </c>
      <c r="D201" t="inlineStr">
        <is>
          <t>convencional</t>
        </is>
      </c>
      <c r="E201" t="inlineStr">
        <is>
          <t>2022-09</t>
        </is>
      </c>
      <c r="F201" t="n">
        <v>44708.8</v>
      </c>
      <c r="G201" t="n">
        <v>621160.8</v>
      </c>
      <c r="H201" t="n">
        <v>558515.3</v>
      </c>
      <c r="I201">
        <f>DAY(EOMONTH(DATE(VALUE(LEFT(E201,4)),VALUE(RIGHT(E201,2)),1),0))</f>
        <v/>
      </c>
      <c r="J201">
        <f>VALUE(LEFT(E201,4))*12+VALUE(RIGHT(E201,2))-1</f>
        <v/>
      </c>
    </row>
    <row r="202">
      <c r="A202" t="inlineStr">
        <is>
          <t>El Corcobo Norte</t>
        </is>
      </c>
      <c r="B202" t="inlineStr">
        <is>
          <t>Neuquina</t>
        </is>
      </c>
      <c r="C202" t="inlineStr">
        <is>
          <t>PLUSPETROL S.A.</t>
        </is>
      </c>
      <c r="D202" t="inlineStr">
        <is>
          <t>convencional</t>
        </is>
      </c>
      <c r="E202" t="inlineStr">
        <is>
          <t>2022-10</t>
        </is>
      </c>
      <c r="F202" t="n">
        <v>46564.1</v>
      </c>
      <c r="G202" t="n">
        <v>642946.7</v>
      </c>
      <c r="H202" t="n">
        <v>555475.1</v>
      </c>
      <c r="I202">
        <f>DAY(EOMONTH(DATE(VALUE(LEFT(E202,4)),VALUE(RIGHT(E202,2)),1),0))</f>
        <v/>
      </c>
      <c r="J202">
        <f>VALUE(LEFT(E202,4))*12+VALUE(RIGHT(E202,2))-1</f>
        <v/>
      </c>
    </row>
    <row r="203">
      <c r="A203" t="inlineStr">
        <is>
          <t>El Corcobo Norte</t>
        </is>
      </c>
      <c r="B203" t="inlineStr">
        <is>
          <t>Neuquina</t>
        </is>
      </c>
      <c r="C203" t="inlineStr">
        <is>
          <t>PLUSPETROL S.A.</t>
        </is>
      </c>
      <c r="D203" t="inlineStr">
        <is>
          <t>convencional</t>
        </is>
      </c>
      <c r="E203" t="inlineStr">
        <is>
          <t>2022-11</t>
        </is>
      </c>
      <c r="F203" t="n">
        <v>43577.1</v>
      </c>
      <c r="G203" t="n">
        <v>653149.1</v>
      </c>
      <c r="H203" t="n">
        <v>536251.9</v>
      </c>
      <c r="I203">
        <f>DAY(EOMONTH(DATE(VALUE(LEFT(E203,4)),VALUE(RIGHT(E203,2)),1),0))</f>
        <v/>
      </c>
      <c r="J203">
        <f>VALUE(LEFT(E203,4))*12+VALUE(RIGHT(E203,2))-1</f>
        <v/>
      </c>
    </row>
    <row r="204">
      <c r="A204" t="inlineStr">
        <is>
          <t>El Corcobo Norte</t>
        </is>
      </c>
      <c r="B204" t="inlineStr">
        <is>
          <t>Neuquina</t>
        </is>
      </c>
      <c r="C204" t="inlineStr">
        <is>
          <t>PLUSPETROL S.A.</t>
        </is>
      </c>
      <c r="D204" t="inlineStr">
        <is>
          <t>convencional</t>
        </is>
      </c>
      <c r="E204" t="inlineStr">
        <is>
          <t>2022-12</t>
        </is>
      </c>
      <c r="F204" t="n">
        <v>46862.5</v>
      </c>
      <c r="G204" t="n">
        <v>689348</v>
      </c>
      <c r="H204" t="n">
        <v>561451.6</v>
      </c>
      <c r="I204">
        <f>DAY(EOMONTH(DATE(VALUE(LEFT(E204,4)),VALUE(RIGHT(E204,2)),1),0))</f>
        <v/>
      </c>
      <c r="J204">
        <f>VALUE(LEFT(E204,4))*12+VALUE(RIGHT(E204,2))-1</f>
        <v/>
      </c>
    </row>
    <row r="205">
      <c r="A205" t="inlineStr">
        <is>
          <t>El Corcobo Norte</t>
        </is>
      </c>
      <c r="B205" t="inlineStr">
        <is>
          <t>Neuquina</t>
        </is>
      </c>
      <c r="C205" t="inlineStr">
        <is>
          <t>PLUSPETROL S.A.</t>
        </is>
      </c>
      <c r="D205" t="inlineStr">
        <is>
          <t>convencional</t>
        </is>
      </c>
      <c r="E205" t="inlineStr">
        <is>
          <t>2023-01</t>
        </is>
      </c>
      <c r="F205" t="n">
        <v>43670.8</v>
      </c>
      <c r="G205" t="n">
        <v>660766.9</v>
      </c>
      <c r="H205" t="n">
        <v>509110.3</v>
      </c>
      <c r="I205">
        <f>DAY(EOMONTH(DATE(VALUE(LEFT(E205,4)),VALUE(RIGHT(E205,2)),1),0))</f>
        <v/>
      </c>
      <c r="J205">
        <f>VALUE(LEFT(E205,4))*12+VALUE(RIGHT(E205,2))-1</f>
        <v/>
      </c>
    </row>
    <row r="206">
      <c r="A206" t="inlineStr">
        <is>
          <t>El Corcobo Norte</t>
        </is>
      </c>
      <c r="B206" t="inlineStr">
        <is>
          <t>Neuquina</t>
        </is>
      </c>
      <c r="C206" t="inlineStr">
        <is>
          <t>PLUSPETROL S.A.</t>
        </is>
      </c>
      <c r="D206" t="inlineStr">
        <is>
          <t>convencional</t>
        </is>
      </c>
      <c r="E206" t="inlineStr">
        <is>
          <t>2023-02</t>
        </is>
      </c>
      <c r="F206" t="n">
        <v>42896.4</v>
      </c>
      <c r="G206" t="n">
        <v>621973.7</v>
      </c>
      <c r="H206" t="n">
        <v>508027.4</v>
      </c>
      <c r="I206">
        <f>DAY(EOMONTH(DATE(VALUE(LEFT(E206,4)),VALUE(RIGHT(E206,2)),1),0))</f>
        <v/>
      </c>
      <c r="J206">
        <f>VALUE(LEFT(E206,4))*12+VALUE(RIGHT(E206,2))-1</f>
        <v/>
      </c>
    </row>
    <row r="207">
      <c r="A207" t="inlineStr">
        <is>
          <t>El Corcobo Norte</t>
        </is>
      </c>
      <c r="B207" t="inlineStr">
        <is>
          <t>Neuquina</t>
        </is>
      </c>
      <c r="C207" t="inlineStr">
        <is>
          <t>PLUSPETROL S.A.</t>
        </is>
      </c>
      <c r="D207" t="inlineStr">
        <is>
          <t>convencional</t>
        </is>
      </c>
      <c r="E207" t="inlineStr">
        <is>
          <t>2023-03</t>
        </is>
      </c>
      <c r="F207" t="n">
        <v>45797.9</v>
      </c>
      <c r="G207" t="n">
        <v>688743.7</v>
      </c>
      <c r="H207" t="n">
        <v>575714.2</v>
      </c>
      <c r="I207">
        <f>DAY(EOMONTH(DATE(VALUE(LEFT(E207,4)),VALUE(RIGHT(E207,2)),1),0))</f>
        <v/>
      </c>
      <c r="J207">
        <f>VALUE(LEFT(E207,4))*12+VALUE(RIGHT(E207,2))-1</f>
        <v/>
      </c>
    </row>
    <row r="208">
      <c r="A208" t="inlineStr">
        <is>
          <t>El Corcobo Norte</t>
        </is>
      </c>
      <c r="B208" t="inlineStr">
        <is>
          <t>Neuquina</t>
        </is>
      </c>
      <c r="C208" t="inlineStr">
        <is>
          <t>PLUSPETROL S.A.</t>
        </is>
      </c>
      <c r="D208" t="inlineStr">
        <is>
          <t>convencional</t>
        </is>
      </c>
      <c r="E208" t="inlineStr">
        <is>
          <t>2023-04</t>
        </is>
      </c>
      <c r="F208" t="n">
        <v>43531.7</v>
      </c>
      <c r="G208" t="n">
        <v>677837.6</v>
      </c>
      <c r="H208" t="n">
        <v>555913.4</v>
      </c>
      <c r="I208">
        <f>DAY(EOMONTH(DATE(VALUE(LEFT(E208,4)),VALUE(RIGHT(E208,2)),1),0))</f>
        <v/>
      </c>
      <c r="J208">
        <f>VALUE(LEFT(E208,4))*12+VALUE(RIGHT(E208,2))-1</f>
        <v/>
      </c>
    </row>
    <row r="209">
      <c r="A209" t="inlineStr">
        <is>
          <t>El Corcobo Norte</t>
        </is>
      </c>
      <c r="B209" t="inlineStr">
        <is>
          <t>Neuquina</t>
        </is>
      </c>
      <c r="C209" t="inlineStr">
        <is>
          <t>PLUSPETROL S.A.</t>
        </is>
      </c>
      <c r="D209" t="inlineStr">
        <is>
          <t>convencional</t>
        </is>
      </c>
      <c r="E209" t="inlineStr">
        <is>
          <t>2023-05</t>
        </is>
      </c>
      <c r="F209" t="n">
        <v>44425.5</v>
      </c>
      <c r="G209" t="n">
        <v>703117.8</v>
      </c>
      <c r="H209" t="n">
        <v>555951.7</v>
      </c>
      <c r="I209">
        <f>DAY(EOMONTH(DATE(VALUE(LEFT(E209,4)),VALUE(RIGHT(E209,2)),1),0))</f>
        <v/>
      </c>
      <c r="J209">
        <f>VALUE(LEFT(E209,4))*12+VALUE(RIGHT(E209,2))-1</f>
        <v/>
      </c>
    </row>
    <row r="210">
      <c r="A210" t="inlineStr">
        <is>
          <t>El Corcobo Norte</t>
        </is>
      </c>
      <c r="B210" t="inlineStr">
        <is>
          <t>Neuquina</t>
        </is>
      </c>
      <c r="C210" t="inlineStr">
        <is>
          <t>PLUSPETROL S.A.</t>
        </is>
      </c>
      <c r="D210" t="inlineStr">
        <is>
          <t>convencional</t>
        </is>
      </c>
      <c r="E210" t="inlineStr">
        <is>
          <t>2023-06</t>
        </is>
      </c>
      <c r="F210" t="n">
        <v>43256.4</v>
      </c>
      <c r="G210" t="n">
        <v>680222.1</v>
      </c>
      <c r="H210" t="n">
        <v>545364.9</v>
      </c>
      <c r="I210">
        <f>DAY(EOMONTH(DATE(VALUE(LEFT(E210,4)),VALUE(RIGHT(E210,2)),1),0))</f>
        <v/>
      </c>
      <c r="J210">
        <f>VALUE(LEFT(E210,4))*12+VALUE(RIGHT(E210,2))-1</f>
        <v/>
      </c>
    </row>
    <row r="211">
      <c r="A211" t="inlineStr">
        <is>
          <t>El Corcobo Norte</t>
        </is>
      </c>
      <c r="B211" t="inlineStr">
        <is>
          <t>Neuquina</t>
        </is>
      </c>
      <c r="C211" t="inlineStr">
        <is>
          <t>PLUSPETROL S.A.</t>
        </is>
      </c>
      <c r="D211" t="inlineStr">
        <is>
          <t>convencional</t>
        </is>
      </c>
      <c r="E211" t="inlineStr">
        <is>
          <t>2023-07</t>
        </is>
      </c>
      <c r="F211" t="n">
        <v>41697.2</v>
      </c>
      <c r="G211" t="n">
        <v>675908.3</v>
      </c>
      <c r="H211" t="n">
        <v>578018.9</v>
      </c>
      <c r="I211">
        <f>DAY(EOMONTH(DATE(VALUE(LEFT(E211,4)),VALUE(RIGHT(E211,2)),1),0))</f>
        <v/>
      </c>
      <c r="J211">
        <f>VALUE(LEFT(E211,4))*12+VALUE(RIGHT(E211,2))-1</f>
        <v/>
      </c>
    </row>
    <row r="212">
      <c r="A212" t="inlineStr">
        <is>
          <t>El Corcobo Norte</t>
        </is>
      </c>
      <c r="B212" t="inlineStr">
        <is>
          <t>Neuquina</t>
        </is>
      </c>
      <c r="C212" t="inlineStr">
        <is>
          <t>PLUSPETROL S.A.</t>
        </is>
      </c>
      <c r="D212" t="inlineStr">
        <is>
          <t>convencional</t>
        </is>
      </c>
      <c r="E212" t="inlineStr">
        <is>
          <t>2023-08</t>
        </is>
      </c>
      <c r="F212" t="n">
        <v>44382.8</v>
      </c>
      <c r="G212" t="n">
        <v>729636</v>
      </c>
      <c r="H212" t="n">
        <v>616336.8</v>
      </c>
      <c r="I212">
        <f>DAY(EOMONTH(DATE(VALUE(LEFT(E212,4)),VALUE(RIGHT(E212,2)),1),0))</f>
        <v/>
      </c>
      <c r="J212">
        <f>VALUE(LEFT(E212,4))*12+VALUE(RIGHT(E212,2))-1</f>
        <v/>
      </c>
    </row>
    <row r="213">
      <c r="A213" t="inlineStr">
        <is>
          <t>El Corcobo Norte</t>
        </is>
      </c>
      <c r="B213" t="inlineStr">
        <is>
          <t>Neuquina</t>
        </is>
      </c>
      <c r="C213" t="inlineStr">
        <is>
          <t>PLUSPETROL S.A.</t>
        </is>
      </c>
      <c r="D213" t="inlineStr">
        <is>
          <t>convencional</t>
        </is>
      </c>
      <c r="E213" t="inlineStr">
        <is>
          <t>2023-09</t>
        </is>
      </c>
      <c r="F213" t="n">
        <v>44444.2</v>
      </c>
      <c r="G213" t="n">
        <v>715290.9</v>
      </c>
      <c r="H213" t="n">
        <v>571709</v>
      </c>
      <c r="I213">
        <f>DAY(EOMONTH(DATE(VALUE(LEFT(E213,4)),VALUE(RIGHT(E213,2)),1),0))</f>
        <v/>
      </c>
      <c r="J213">
        <f>VALUE(LEFT(E213,4))*12+VALUE(RIGHT(E213,2))-1</f>
        <v/>
      </c>
    </row>
    <row r="214">
      <c r="A214" t="inlineStr">
        <is>
          <t>El Corcobo Norte</t>
        </is>
      </c>
      <c r="B214" t="inlineStr">
        <is>
          <t>Neuquina</t>
        </is>
      </c>
      <c r="C214" t="inlineStr">
        <is>
          <t>PLUSPETROL S.A.</t>
        </is>
      </c>
      <c r="D214" t="inlineStr">
        <is>
          <t>convencional</t>
        </is>
      </c>
      <c r="E214" t="inlineStr">
        <is>
          <t>2023-10</t>
        </is>
      </c>
      <c r="F214" t="n">
        <v>44548.3</v>
      </c>
      <c r="G214" t="n">
        <v>718162.4</v>
      </c>
      <c r="H214" t="n">
        <v>577494.2</v>
      </c>
      <c r="I214">
        <f>DAY(EOMONTH(DATE(VALUE(LEFT(E214,4)),VALUE(RIGHT(E214,2)),1),0))</f>
        <v/>
      </c>
      <c r="J214">
        <f>VALUE(LEFT(E214,4))*12+VALUE(RIGHT(E214,2))-1</f>
        <v/>
      </c>
    </row>
    <row r="215">
      <c r="A215" t="inlineStr">
        <is>
          <t>El Corcobo Norte</t>
        </is>
      </c>
      <c r="B215" t="inlineStr">
        <is>
          <t>Neuquina</t>
        </is>
      </c>
      <c r="C215" t="inlineStr">
        <is>
          <t>PLUSPETROL S.A.</t>
        </is>
      </c>
      <c r="D215" t="inlineStr">
        <is>
          <t>convencional</t>
        </is>
      </c>
      <c r="E215" t="inlineStr">
        <is>
          <t>2023-11</t>
        </is>
      </c>
      <c r="F215" t="n">
        <v>43432.3</v>
      </c>
      <c r="G215" t="n">
        <v>698853.8</v>
      </c>
      <c r="H215" t="n">
        <v>561885.3</v>
      </c>
      <c r="I215">
        <f>DAY(EOMONTH(DATE(VALUE(LEFT(E215,4)),VALUE(RIGHT(E215,2)),1),0))</f>
        <v/>
      </c>
      <c r="J215">
        <f>VALUE(LEFT(E215,4))*12+VALUE(RIGHT(E215,2))-1</f>
        <v/>
      </c>
    </row>
    <row r="216">
      <c r="A216" t="inlineStr">
        <is>
          <t>El Corcobo Norte</t>
        </is>
      </c>
      <c r="B216" t="inlineStr">
        <is>
          <t>Neuquina</t>
        </is>
      </c>
      <c r="C216" t="inlineStr">
        <is>
          <t>PLUSPETROL S.A.</t>
        </is>
      </c>
      <c r="D216" t="inlineStr">
        <is>
          <t>convencional</t>
        </is>
      </c>
      <c r="E216" t="inlineStr">
        <is>
          <t>2023-12</t>
        </is>
      </c>
      <c r="F216" t="n">
        <v>43907.9</v>
      </c>
      <c r="G216" t="n">
        <v>723676.5</v>
      </c>
      <c r="H216" t="n">
        <v>577257</v>
      </c>
      <c r="I216">
        <f>DAY(EOMONTH(DATE(VALUE(LEFT(E216,4)),VALUE(RIGHT(E216,2)),1),0))</f>
        <v/>
      </c>
      <c r="J216">
        <f>VALUE(LEFT(E216,4))*12+VALUE(RIGHT(E216,2))-1</f>
        <v/>
      </c>
    </row>
    <row r="217">
      <c r="A217" t="inlineStr">
        <is>
          <t>El Corcobo Norte</t>
        </is>
      </c>
      <c r="B217" t="inlineStr">
        <is>
          <t>Neuquina</t>
        </is>
      </c>
      <c r="C217" t="inlineStr">
        <is>
          <t>PLUSPETROL S.A.</t>
        </is>
      </c>
      <c r="D217" t="inlineStr">
        <is>
          <t>convencional</t>
        </is>
      </c>
      <c r="E217" t="inlineStr">
        <is>
          <t>2024-01</t>
        </is>
      </c>
      <c r="F217" t="n">
        <v>44315.7</v>
      </c>
      <c r="G217" t="n">
        <v>706868.7</v>
      </c>
      <c r="H217" t="n">
        <v>570805.3</v>
      </c>
      <c r="I217">
        <f>DAY(EOMONTH(DATE(VALUE(LEFT(E217,4)),VALUE(RIGHT(E217,2)),1),0))</f>
        <v/>
      </c>
      <c r="J217">
        <f>VALUE(LEFT(E217,4))*12+VALUE(RIGHT(E217,2))-1</f>
        <v/>
      </c>
    </row>
    <row r="218">
      <c r="A218" t="inlineStr">
        <is>
          <t>El Corcobo Norte</t>
        </is>
      </c>
      <c r="B218" t="inlineStr">
        <is>
          <t>Neuquina</t>
        </is>
      </c>
      <c r="C218" t="inlineStr">
        <is>
          <t>PLUSPETROL S.A.</t>
        </is>
      </c>
      <c r="D218" t="inlineStr">
        <is>
          <t>convencional</t>
        </is>
      </c>
      <c r="E218" t="inlineStr">
        <is>
          <t>2024-02</t>
        </is>
      </c>
      <c r="F218" t="n">
        <v>41656.3</v>
      </c>
      <c r="G218" t="n">
        <v>673312.1</v>
      </c>
      <c r="H218" t="n">
        <v>547428.8</v>
      </c>
      <c r="I218">
        <f>DAY(EOMONTH(DATE(VALUE(LEFT(E218,4)),VALUE(RIGHT(E218,2)),1),0))</f>
        <v/>
      </c>
      <c r="J218">
        <f>VALUE(LEFT(E218,4))*12+VALUE(RIGHT(E218,2))-1</f>
        <v/>
      </c>
    </row>
    <row r="219">
      <c r="A219" t="inlineStr">
        <is>
          <t>El Corcobo Norte</t>
        </is>
      </c>
      <c r="B219" t="inlineStr">
        <is>
          <t>Neuquina</t>
        </is>
      </c>
      <c r="C219" t="inlineStr">
        <is>
          <t>PLUSPETROL S.A.</t>
        </is>
      </c>
      <c r="D219" t="inlineStr">
        <is>
          <t>convencional</t>
        </is>
      </c>
      <c r="E219" t="inlineStr">
        <is>
          <t>2024-03</t>
        </is>
      </c>
      <c r="F219" t="n">
        <v>45044.5</v>
      </c>
      <c r="G219" t="n">
        <v>715575.7</v>
      </c>
      <c r="H219" t="n">
        <v>584797</v>
      </c>
      <c r="I219">
        <f>DAY(EOMONTH(DATE(VALUE(LEFT(E219,4)),VALUE(RIGHT(E219,2)),1),0))</f>
        <v/>
      </c>
      <c r="J219">
        <f>VALUE(LEFT(E219,4))*12+VALUE(RIGHT(E219,2))-1</f>
        <v/>
      </c>
    </row>
    <row r="220">
      <c r="A220" t="inlineStr">
        <is>
          <t>El Corcobo Norte</t>
        </is>
      </c>
      <c r="B220" t="inlineStr">
        <is>
          <t>Neuquina</t>
        </is>
      </c>
      <c r="C220" t="inlineStr">
        <is>
          <t>PLUSPETROL S.A.</t>
        </is>
      </c>
      <c r="D220" t="inlineStr">
        <is>
          <t>convencional</t>
        </is>
      </c>
      <c r="E220" t="inlineStr">
        <is>
          <t>2024-04</t>
        </is>
      </c>
      <c r="F220" t="n">
        <v>43480.6</v>
      </c>
      <c r="G220" t="n">
        <v>704908.5</v>
      </c>
      <c r="H220" t="n">
        <v>567274.5</v>
      </c>
      <c r="I220">
        <f>DAY(EOMONTH(DATE(VALUE(LEFT(E220,4)),VALUE(RIGHT(E220,2)),1),0))</f>
        <v/>
      </c>
      <c r="J220">
        <f>VALUE(LEFT(E220,4))*12+VALUE(RIGHT(E220,2))-1</f>
        <v/>
      </c>
    </row>
    <row r="221">
      <c r="A221" t="inlineStr">
        <is>
          <t>El Corcobo Norte</t>
        </is>
      </c>
      <c r="B221" t="inlineStr">
        <is>
          <t>Neuquina</t>
        </is>
      </c>
      <c r="C221" t="inlineStr">
        <is>
          <t>PLUSPETROL S.A.</t>
        </is>
      </c>
      <c r="D221" t="inlineStr">
        <is>
          <t>convencional</t>
        </is>
      </c>
      <c r="E221" t="inlineStr">
        <is>
          <t>2024-05</t>
        </is>
      </c>
      <c r="F221" t="n">
        <v>45764.2</v>
      </c>
      <c r="G221" t="n">
        <v>726595.6</v>
      </c>
      <c r="H221" t="n">
        <v>596561.8</v>
      </c>
      <c r="I221">
        <f>DAY(EOMONTH(DATE(VALUE(LEFT(E221,4)),VALUE(RIGHT(E221,2)),1),0))</f>
        <v/>
      </c>
      <c r="J221">
        <f>VALUE(LEFT(E221,4))*12+VALUE(RIGHT(E221,2))-1</f>
        <v/>
      </c>
    </row>
    <row r="222">
      <c r="A222" t="inlineStr">
        <is>
          <t>El Corcobo Norte</t>
        </is>
      </c>
      <c r="B222" t="inlineStr">
        <is>
          <t>Neuquina</t>
        </is>
      </c>
      <c r="C222" t="inlineStr">
        <is>
          <t>PLUSPETROL S.A.</t>
        </is>
      </c>
      <c r="D222" t="inlineStr">
        <is>
          <t>convencional</t>
        </is>
      </c>
      <c r="E222" t="inlineStr">
        <is>
          <t>2024-06</t>
        </is>
      </c>
      <c r="F222" t="n">
        <v>44979.3</v>
      </c>
      <c r="G222" t="n">
        <v>710250.6</v>
      </c>
      <c r="H222" t="n">
        <v>579593.4</v>
      </c>
      <c r="I222">
        <f>DAY(EOMONTH(DATE(VALUE(LEFT(E222,4)),VALUE(RIGHT(E222,2)),1),0))</f>
        <v/>
      </c>
      <c r="J222">
        <f>VALUE(LEFT(E222,4))*12+VALUE(RIGHT(E222,2))-1</f>
        <v/>
      </c>
    </row>
    <row r="223">
      <c r="A223" t="inlineStr">
        <is>
          <t>El Corcobo Norte</t>
        </is>
      </c>
      <c r="B223" t="inlineStr">
        <is>
          <t>Neuquina</t>
        </is>
      </c>
      <c r="C223" t="inlineStr">
        <is>
          <t>PLUSPETROL S.A.</t>
        </is>
      </c>
      <c r="D223" t="inlineStr">
        <is>
          <t>convencional</t>
        </is>
      </c>
      <c r="E223" t="inlineStr">
        <is>
          <t>2024-07</t>
        </is>
      </c>
      <c r="F223" t="n">
        <v>44185.4</v>
      </c>
      <c r="G223" t="n">
        <v>725059</v>
      </c>
      <c r="H223" t="n">
        <v>588408.2</v>
      </c>
      <c r="I223">
        <f>DAY(EOMONTH(DATE(VALUE(LEFT(E223,4)),VALUE(RIGHT(E223,2)),1),0))</f>
        <v/>
      </c>
      <c r="J223">
        <f>VALUE(LEFT(E223,4))*12+VALUE(RIGHT(E223,2))-1</f>
        <v/>
      </c>
    </row>
    <row r="224">
      <c r="A224" t="inlineStr">
        <is>
          <t>El Corcobo Norte</t>
        </is>
      </c>
      <c r="B224" t="inlineStr">
        <is>
          <t>Neuquina</t>
        </is>
      </c>
      <c r="C224" t="inlineStr">
        <is>
          <t>PLUSPETROL S.A.</t>
        </is>
      </c>
      <c r="D224" t="inlineStr">
        <is>
          <t>convencional</t>
        </is>
      </c>
      <c r="E224" t="inlineStr">
        <is>
          <t>2024-08</t>
        </is>
      </c>
      <c r="F224" t="n">
        <v>44936.7</v>
      </c>
      <c r="G224" t="n">
        <v>724441.2</v>
      </c>
      <c r="H224" t="n">
        <v>587398.7</v>
      </c>
      <c r="I224">
        <f>DAY(EOMONTH(DATE(VALUE(LEFT(E224,4)),VALUE(RIGHT(E224,2)),1),0))</f>
        <v/>
      </c>
      <c r="J224">
        <f>VALUE(LEFT(E224,4))*12+VALUE(RIGHT(E224,2))-1</f>
        <v/>
      </c>
    </row>
    <row r="225">
      <c r="A225" t="inlineStr">
        <is>
          <t>El Corcobo Norte</t>
        </is>
      </c>
      <c r="B225" t="inlineStr">
        <is>
          <t>Neuquina</t>
        </is>
      </c>
      <c r="C225" t="inlineStr">
        <is>
          <t>PLUSPETROL S.A.</t>
        </is>
      </c>
      <c r="D225" t="inlineStr">
        <is>
          <t>convencional</t>
        </is>
      </c>
      <c r="E225" t="inlineStr">
        <is>
          <t>2024-09</t>
        </is>
      </c>
      <c r="F225" t="n">
        <v>42352.3</v>
      </c>
      <c r="G225" t="n">
        <v>674407.2</v>
      </c>
      <c r="H225" t="n">
        <v>561024.8</v>
      </c>
      <c r="I225">
        <f>DAY(EOMONTH(DATE(VALUE(LEFT(E225,4)),VALUE(RIGHT(E225,2)),1),0))</f>
        <v/>
      </c>
      <c r="J225">
        <f>VALUE(LEFT(E225,4))*12+VALUE(RIGHT(E225,2))-1</f>
        <v/>
      </c>
    </row>
    <row r="226">
      <c r="A226" t="inlineStr">
        <is>
          <t>El Corcobo Norte</t>
        </is>
      </c>
      <c r="B226" t="inlineStr">
        <is>
          <t>Neuquina</t>
        </is>
      </c>
      <c r="C226" t="inlineStr">
        <is>
          <t>PLUSPETROL S.A.</t>
        </is>
      </c>
      <c r="D226" t="inlineStr">
        <is>
          <t>convencional</t>
        </is>
      </c>
      <c r="E226" t="inlineStr">
        <is>
          <t>2024-10</t>
        </is>
      </c>
      <c r="F226" t="n">
        <v>43360.4</v>
      </c>
      <c r="G226" t="n">
        <v>709362.8</v>
      </c>
      <c r="H226" t="n">
        <v>591888.9</v>
      </c>
      <c r="I226">
        <f>DAY(EOMONTH(DATE(VALUE(LEFT(E226,4)),VALUE(RIGHT(E226,2)),1),0))</f>
        <v/>
      </c>
      <c r="J226">
        <f>VALUE(LEFT(E226,4))*12+VALUE(RIGHT(E226,2))-1</f>
        <v/>
      </c>
    </row>
    <row r="227">
      <c r="A227" t="inlineStr">
        <is>
          <t>El Corcobo Norte</t>
        </is>
      </c>
      <c r="B227" t="inlineStr">
        <is>
          <t>Neuquina</t>
        </is>
      </c>
      <c r="C227" t="inlineStr">
        <is>
          <t>PLUSPETROL S.A.</t>
        </is>
      </c>
      <c r="D227" t="inlineStr">
        <is>
          <t>convencional</t>
        </is>
      </c>
      <c r="E227" t="inlineStr">
        <is>
          <t>2024-11</t>
        </is>
      </c>
      <c r="F227" t="n">
        <v>40987.7</v>
      </c>
      <c r="G227" t="n">
        <v>691033.8</v>
      </c>
      <c r="H227" t="n">
        <v>548204.5</v>
      </c>
      <c r="I227">
        <f>DAY(EOMONTH(DATE(VALUE(LEFT(E227,4)),VALUE(RIGHT(E227,2)),1),0))</f>
        <v/>
      </c>
      <c r="J227">
        <f>VALUE(LEFT(E227,4))*12+VALUE(RIGHT(E227,2))-1</f>
        <v/>
      </c>
    </row>
    <row r="228">
      <c r="A228" t="inlineStr">
        <is>
          <t>El Corcobo Norte</t>
        </is>
      </c>
      <c r="B228" t="inlineStr">
        <is>
          <t>Neuquina</t>
        </is>
      </c>
      <c r="C228" t="inlineStr">
        <is>
          <t>PLUSPETROL S.A.</t>
        </is>
      </c>
      <c r="D228" t="inlineStr">
        <is>
          <t>convencional</t>
        </is>
      </c>
      <c r="E228" t="inlineStr">
        <is>
          <t>2024-12</t>
        </is>
      </c>
      <c r="F228" t="n">
        <v>42675</v>
      </c>
      <c r="G228" t="n">
        <v>700300.3</v>
      </c>
      <c r="H228" t="n">
        <v>583143.4</v>
      </c>
      <c r="I228">
        <f>DAY(EOMONTH(DATE(VALUE(LEFT(E228,4)),VALUE(RIGHT(E228,2)),1),0))</f>
        <v/>
      </c>
      <c r="J228">
        <f>VALUE(LEFT(E228,4))*12+VALUE(RIGHT(E228,2))-1</f>
        <v/>
      </c>
    </row>
    <row r="229">
      <c r="A229" t="inlineStr">
        <is>
          <t>El Corcobo Norte</t>
        </is>
      </c>
      <c r="B229" t="inlineStr">
        <is>
          <t>Neuquina</t>
        </is>
      </c>
      <c r="C229" t="inlineStr">
        <is>
          <t>PLUSPETROL S.A.</t>
        </is>
      </c>
      <c r="D229" t="inlineStr">
        <is>
          <t>convencional</t>
        </is>
      </c>
      <c r="E229" t="inlineStr">
        <is>
          <t>2025-01</t>
        </is>
      </c>
      <c r="F229" t="n">
        <v>42211.9</v>
      </c>
      <c r="G229" t="n">
        <v>702102</v>
      </c>
      <c r="H229" t="n">
        <v>591149</v>
      </c>
      <c r="I229">
        <f>DAY(EOMONTH(DATE(VALUE(LEFT(E229,4)),VALUE(RIGHT(E229,2)),1),0))</f>
        <v/>
      </c>
      <c r="J229">
        <f>VALUE(LEFT(E229,4))*12+VALUE(RIGHT(E229,2))-1</f>
        <v/>
      </c>
    </row>
    <row r="230">
      <c r="A230" t="inlineStr">
        <is>
          <t>El Corcobo Norte</t>
        </is>
      </c>
      <c r="B230" t="inlineStr">
        <is>
          <t>Neuquina</t>
        </is>
      </c>
      <c r="C230" t="inlineStr">
        <is>
          <t>PLUSPETROL S.A.</t>
        </is>
      </c>
      <c r="D230" t="inlineStr">
        <is>
          <t>convencional</t>
        </is>
      </c>
      <c r="E230" t="inlineStr">
        <is>
          <t>2025-02</t>
        </is>
      </c>
      <c r="F230" t="n">
        <v>37427.6</v>
      </c>
      <c r="G230" t="n">
        <v>634110.2</v>
      </c>
      <c r="H230" t="n">
        <v>530065.4</v>
      </c>
      <c r="I230">
        <f>DAY(EOMONTH(DATE(VALUE(LEFT(E230,4)),VALUE(RIGHT(E230,2)),1),0))</f>
        <v/>
      </c>
      <c r="J230">
        <f>VALUE(LEFT(E230,4))*12+VALUE(RIGHT(E230,2))-1</f>
        <v/>
      </c>
    </row>
    <row r="231">
      <c r="A231" t="inlineStr">
        <is>
          <t>El Corcobo Norte</t>
        </is>
      </c>
      <c r="B231" t="inlineStr">
        <is>
          <t>Neuquina</t>
        </is>
      </c>
      <c r="C231" t="inlineStr">
        <is>
          <t>PLUSPETROL S.A.</t>
        </is>
      </c>
      <c r="D231" t="inlineStr">
        <is>
          <t>convencional</t>
        </is>
      </c>
      <c r="E231" t="inlineStr">
        <is>
          <t>2025-03</t>
        </is>
      </c>
      <c r="F231" t="n">
        <v>43198.2</v>
      </c>
      <c r="G231" t="n">
        <v>696497</v>
      </c>
      <c r="H231" t="n">
        <v>572281</v>
      </c>
      <c r="I231">
        <f>DAY(EOMONTH(DATE(VALUE(LEFT(E231,4)),VALUE(RIGHT(E231,2)),1),0))</f>
        <v/>
      </c>
      <c r="J231">
        <f>VALUE(LEFT(E231,4))*12+VALUE(RIGHT(E231,2))-1</f>
        <v/>
      </c>
    </row>
    <row r="232">
      <c r="A232" t="inlineStr">
        <is>
          <t>El Corcobo Norte</t>
        </is>
      </c>
      <c r="B232" t="inlineStr">
        <is>
          <t>Neuquina</t>
        </is>
      </c>
      <c r="C232" t="inlineStr">
        <is>
          <t>PLUSPETROL S.A.</t>
        </is>
      </c>
      <c r="D232" t="inlineStr">
        <is>
          <t>convencional</t>
        </is>
      </c>
      <c r="E232" t="inlineStr">
        <is>
          <t>2025-04</t>
        </is>
      </c>
      <c r="F232" t="n">
        <v>41892.9</v>
      </c>
      <c r="G232" t="n">
        <v>655765.7</v>
      </c>
      <c r="H232" t="n">
        <v>546745.8</v>
      </c>
      <c r="I232">
        <f>DAY(EOMONTH(DATE(VALUE(LEFT(E232,4)),VALUE(RIGHT(E232,2)),1),0))</f>
        <v/>
      </c>
      <c r="J232">
        <f>VALUE(LEFT(E232,4))*12+VALUE(RIGHT(E232,2))-1</f>
        <v/>
      </c>
    </row>
    <row r="233">
      <c r="A233" t="inlineStr">
        <is>
          <t>El Corcobo Norte</t>
        </is>
      </c>
      <c r="B233" t="inlineStr">
        <is>
          <t>Neuquina</t>
        </is>
      </c>
      <c r="C233" t="inlineStr">
        <is>
          <t>PLUSPETROL S.A.</t>
        </is>
      </c>
      <c r="D233" t="inlineStr">
        <is>
          <t>convencional</t>
        </is>
      </c>
      <c r="E233" t="inlineStr">
        <is>
          <t>2025-05</t>
        </is>
      </c>
      <c r="F233" t="n">
        <v>43033.2</v>
      </c>
      <c r="G233" t="n">
        <v>690330.9</v>
      </c>
      <c r="H233" t="n">
        <v>544244</v>
      </c>
      <c r="I233">
        <f>DAY(EOMONTH(DATE(VALUE(LEFT(E233,4)),VALUE(RIGHT(E233,2)),1),0))</f>
        <v/>
      </c>
      <c r="J233">
        <f>VALUE(LEFT(E233,4))*12+VALUE(RIGHT(E233,2))-1</f>
        <v/>
      </c>
    </row>
    <row r="234">
      <c r="A234" t="inlineStr">
        <is>
          <t>El Corcobo Norte</t>
        </is>
      </c>
      <c r="B234" t="inlineStr">
        <is>
          <t>Neuquina</t>
        </is>
      </c>
      <c r="C234" t="inlineStr">
        <is>
          <t>PLUSPETROL S.A.</t>
        </is>
      </c>
      <c r="D234" t="inlineStr">
        <is>
          <t>convencional</t>
        </is>
      </c>
      <c r="E234" t="inlineStr">
        <is>
          <t>2025-06</t>
        </is>
      </c>
      <c r="F234" t="n">
        <v>42207.6</v>
      </c>
      <c r="G234" t="n">
        <v>669326.2</v>
      </c>
      <c r="H234" t="n">
        <v>520097.2</v>
      </c>
      <c r="I234">
        <f>DAY(EOMONTH(DATE(VALUE(LEFT(E234,4)),VALUE(RIGHT(E234,2)),1),0))</f>
        <v/>
      </c>
      <c r="J234">
        <f>VALUE(LEFT(E234,4))*12+VALUE(RIGHT(E234,2))-1</f>
        <v/>
      </c>
    </row>
    <row r="235">
      <c r="A235" t="inlineStr">
        <is>
          <t>El Corcobo Norte</t>
        </is>
      </c>
      <c r="B235" t="inlineStr">
        <is>
          <t>Neuquina</t>
        </is>
      </c>
      <c r="C235" t="inlineStr">
        <is>
          <t>PLUSPETROL S.A.</t>
        </is>
      </c>
      <c r="D235" t="inlineStr">
        <is>
          <t>convencional</t>
        </is>
      </c>
      <c r="E235" t="inlineStr">
        <is>
          <t>2025-07</t>
        </is>
      </c>
      <c r="F235" t="n">
        <v>41612.3</v>
      </c>
      <c r="G235" t="n">
        <v>682810.4</v>
      </c>
      <c r="H235" t="n">
        <v>532436.8</v>
      </c>
      <c r="I235">
        <f>DAY(EOMONTH(DATE(VALUE(LEFT(E235,4)),VALUE(RIGHT(E235,2)),1),0))</f>
        <v/>
      </c>
      <c r="J235">
        <f>VALUE(LEFT(E235,4))*12+VALUE(RIGHT(E235,2))-1</f>
        <v/>
      </c>
    </row>
    <row r="236">
      <c r="A236" t="inlineStr">
        <is>
          <t>El Corcobo Norte</t>
        </is>
      </c>
      <c r="B236" t="inlineStr">
        <is>
          <t>Neuquina</t>
        </is>
      </c>
      <c r="C236" t="inlineStr">
        <is>
          <t>PLUSPETROL S.A.</t>
        </is>
      </c>
      <c r="D236" t="inlineStr">
        <is>
          <t>convencional</t>
        </is>
      </c>
      <c r="E236" t="inlineStr">
        <is>
          <t>2025-08</t>
        </is>
      </c>
      <c r="F236" t="n">
        <v>41277.8</v>
      </c>
      <c r="G236" t="n">
        <v>688092</v>
      </c>
      <c r="H236" t="n">
        <v>544300.9</v>
      </c>
      <c r="I236">
        <f>DAY(EOMONTH(DATE(VALUE(LEFT(E236,4)),VALUE(RIGHT(E236,2)),1),0))</f>
        <v/>
      </c>
      <c r="J236">
        <f>VALUE(LEFT(E236,4))*12+VALUE(RIGHT(E236,2))-1</f>
        <v/>
      </c>
    </row>
    <row r="237">
      <c r="A237" t="inlineStr">
        <is>
          <t>El Corcobo Norte</t>
        </is>
      </c>
      <c r="B237" t="inlineStr">
        <is>
          <t>Neuquina</t>
        </is>
      </c>
      <c r="C237" t="inlineStr">
        <is>
          <t>PLUSPETROL S.A.</t>
        </is>
      </c>
      <c r="D237" t="inlineStr">
        <is>
          <t>convencional</t>
        </is>
      </c>
      <c r="E237" t="inlineStr">
        <is>
          <t>2025-09</t>
        </is>
      </c>
      <c r="F237" t="n">
        <v>42157</v>
      </c>
      <c r="G237" t="n">
        <v>671207.7</v>
      </c>
      <c r="H237" t="n">
        <v>526790.8</v>
      </c>
      <c r="I237">
        <f>DAY(EOMONTH(DATE(VALUE(LEFT(E237,4)),VALUE(RIGHT(E237,2)),1),0))</f>
        <v/>
      </c>
      <c r="J237">
        <f>VALUE(LEFT(E237,4))*12+VALUE(RIGHT(E237,2))-1</f>
        <v/>
      </c>
    </row>
    <row r="238">
      <c r="A238" t="inlineStr">
        <is>
          <t>El Corcobo Norte</t>
        </is>
      </c>
      <c r="B238" t="inlineStr">
        <is>
          <t>Neuquina</t>
        </is>
      </c>
      <c r="C238" t="inlineStr">
        <is>
          <t>PLUSPETROL S.A.</t>
        </is>
      </c>
      <c r="D238" t="inlineStr">
        <is>
          <t>convencional</t>
        </is>
      </c>
      <c r="E238" t="inlineStr">
        <is>
          <t>2025-10</t>
        </is>
      </c>
      <c r="F238" t="n">
        <v>41318.3</v>
      </c>
      <c r="G238" t="n">
        <v>678111.8</v>
      </c>
      <c r="H238" t="n">
        <v>548311.4</v>
      </c>
      <c r="I238">
        <f>DAY(EOMONTH(DATE(VALUE(LEFT(E238,4)),VALUE(RIGHT(E238,2)),1),0))</f>
        <v/>
      </c>
      <c r="J238">
        <f>VALUE(LEFT(E238,4))*12+VALUE(RIGHT(E238,2))-1</f>
        <v/>
      </c>
    </row>
    <row r="239">
      <c r="A239" t="inlineStr">
        <is>
          <t>El Corcobo Norte</t>
        </is>
      </c>
      <c r="B239" t="inlineStr">
        <is>
          <t>Neuquina</t>
        </is>
      </c>
      <c r="C239" t="inlineStr">
        <is>
          <t>PLUSPETROL S.A.</t>
        </is>
      </c>
      <c r="D239" t="inlineStr">
        <is>
          <t>convencional</t>
        </is>
      </c>
      <c r="E239" t="inlineStr">
        <is>
          <t>2025-11</t>
        </is>
      </c>
      <c r="F239" t="n">
        <v>37982.3</v>
      </c>
      <c r="G239" t="n">
        <v>669233.8</v>
      </c>
      <c r="H239" t="n">
        <v>529026.5</v>
      </c>
      <c r="I239">
        <f>DAY(EOMONTH(DATE(VALUE(LEFT(E239,4)),VALUE(RIGHT(E239,2)),1),0))</f>
        <v/>
      </c>
      <c r="J239">
        <f>VALUE(LEFT(E239,4))*12+VALUE(RIGHT(E239,2))-1</f>
        <v/>
      </c>
    </row>
    <row r="240">
      <c r="A240" t="inlineStr">
        <is>
          <t>El Corcobo Norte</t>
        </is>
      </c>
      <c r="B240" t="inlineStr">
        <is>
          <t>Neuquina</t>
        </is>
      </c>
      <c r="C240" t="inlineStr">
        <is>
          <t>PLUSPETROL S.A.</t>
        </is>
      </c>
      <c r="D240" t="inlineStr">
        <is>
          <t>convencional</t>
        </is>
      </c>
      <c r="E240" t="inlineStr">
        <is>
          <t>2025-12</t>
        </is>
      </c>
      <c r="F240" t="n">
        <v>40078</v>
      </c>
      <c r="G240" t="n">
        <v>700534.2</v>
      </c>
      <c r="H240" t="n">
        <v>551309.1</v>
      </c>
      <c r="I240">
        <f>DAY(EOMONTH(DATE(VALUE(LEFT(E240,4)),VALUE(RIGHT(E240,2)),1),0))</f>
        <v/>
      </c>
      <c r="J240">
        <f>VALUE(LEFT(E240,4))*12+VALUE(RIGHT(E240,2))-1</f>
        <v/>
      </c>
    </row>
    <row r="241">
      <c r="A241" t="inlineStr">
        <is>
          <t>El Corcobo Norte</t>
        </is>
      </c>
      <c r="B241" t="inlineStr">
        <is>
          <t>Neuquina</t>
        </is>
      </c>
      <c r="C241" t="inlineStr">
        <is>
          <t>PLUSPETROL S.A.</t>
        </is>
      </c>
      <c r="D241" t="inlineStr">
        <is>
          <t>convencional</t>
        </is>
      </c>
      <c r="E241" t="inlineStr">
        <is>
          <t>2026-01</t>
        </is>
      </c>
      <c r="F241" t="n">
        <v>40650</v>
      </c>
      <c r="G241" t="n">
        <v>686373.8</v>
      </c>
      <c r="H241" t="n">
        <v>541195.5</v>
      </c>
      <c r="I241">
        <f>DAY(EOMONTH(DATE(VALUE(LEFT(E241,4)),VALUE(RIGHT(E241,2)),1),0))</f>
        <v/>
      </c>
      <c r="J241">
        <f>VALUE(LEFT(E241,4))*12+VALUE(RIGHT(E241,2))-1</f>
        <v/>
      </c>
    </row>
    <row r="242">
      <c r="A242" t="inlineStr">
        <is>
          <t>El Corcobo Norte</t>
        </is>
      </c>
      <c r="B242" t="inlineStr">
        <is>
          <t>Neuquina</t>
        </is>
      </c>
      <c r="C242" t="inlineStr">
        <is>
          <t>PLUSPETROL S.A.</t>
        </is>
      </c>
      <c r="D242" t="inlineStr">
        <is>
          <t>convencional</t>
        </is>
      </c>
      <c r="E242" t="inlineStr">
        <is>
          <t>2026-02</t>
        </is>
      </c>
      <c r="F242" t="n">
        <v>38500.4</v>
      </c>
      <c r="G242" t="n">
        <v>613589.9</v>
      </c>
      <c r="H242" t="n">
        <v>483438.2</v>
      </c>
      <c r="I242">
        <f>DAY(EOMONTH(DATE(VALUE(LEFT(E242,4)),VALUE(RIGHT(E242,2)),1),0))</f>
        <v/>
      </c>
      <c r="J242">
        <f>VALUE(LEFT(E242,4))*12+VALUE(RIGHT(E242,2))-1</f>
        <v/>
      </c>
    </row>
    <row r="243">
      <c r="A243" t="inlineStr">
        <is>
          <t>El Corcobo Norte</t>
        </is>
      </c>
      <c r="B243" t="inlineStr">
        <is>
          <t>Neuquina</t>
        </is>
      </c>
      <c r="C243" t="inlineStr">
        <is>
          <t>PLUSPETROL S.A.</t>
        </is>
      </c>
      <c r="D243" t="inlineStr">
        <is>
          <t>convencional</t>
        </is>
      </c>
      <c r="E243" t="inlineStr">
        <is>
          <t>2026-03</t>
        </is>
      </c>
      <c r="F243" t="n">
        <v>40618.2</v>
      </c>
      <c r="G243" t="n">
        <v>682548.5</v>
      </c>
      <c r="H243" t="n">
        <v>540061.4</v>
      </c>
      <c r="I243">
        <f>DAY(EOMONTH(DATE(VALUE(LEFT(E243,4)),VALUE(RIGHT(E243,2)),1),0))</f>
        <v/>
      </c>
      <c r="J243">
        <f>VALUE(LEFT(E243,4))*12+VALUE(RIGHT(E243,2))-1</f>
        <v/>
      </c>
    </row>
    <row r="244">
      <c r="A244" t="inlineStr">
        <is>
          <t>El Corcobo Norte</t>
        </is>
      </c>
      <c r="B244" t="inlineStr">
        <is>
          <t>Neuquina</t>
        </is>
      </c>
      <c r="C244" t="inlineStr">
        <is>
          <t>PLUSPETROL S.A.</t>
        </is>
      </c>
      <c r="D244" t="inlineStr">
        <is>
          <t>convencional</t>
        </is>
      </c>
      <c r="E244" t="inlineStr">
        <is>
          <t>2026-04</t>
        </is>
      </c>
      <c r="F244" t="n">
        <v>37708.3</v>
      </c>
      <c r="G244" t="n">
        <v>654076.7</v>
      </c>
      <c r="H244" t="n">
        <v>498040</v>
      </c>
      <c r="I244">
        <f>DAY(EOMONTH(DATE(VALUE(LEFT(E244,4)),VALUE(RIGHT(E244,2)),1),0))</f>
        <v/>
      </c>
      <c r="J244">
        <f>VALUE(LEFT(E244,4))*12+VALUE(RIGHT(E244,2))-1</f>
        <v/>
      </c>
    </row>
    <row r="245">
      <c r="A245" t="inlineStr">
        <is>
          <t>El Corcobo Norte</t>
        </is>
      </c>
      <c r="B245" t="inlineStr">
        <is>
          <t>Neuquina</t>
        </is>
      </c>
      <c r="C245" t="inlineStr">
        <is>
          <t>PLUSPETROL S.A.</t>
        </is>
      </c>
      <c r="D245" t="inlineStr">
        <is>
          <t>convencional</t>
        </is>
      </c>
      <c r="E245" t="inlineStr">
        <is>
          <t>2026-05</t>
        </is>
      </c>
      <c r="F245" t="n">
        <v>39142.2</v>
      </c>
      <c r="G245" t="n">
        <v>678703</v>
      </c>
      <c r="H245" t="n">
        <v>507515.5</v>
      </c>
      <c r="I245">
        <f>DAY(EOMONTH(DATE(VALUE(LEFT(E245,4)),VALUE(RIGHT(E245,2)),1),0))</f>
        <v/>
      </c>
      <c r="J245">
        <f>VALUE(LEFT(E245,4))*12+VALUE(RIGHT(E245,2))-1</f>
        <v/>
      </c>
    </row>
    <row r="246">
      <c r="A246" t="inlineStr">
        <is>
          <t>El Corcobo Norte</t>
        </is>
      </c>
      <c r="B246" t="inlineStr">
        <is>
          <t>Neuquina</t>
        </is>
      </c>
      <c r="C246" t="inlineStr">
        <is>
          <t>PLUSPETROL S.A.</t>
        </is>
      </c>
      <c r="D246" t="inlineStr">
        <is>
          <t>convencional</t>
        </is>
      </c>
      <c r="E246" t="inlineStr">
        <is>
          <t>2026-06</t>
        </is>
      </c>
      <c r="F246" t="n">
        <v>38754.7</v>
      </c>
      <c r="G246" t="n">
        <v>660106.8</v>
      </c>
      <c r="H246" t="n">
        <v>507830.3</v>
      </c>
      <c r="I246">
        <f>DAY(EOMONTH(DATE(VALUE(LEFT(E246,4)),VALUE(RIGHT(E246,2)),1),0))</f>
        <v/>
      </c>
      <c r="J246">
        <f>VALUE(LEFT(E246,4))*12+VALUE(RIGHT(E246,2))-1</f>
        <v/>
      </c>
    </row>
    <row r="247">
      <c r="A247" t="inlineStr">
        <is>
          <t>El Corcobo Norte</t>
        </is>
      </c>
      <c r="B247" t="inlineStr">
        <is>
          <t>Neuquina</t>
        </is>
      </c>
      <c r="C247" t="inlineStr">
        <is>
          <t>PLUSPETROL S.A.</t>
        </is>
      </c>
      <c r="D247" t="inlineStr">
        <is>
          <t>convencional</t>
        </is>
      </c>
      <c r="E247" t="inlineStr">
        <is>
          <t>2026-07</t>
        </is>
      </c>
      <c r="F247" t="n">
        <v>38246.2</v>
      </c>
      <c r="G247" t="n">
        <v>678885.8</v>
      </c>
      <c r="H247" t="n">
        <v>543576.6</v>
      </c>
      <c r="I247">
        <f>DAY(EOMONTH(DATE(VALUE(LEFT(E247,4)),VALUE(RIGHT(E247,2)),1),0))</f>
        <v/>
      </c>
      <c r="J247">
        <f>VALUE(LEFT(E247,4))*12+VALUE(RIGHT(E247,2))-1</f>
        <v/>
      </c>
    </row>
    <row r="248">
      <c r="A248" t="inlineStr">
        <is>
          <t>Chihuido de la Sierra Negra</t>
        </is>
      </c>
      <c r="B248" t="inlineStr">
        <is>
          <t>Neuquina</t>
        </is>
      </c>
      <c r="C248" t="inlineStr">
        <is>
          <t>YPF S.A.</t>
        </is>
      </c>
      <c r="D248" t="inlineStr">
        <is>
          <t>convencional</t>
        </is>
      </c>
      <c r="E248" t="inlineStr">
        <is>
          <t>2006-01</t>
        </is>
      </c>
      <c r="F248" t="n">
        <v>111100.5</v>
      </c>
      <c r="G248" t="n">
        <v>1275854.7</v>
      </c>
      <c r="H248" t="n">
        <v>1527886</v>
      </c>
      <c r="I248">
        <f>DAY(EOMONTH(DATE(VALUE(LEFT(E248,4)),VALUE(RIGHT(E248,2)),1),0))</f>
        <v/>
      </c>
      <c r="J248">
        <f>VALUE(LEFT(E248,4))*12+VALUE(RIGHT(E248,2))-1</f>
        <v/>
      </c>
    </row>
    <row r="249">
      <c r="A249" t="inlineStr">
        <is>
          <t>Chihuido de la Sierra Negra</t>
        </is>
      </c>
      <c r="B249" t="inlineStr">
        <is>
          <t>Neuquina</t>
        </is>
      </c>
      <c r="C249" t="inlineStr">
        <is>
          <t>YPF S.A.</t>
        </is>
      </c>
      <c r="D249" t="inlineStr">
        <is>
          <t>no convencional</t>
        </is>
      </c>
      <c r="E249" t="inlineStr">
        <is>
          <t>2006-01</t>
        </is>
      </c>
      <c r="F249" t="n">
        <v>0</v>
      </c>
      <c r="G249" t="n">
        <v>0</v>
      </c>
      <c r="H249" t="n">
        <v>0</v>
      </c>
      <c r="I249">
        <f>DAY(EOMONTH(DATE(VALUE(LEFT(E249,4)),VALUE(RIGHT(E249,2)),1),0))</f>
        <v/>
      </c>
      <c r="J249">
        <f>VALUE(LEFT(E249,4))*12+VALUE(RIGHT(E249,2))-1</f>
        <v/>
      </c>
    </row>
    <row r="250">
      <c r="A250" t="inlineStr">
        <is>
          <t>Chihuido de la Sierra Negra</t>
        </is>
      </c>
      <c r="B250" t="inlineStr">
        <is>
          <t>Neuquina</t>
        </is>
      </c>
      <c r="C250" t="inlineStr">
        <is>
          <t>YPF S.A.</t>
        </is>
      </c>
      <c r="D250" t="inlineStr">
        <is>
          <t>convencional</t>
        </is>
      </c>
      <c r="E250" t="inlineStr">
        <is>
          <t>2006-02</t>
        </is>
      </c>
      <c r="F250" t="n">
        <v>97685.5</v>
      </c>
      <c r="G250" t="n">
        <v>1126539.1</v>
      </c>
      <c r="H250" t="n">
        <v>1348933</v>
      </c>
      <c r="I250">
        <f>DAY(EOMONTH(DATE(VALUE(LEFT(E250,4)),VALUE(RIGHT(E250,2)),1),0))</f>
        <v/>
      </c>
      <c r="J250">
        <f>VALUE(LEFT(E250,4))*12+VALUE(RIGHT(E250,2))-1</f>
        <v/>
      </c>
    </row>
    <row r="251">
      <c r="A251" t="inlineStr">
        <is>
          <t>Chihuido de la Sierra Negra</t>
        </is>
      </c>
      <c r="B251" t="inlineStr">
        <is>
          <t>Neuquina</t>
        </is>
      </c>
      <c r="C251" t="inlineStr">
        <is>
          <t>YPF S.A.</t>
        </is>
      </c>
      <c r="D251" t="inlineStr">
        <is>
          <t>no convencional</t>
        </is>
      </c>
      <c r="E251" t="inlineStr">
        <is>
          <t>2006-02</t>
        </is>
      </c>
      <c r="F251" t="n">
        <v>0</v>
      </c>
      <c r="G251" t="n">
        <v>0</v>
      </c>
      <c r="H251" t="n">
        <v>0</v>
      </c>
      <c r="I251">
        <f>DAY(EOMONTH(DATE(VALUE(LEFT(E251,4)),VALUE(RIGHT(E251,2)),1),0))</f>
        <v/>
      </c>
      <c r="J251">
        <f>VALUE(LEFT(E251,4))*12+VALUE(RIGHT(E251,2))-1</f>
        <v/>
      </c>
    </row>
    <row r="252">
      <c r="A252" t="inlineStr">
        <is>
          <t>Chihuido de la Sierra Negra</t>
        </is>
      </c>
      <c r="B252" t="inlineStr">
        <is>
          <t>Neuquina</t>
        </is>
      </c>
      <c r="C252" t="inlineStr">
        <is>
          <t>YPF S.A.</t>
        </is>
      </c>
      <c r="D252" t="inlineStr">
        <is>
          <t>convencional</t>
        </is>
      </c>
      <c r="E252" t="inlineStr">
        <is>
          <t>2006-03</t>
        </is>
      </c>
      <c r="F252" t="n">
        <v>102277.4</v>
      </c>
      <c r="G252" t="n">
        <v>1161147.4</v>
      </c>
      <c r="H252" t="n">
        <v>1348110</v>
      </c>
      <c r="I252">
        <f>DAY(EOMONTH(DATE(VALUE(LEFT(E252,4)),VALUE(RIGHT(E252,2)),1),0))</f>
        <v/>
      </c>
      <c r="J252">
        <f>VALUE(LEFT(E252,4))*12+VALUE(RIGHT(E252,2))-1</f>
        <v/>
      </c>
    </row>
    <row r="253">
      <c r="A253" t="inlineStr">
        <is>
          <t>Chihuido de la Sierra Negra</t>
        </is>
      </c>
      <c r="B253" t="inlineStr">
        <is>
          <t>Neuquina</t>
        </is>
      </c>
      <c r="C253" t="inlineStr">
        <is>
          <t>YPF S.A.</t>
        </is>
      </c>
      <c r="D253" t="inlineStr">
        <is>
          <t>no convencional</t>
        </is>
      </c>
      <c r="E253" t="inlineStr">
        <is>
          <t>2006-03</t>
        </is>
      </c>
      <c r="F253" t="n">
        <v>0</v>
      </c>
      <c r="G253" t="n">
        <v>0</v>
      </c>
      <c r="H253" t="n">
        <v>0</v>
      </c>
      <c r="I253">
        <f>DAY(EOMONTH(DATE(VALUE(LEFT(E253,4)),VALUE(RIGHT(E253,2)),1),0))</f>
        <v/>
      </c>
      <c r="J253">
        <f>VALUE(LEFT(E253,4))*12+VALUE(RIGHT(E253,2))-1</f>
        <v/>
      </c>
    </row>
    <row r="254">
      <c r="A254" t="inlineStr">
        <is>
          <t>Chihuido de la Sierra Negra</t>
        </is>
      </c>
      <c r="B254" t="inlineStr">
        <is>
          <t>Neuquina</t>
        </is>
      </c>
      <c r="C254" t="inlineStr">
        <is>
          <t>YPF S.A.</t>
        </is>
      </c>
      <c r="D254" t="inlineStr">
        <is>
          <t>convencional</t>
        </is>
      </c>
      <c r="E254" t="inlineStr">
        <is>
          <t>2006-04</t>
        </is>
      </c>
      <c r="F254" t="n">
        <v>96939.10000000001</v>
      </c>
      <c r="G254" t="n">
        <v>1042168.2</v>
      </c>
      <c r="H254" t="n">
        <v>1393888</v>
      </c>
      <c r="I254">
        <f>DAY(EOMONTH(DATE(VALUE(LEFT(E254,4)),VALUE(RIGHT(E254,2)),1),0))</f>
        <v/>
      </c>
      <c r="J254">
        <f>VALUE(LEFT(E254,4))*12+VALUE(RIGHT(E254,2))-1</f>
        <v/>
      </c>
    </row>
    <row r="255">
      <c r="A255" t="inlineStr">
        <is>
          <t>Chihuido de la Sierra Negra</t>
        </is>
      </c>
      <c r="B255" t="inlineStr">
        <is>
          <t>Neuquina</t>
        </is>
      </c>
      <c r="C255" t="inlineStr">
        <is>
          <t>YPF S.A.</t>
        </is>
      </c>
      <c r="D255" t="inlineStr">
        <is>
          <t>no convencional</t>
        </is>
      </c>
      <c r="E255" t="inlineStr">
        <is>
          <t>2006-04</t>
        </is>
      </c>
      <c r="F255" t="n">
        <v>0</v>
      </c>
      <c r="G255" t="n">
        <v>0</v>
      </c>
      <c r="H255" t="n">
        <v>0</v>
      </c>
      <c r="I255">
        <f>DAY(EOMONTH(DATE(VALUE(LEFT(E255,4)),VALUE(RIGHT(E255,2)),1),0))</f>
        <v/>
      </c>
      <c r="J255">
        <f>VALUE(LEFT(E255,4))*12+VALUE(RIGHT(E255,2))-1</f>
        <v/>
      </c>
    </row>
    <row r="256">
      <c r="A256" t="inlineStr">
        <is>
          <t>Chihuido de la Sierra Negra</t>
        </is>
      </c>
      <c r="B256" t="inlineStr">
        <is>
          <t>Neuquina</t>
        </is>
      </c>
      <c r="C256" t="inlineStr">
        <is>
          <t>YPF S.A.</t>
        </is>
      </c>
      <c r="D256" t="inlineStr">
        <is>
          <t>convencional</t>
        </is>
      </c>
      <c r="E256" t="inlineStr">
        <is>
          <t>2006-05</t>
        </is>
      </c>
      <c r="F256" t="n">
        <v>103819.4</v>
      </c>
      <c r="G256" t="n">
        <v>1216110.1</v>
      </c>
      <c r="H256" t="n">
        <v>1489926</v>
      </c>
      <c r="I256">
        <f>DAY(EOMONTH(DATE(VALUE(LEFT(E256,4)),VALUE(RIGHT(E256,2)),1),0))</f>
        <v/>
      </c>
      <c r="J256">
        <f>VALUE(LEFT(E256,4))*12+VALUE(RIGHT(E256,2))-1</f>
        <v/>
      </c>
    </row>
    <row r="257">
      <c r="A257" t="inlineStr">
        <is>
          <t>Chihuido de la Sierra Negra</t>
        </is>
      </c>
      <c r="B257" t="inlineStr">
        <is>
          <t>Neuquina</t>
        </is>
      </c>
      <c r="C257" t="inlineStr">
        <is>
          <t>YPF S.A.</t>
        </is>
      </c>
      <c r="D257" t="inlineStr">
        <is>
          <t>no convencional</t>
        </is>
      </c>
      <c r="E257" t="inlineStr">
        <is>
          <t>2006-05</t>
        </is>
      </c>
      <c r="F257" t="n">
        <v>0</v>
      </c>
      <c r="G257" t="n">
        <v>0</v>
      </c>
      <c r="H257" t="n">
        <v>0</v>
      </c>
      <c r="I257">
        <f>DAY(EOMONTH(DATE(VALUE(LEFT(E257,4)),VALUE(RIGHT(E257,2)),1),0))</f>
        <v/>
      </c>
      <c r="J257">
        <f>VALUE(LEFT(E257,4))*12+VALUE(RIGHT(E257,2))-1</f>
        <v/>
      </c>
    </row>
    <row r="258">
      <c r="A258" t="inlineStr">
        <is>
          <t>Chihuido de la Sierra Negra</t>
        </is>
      </c>
      <c r="B258" t="inlineStr">
        <is>
          <t>Neuquina</t>
        </is>
      </c>
      <c r="C258" t="inlineStr">
        <is>
          <t>YPF S.A.</t>
        </is>
      </c>
      <c r="D258" t="inlineStr">
        <is>
          <t>convencional</t>
        </is>
      </c>
      <c r="E258" t="inlineStr">
        <is>
          <t>2006-06</t>
        </is>
      </c>
      <c r="F258" t="n">
        <v>99959.89999999999</v>
      </c>
      <c r="G258" t="n">
        <v>1203809.6</v>
      </c>
      <c r="H258" t="n">
        <v>1440752</v>
      </c>
      <c r="I258">
        <f>DAY(EOMONTH(DATE(VALUE(LEFT(E258,4)),VALUE(RIGHT(E258,2)),1),0))</f>
        <v/>
      </c>
      <c r="J258">
        <f>VALUE(LEFT(E258,4))*12+VALUE(RIGHT(E258,2))-1</f>
        <v/>
      </c>
    </row>
    <row r="259">
      <c r="A259" t="inlineStr">
        <is>
          <t>Chihuido de la Sierra Negra</t>
        </is>
      </c>
      <c r="B259" t="inlineStr">
        <is>
          <t>Neuquina</t>
        </is>
      </c>
      <c r="C259" t="inlineStr">
        <is>
          <t>YPF S.A.</t>
        </is>
      </c>
      <c r="D259" t="inlineStr">
        <is>
          <t>no convencional</t>
        </is>
      </c>
      <c r="E259" t="inlineStr">
        <is>
          <t>2006-06</t>
        </is>
      </c>
      <c r="F259" t="n">
        <v>0</v>
      </c>
      <c r="G259" t="n">
        <v>0</v>
      </c>
      <c r="H259" t="n">
        <v>0</v>
      </c>
      <c r="I259">
        <f>DAY(EOMONTH(DATE(VALUE(LEFT(E259,4)),VALUE(RIGHT(E259,2)),1),0))</f>
        <v/>
      </c>
      <c r="J259">
        <f>VALUE(LEFT(E259,4))*12+VALUE(RIGHT(E259,2))-1</f>
        <v/>
      </c>
    </row>
    <row r="260">
      <c r="A260" t="inlineStr">
        <is>
          <t>Chihuido de la Sierra Negra</t>
        </is>
      </c>
      <c r="B260" t="inlineStr">
        <is>
          <t>Neuquina</t>
        </is>
      </c>
      <c r="C260" t="inlineStr">
        <is>
          <t>YPF S.A.</t>
        </is>
      </c>
      <c r="D260" t="inlineStr">
        <is>
          <t>convencional</t>
        </is>
      </c>
      <c r="E260" t="inlineStr">
        <is>
          <t>2006-07</t>
        </is>
      </c>
      <c r="F260" t="n">
        <v>100927.2</v>
      </c>
      <c r="G260" t="n">
        <v>1231473.6</v>
      </c>
      <c r="H260" t="n">
        <v>1496647</v>
      </c>
      <c r="I260">
        <f>DAY(EOMONTH(DATE(VALUE(LEFT(E260,4)),VALUE(RIGHT(E260,2)),1),0))</f>
        <v/>
      </c>
      <c r="J260">
        <f>VALUE(LEFT(E260,4))*12+VALUE(RIGHT(E260,2))-1</f>
        <v/>
      </c>
    </row>
    <row r="261">
      <c r="A261" t="inlineStr">
        <is>
          <t>Chihuido de la Sierra Negra</t>
        </is>
      </c>
      <c r="B261" t="inlineStr">
        <is>
          <t>Neuquina</t>
        </is>
      </c>
      <c r="C261" t="inlineStr">
        <is>
          <t>YPF S.A.</t>
        </is>
      </c>
      <c r="D261" t="inlineStr">
        <is>
          <t>no convencional</t>
        </is>
      </c>
      <c r="E261" t="inlineStr">
        <is>
          <t>2006-07</t>
        </is>
      </c>
      <c r="F261" t="n">
        <v>0</v>
      </c>
      <c r="G261" t="n">
        <v>0</v>
      </c>
      <c r="H261" t="n">
        <v>0</v>
      </c>
      <c r="I261">
        <f>DAY(EOMONTH(DATE(VALUE(LEFT(E261,4)),VALUE(RIGHT(E261,2)),1),0))</f>
        <v/>
      </c>
      <c r="J261">
        <f>VALUE(LEFT(E261,4))*12+VALUE(RIGHT(E261,2))-1</f>
        <v/>
      </c>
    </row>
    <row r="262">
      <c r="A262" t="inlineStr">
        <is>
          <t>Chihuido de la Sierra Negra</t>
        </is>
      </c>
      <c r="B262" t="inlineStr">
        <is>
          <t>Neuquina</t>
        </is>
      </c>
      <c r="C262" t="inlineStr">
        <is>
          <t>YPF S.A.</t>
        </is>
      </c>
      <c r="D262" t="inlineStr">
        <is>
          <t>convencional</t>
        </is>
      </c>
      <c r="E262" t="inlineStr">
        <is>
          <t>2006-08</t>
        </is>
      </c>
      <c r="F262" t="n">
        <v>98666</v>
      </c>
      <c r="G262" t="n">
        <v>1211460.4</v>
      </c>
      <c r="H262" t="n">
        <v>1516542</v>
      </c>
      <c r="I262">
        <f>DAY(EOMONTH(DATE(VALUE(LEFT(E262,4)),VALUE(RIGHT(E262,2)),1),0))</f>
        <v/>
      </c>
      <c r="J262">
        <f>VALUE(LEFT(E262,4))*12+VALUE(RIGHT(E262,2))-1</f>
        <v/>
      </c>
    </row>
    <row r="263">
      <c r="A263" t="inlineStr">
        <is>
          <t>Chihuido de la Sierra Negra</t>
        </is>
      </c>
      <c r="B263" t="inlineStr">
        <is>
          <t>Neuquina</t>
        </is>
      </c>
      <c r="C263" t="inlineStr">
        <is>
          <t>YPF S.A.</t>
        </is>
      </c>
      <c r="D263" t="inlineStr">
        <is>
          <t>no convencional</t>
        </is>
      </c>
      <c r="E263" t="inlineStr">
        <is>
          <t>2006-08</t>
        </is>
      </c>
      <c r="F263" t="n">
        <v>0</v>
      </c>
      <c r="G263" t="n">
        <v>0</v>
      </c>
      <c r="H263" t="n">
        <v>0</v>
      </c>
      <c r="I263">
        <f>DAY(EOMONTH(DATE(VALUE(LEFT(E263,4)),VALUE(RIGHT(E263,2)),1),0))</f>
        <v/>
      </c>
      <c r="J263">
        <f>VALUE(LEFT(E263,4))*12+VALUE(RIGHT(E263,2))-1</f>
        <v/>
      </c>
    </row>
    <row r="264">
      <c r="A264" t="inlineStr">
        <is>
          <t>Chihuido de la Sierra Negra</t>
        </is>
      </c>
      <c r="B264" t="inlineStr">
        <is>
          <t>Neuquina</t>
        </is>
      </c>
      <c r="C264" t="inlineStr">
        <is>
          <t>YPF S.A.</t>
        </is>
      </c>
      <c r="D264" t="inlineStr">
        <is>
          <t>convencional</t>
        </is>
      </c>
      <c r="E264" t="inlineStr">
        <is>
          <t>2006-09</t>
        </is>
      </c>
      <c r="F264" t="n">
        <v>95417.5</v>
      </c>
      <c r="G264" t="n">
        <v>1165300.2</v>
      </c>
      <c r="H264" t="n">
        <v>1445129</v>
      </c>
      <c r="I264">
        <f>DAY(EOMONTH(DATE(VALUE(LEFT(E264,4)),VALUE(RIGHT(E264,2)),1),0))</f>
        <v/>
      </c>
      <c r="J264">
        <f>VALUE(LEFT(E264,4))*12+VALUE(RIGHT(E264,2))-1</f>
        <v/>
      </c>
    </row>
    <row r="265">
      <c r="A265" t="inlineStr">
        <is>
          <t>Chihuido de la Sierra Negra</t>
        </is>
      </c>
      <c r="B265" t="inlineStr">
        <is>
          <t>Neuquina</t>
        </is>
      </c>
      <c r="C265" t="inlineStr">
        <is>
          <t>YPF S.A.</t>
        </is>
      </c>
      <c r="D265" t="inlineStr">
        <is>
          <t>no convencional</t>
        </is>
      </c>
      <c r="E265" t="inlineStr">
        <is>
          <t>2006-09</t>
        </is>
      </c>
      <c r="F265" t="n">
        <v>0</v>
      </c>
      <c r="G265" t="n">
        <v>0</v>
      </c>
      <c r="H265" t="n">
        <v>0</v>
      </c>
      <c r="I265">
        <f>DAY(EOMONTH(DATE(VALUE(LEFT(E265,4)),VALUE(RIGHT(E265,2)),1),0))</f>
        <v/>
      </c>
      <c r="J265">
        <f>VALUE(LEFT(E265,4))*12+VALUE(RIGHT(E265,2))-1</f>
        <v/>
      </c>
    </row>
    <row r="266">
      <c r="A266" t="inlineStr">
        <is>
          <t>Chihuido de la Sierra Negra</t>
        </is>
      </c>
      <c r="B266" t="inlineStr">
        <is>
          <t>Neuquina</t>
        </is>
      </c>
      <c r="C266" t="inlineStr">
        <is>
          <t>YPF S.A.</t>
        </is>
      </c>
      <c r="D266" t="inlineStr">
        <is>
          <t>convencional</t>
        </is>
      </c>
      <c r="E266" t="inlineStr">
        <is>
          <t>2006-10</t>
        </is>
      </c>
      <c r="F266" t="n">
        <v>97038.7</v>
      </c>
      <c r="G266" t="n">
        <v>1202259.1</v>
      </c>
      <c r="H266" t="n">
        <v>1498406</v>
      </c>
      <c r="I266">
        <f>DAY(EOMONTH(DATE(VALUE(LEFT(E266,4)),VALUE(RIGHT(E266,2)),1),0))</f>
        <v/>
      </c>
      <c r="J266">
        <f>VALUE(LEFT(E266,4))*12+VALUE(RIGHT(E266,2))-1</f>
        <v/>
      </c>
    </row>
    <row r="267">
      <c r="A267" t="inlineStr">
        <is>
          <t>Chihuido de la Sierra Negra</t>
        </is>
      </c>
      <c r="B267" t="inlineStr">
        <is>
          <t>Neuquina</t>
        </is>
      </c>
      <c r="C267" t="inlineStr">
        <is>
          <t>YPF S.A.</t>
        </is>
      </c>
      <c r="D267" t="inlineStr">
        <is>
          <t>no convencional</t>
        </is>
      </c>
      <c r="E267" t="inlineStr">
        <is>
          <t>2006-10</t>
        </is>
      </c>
      <c r="F267" t="n">
        <v>0</v>
      </c>
      <c r="G267" t="n">
        <v>0</v>
      </c>
      <c r="H267" t="n">
        <v>0</v>
      </c>
      <c r="I267">
        <f>DAY(EOMONTH(DATE(VALUE(LEFT(E267,4)),VALUE(RIGHT(E267,2)),1),0))</f>
        <v/>
      </c>
      <c r="J267">
        <f>VALUE(LEFT(E267,4))*12+VALUE(RIGHT(E267,2))-1</f>
        <v/>
      </c>
    </row>
    <row r="268">
      <c r="A268" t="inlineStr">
        <is>
          <t>Chihuido de la Sierra Negra</t>
        </is>
      </c>
      <c r="B268" t="inlineStr">
        <is>
          <t>Neuquina</t>
        </is>
      </c>
      <c r="C268" t="inlineStr">
        <is>
          <t>YPF S.A.</t>
        </is>
      </c>
      <c r="D268" t="inlineStr">
        <is>
          <t>convencional</t>
        </is>
      </c>
      <c r="E268" t="inlineStr">
        <is>
          <t>2006-11</t>
        </is>
      </c>
      <c r="F268" t="n">
        <v>88013.39999999999</v>
      </c>
      <c r="G268" t="n">
        <v>1117644.9</v>
      </c>
      <c r="H268" t="n">
        <v>1367895</v>
      </c>
      <c r="I268">
        <f>DAY(EOMONTH(DATE(VALUE(LEFT(E268,4)),VALUE(RIGHT(E268,2)),1),0))</f>
        <v/>
      </c>
      <c r="J268">
        <f>VALUE(LEFT(E268,4))*12+VALUE(RIGHT(E268,2))-1</f>
        <v/>
      </c>
    </row>
    <row r="269">
      <c r="A269" t="inlineStr">
        <is>
          <t>Chihuido de la Sierra Negra</t>
        </is>
      </c>
      <c r="B269" t="inlineStr">
        <is>
          <t>Neuquina</t>
        </is>
      </c>
      <c r="C269" t="inlineStr">
        <is>
          <t>YPF S.A.</t>
        </is>
      </c>
      <c r="D269" t="inlineStr">
        <is>
          <t>no convencional</t>
        </is>
      </c>
      <c r="E269" t="inlineStr">
        <is>
          <t>2006-11</t>
        </is>
      </c>
      <c r="F269" t="n">
        <v>0</v>
      </c>
      <c r="G269" t="n">
        <v>0</v>
      </c>
      <c r="H269" t="n">
        <v>0</v>
      </c>
      <c r="I269">
        <f>DAY(EOMONTH(DATE(VALUE(LEFT(E269,4)),VALUE(RIGHT(E269,2)),1),0))</f>
        <v/>
      </c>
      <c r="J269">
        <f>VALUE(LEFT(E269,4))*12+VALUE(RIGHT(E269,2))-1</f>
        <v/>
      </c>
    </row>
    <row r="270">
      <c r="A270" t="inlineStr">
        <is>
          <t>Chihuido de la Sierra Negra</t>
        </is>
      </c>
      <c r="B270" t="inlineStr">
        <is>
          <t>Neuquina</t>
        </is>
      </c>
      <c r="C270" t="inlineStr">
        <is>
          <t>YPF S.A.</t>
        </is>
      </c>
      <c r="D270" t="inlineStr">
        <is>
          <t>convencional</t>
        </is>
      </c>
      <c r="E270" t="inlineStr">
        <is>
          <t>2006-12</t>
        </is>
      </c>
      <c r="F270" t="n">
        <v>93731.2</v>
      </c>
      <c r="G270" t="n">
        <v>1152837.3</v>
      </c>
      <c r="H270" t="n">
        <v>1422117</v>
      </c>
      <c r="I270">
        <f>DAY(EOMONTH(DATE(VALUE(LEFT(E270,4)),VALUE(RIGHT(E270,2)),1),0))</f>
        <v/>
      </c>
      <c r="J270">
        <f>VALUE(LEFT(E270,4))*12+VALUE(RIGHT(E270,2))-1</f>
        <v/>
      </c>
    </row>
    <row r="271">
      <c r="A271" t="inlineStr">
        <is>
          <t>Chihuido de la Sierra Negra</t>
        </is>
      </c>
      <c r="B271" t="inlineStr">
        <is>
          <t>Neuquina</t>
        </is>
      </c>
      <c r="C271" t="inlineStr">
        <is>
          <t>YPF S.A.</t>
        </is>
      </c>
      <c r="D271" t="inlineStr">
        <is>
          <t>no convencional</t>
        </is>
      </c>
      <c r="E271" t="inlineStr">
        <is>
          <t>2006-12</t>
        </is>
      </c>
      <c r="F271" t="n">
        <v>0</v>
      </c>
      <c r="G271" t="n">
        <v>0</v>
      </c>
      <c r="H271" t="n">
        <v>0</v>
      </c>
      <c r="I271">
        <f>DAY(EOMONTH(DATE(VALUE(LEFT(E271,4)),VALUE(RIGHT(E271,2)),1),0))</f>
        <v/>
      </c>
      <c r="J271">
        <f>VALUE(LEFT(E271,4))*12+VALUE(RIGHT(E271,2))-1</f>
        <v/>
      </c>
    </row>
    <row r="272">
      <c r="A272" t="inlineStr">
        <is>
          <t>Chihuido de la Sierra Negra</t>
        </is>
      </c>
      <c r="B272" t="inlineStr">
        <is>
          <t>Neuquina</t>
        </is>
      </c>
      <c r="C272" t="inlineStr">
        <is>
          <t>YPF S.A.</t>
        </is>
      </c>
      <c r="D272" t="inlineStr">
        <is>
          <t>convencional</t>
        </is>
      </c>
      <c r="E272" t="inlineStr">
        <is>
          <t>2007-01</t>
        </is>
      </c>
      <c r="F272" t="n">
        <v>90578.2</v>
      </c>
      <c r="G272" t="n">
        <v>1179444.8</v>
      </c>
      <c r="H272" t="n">
        <v>1443083</v>
      </c>
      <c r="I272">
        <f>DAY(EOMONTH(DATE(VALUE(LEFT(E272,4)),VALUE(RIGHT(E272,2)),1),0))</f>
        <v/>
      </c>
      <c r="J272">
        <f>VALUE(LEFT(E272,4))*12+VALUE(RIGHT(E272,2))-1</f>
        <v/>
      </c>
    </row>
    <row r="273">
      <c r="A273" t="inlineStr">
        <is>
          <t>Chihuido de la Sierra Negra</t>
        </is>
      </c>
      <c r="B273" t="inlineStr">
        <is>
          <t>Neuquina</t>
        </is>
      </c>
      <c r="C273" t="inlineStr">
        <is>
          <t>YPF S.A.</t>
        </is>
      </c>
      <c r="D273" t="inlineStr">
        <is>
          <t>no convencional</t>
        </is>
      </c>
      <c r="E273" t="inlineStr">
        <is>
          <t>2007-01</t>
        </is>
      </c>
      <c r="F273" t="n">
        <v>0</v>
      </c>
      <c r="G273" t="n">
        <v>0</v>
      </c>
      <c r="H273" t="n">
        <v>0</v>
      </c>
      <c r="I273">
        <f>DAY(EOMONTH(DATE(VALUE(LEFT(E273,4)),VALUE(RIGHT(E273,2)),1),0))</f>
        <v/>
      </c>
      <c r="J273">
        <f>VALUE(LEFT(E273,4))*12+VALUE(RIGHT(E273,2))-1</f>
        <v/>
      </c>
    </row>
    <row r="274">
      <c r="A274" t="inlineStr">
        <is>
          <t>Chihuido de la Sierra Negra</t>
        </is>
      </c>
      <c r="B274" t="inlineStr">
        <is>
          <t>Neuquina</t>
        </is>
      </c>
      <c r="C274" t="inlineStr">
        <is>
          <t>YPF S.A.</t>
        </is>
      </c>
      <c r="D274" t="inlineStr">
        <is>
          <t>convencional</t>
        </is>
      </c>
      <c r="E274" t="inlineStr">
        <is>
          <t>2007-02</t>
        </is>
      </c>
      <c r="F274" t="n">
        <v>85028.8</v>
      </c>
      <c r="G274" t="n">
        <v>1091327.2</v>
      </c>
      <c r="H274" t="n">
        <v>1341463</v>
      </c>
      <c r="I274">
        <f>DAY(EOMONTH(DATE(VALUE(LEFT(E274,4)),VALUE(RIGHT(E274,2)),1),0))</f>
        <v/>
      </c>
      <c r="J274">
        <f>VALUE(LEFT(E274,4))*12+VALUE(RIGHT(E274,2))-1</f>
        <v/>
      </c>
    </row>
    <row r="275">
      <c r="A275" t="inlineStr">
        <is>
          <t>Chihuido de la Sierra Negra</t>
        </is>
      </c>
      <c r="B275" t="inlineStr">
        <is>
          <t>Neuquina</t>
        </is>
      </c>
      <c r="C275" t="inlineStr">
        <is>
          <t>YPF S.A.</t>
        </is>
      </c>
      <c r="D275" t="inlineStr">
        <is>
          <t>no convencional</t>
        </is>
      </c>
      <c r="E275" t="inlineStr">
        <is>
          <t>2007-02</t>
        </is>
      </c>
      <c r="F275" t="n">
        <v>0</v>
      </c>
      <c r="G275" t="n">
        <v>0</v>
      </c>
      <c r="H275" t="n">
        <v>0</v>
      </c>
      <c r="I275">
        <f>DAY(EOMONTH(DATE(VALUE(LEFT(E275,4)),VALUE(RIGHT(E275,2)),1),0))</f>
        <v/>
      </c>
      <c r="J275">
        <f>VALUE(LEFT(E275,4))*12+VALUE(RIGHT(E275,2))-1</f>
        <v/>
      </c>
    </row>
    <row r="276">
      <c r="A276" t="inlineStr">
        <is>
          <t>Chihuido de la Sierra Negra</t>
        </is>
      </c>
      <c r="B276" t="inlineStr">
        <is>
          <t>Neuquina</t>
        </is>
      </c>
      <c r="C276" t="inlineStr">
        <is>
          <t>YPF S.A.</t>
        </is>
      </c>
      <c r="D276" t="inlineStr">
        <is>
          <t>convencional</t>
        </is>
      </c>
      <c r="E276" t="inlineStr">
        <is>
          <t>2007-03</t>
        </is>
      </c>
      <c r="F276" t="n">
        <v>91520.89999999999</v>
      </c>
      <c r="G276" t="n">
        <v>1186766</v>
      </c>
      <c r="H276" t="n">
        <v>1434920</v>
      </c>
      <c r="I276">
        <f>DAY(EOMONTH(DATE(VALUE(LEFT(E276,4)),VALUE(RIGHT(E276,2)),1),0))</f>
        <v/>
      </c>
      <c r="J276">
        <f>VALUE(LEFT(E276,4))*12+VALUE(RIGHT(E276,2))-1</f>
        <v/>
      </c>
    </row>
    <row r="277">
      <c r="A277" t="inlineStr">
        <is>
          <t>Chihuido de la Sierra Negra</t>
        </is>
      </c>
      <c r="B277" t="inlineStr">
        <is>
          <t>Neuquina</t>
        </is>
      </c>
      <c r="C277" t="inlineStr">
        <is>
          <t>YPF S.A.</t>
        </is>
      </c>
      <c r="D277" t="inlineStr">
        <is>
          <t>no convencional</t>
        </is>
      </c>
      <c r="E277" t="inlineStr">
        <is>
          <t>2007-03</t>
        </is>
      </c>
      <c r="F277" t="n">
        <v>0</v>
      </c>
      <c r="G277" t="n">
        <v>0</v>
      </c>
      <c r="H277" t="n">
        <v>0</v>
      </c>
      <c r="I277">
        <f>DAY(EOMONTH(DATE(VALUE(LEFT(E277,4)),VALUE(RIGHT(E277,2)),1),0))</f>
        <v/>
      </c>
      <c r="J277">
        <f>VALUE(LEFT(E277,4))*12+VALUE(RIGHT(E277,2))-1</f>
        <v/>
      </c>
    </row>
    <row r="278">
      <c r="A278" t="inlineStr">
        <is>
          <t>Chihuido de la Sierra Negra</t>
        </is>
      </c>
      <c r="B278" t="inlineStr">
        <is>
          <t>Neuquina</t>
        </is>
      </c>
      <c r="C278" t="inlineStr">
        <is>
          <t>YPF S.A.</t>
        </is>
      </c>
      <c r="D278" t="inlineStr">
        <is>
          <t>convencional</t>
        </is>
      </c>
      <c r="E278" t="inlineStr">
        <is>
          <t>2007-04</t>
        </is>
      </c>
      <c r="F278" t="n">
        <v>88845.2</v>
      </c>
      <c r="G278" t="n">
        <v>1155643.9</v>
      </c>
      <c r="H278" t="n">
        <v>1406820</v>
      </c>
      <c r="I278">
        <f>DAY(EOMONTH(DATE(VALUE(LEFT(E278,4)),VALUE(RIGHT(E278,2)),1),0))</f>
        <v/>
      </c>
      <c r="J278">
        <f>VALUE(LEFT(E278,4))*12+VALUE(RIGHT(E278,2))-1</f>
        <v/>
      </c>
    </row>
    <row r="279">
      <c r="A279" t="inlineStr">
        <is>
          <t>Chihuido de la Sierra Negra</t>
        </is>
      </c>
      <c r="B279" t="inlineStr">
        <is>
          <t>Neuquina</t>
        </is>
      </c>
      <c r="C279" t="inlineStr">
        <is>
          <t>YPF S.A.</t>
        </is>
      </c>
      <c r="D279" t="inlineStr">
        <is>
          <t>no convencional</t>
        </is>
      </c>
      <c r="E279" t="inlineStr">
        <is>
          <t>2007-04</t>
        </is>
      </c>
      <c r="F279" t="n">
        <v>0</v>
      </c>
      <c r="G279" t="n">
        <v>0</v>
      </c>
      <c r="H279" t="n">
        <v>0</v>
      </c>
      <c r="I279">
        <f>DAY(EOMONTH(DATE(VALUE(LEFT(E279,4)),VALUE(RIGHT(E279,2)),1),0))</f>
        <v/>
      </c>
      <c r="J279">
        <f>VALUE(LEFT(E279,4))*12+VALUE(RIGHT(E279,2))-1</f>
        <v/>
      </c>
    </row>
    <row r="280">
      <c r="A280" t="inlineStr">
        <is>
          <t>Chihuido de la Sierra Negra</t>
        </is>
      </c>
      <c r="B280" t="inlineStr">
        <is>
          <t>Neuquina</t>
        </is>
      </c>
      <c r="C280" t="inlineStr">
        <is>
          <t>YPF S.A.</t>
        </is>
      </c>
      <c r="D280" t="inlineStr">
        <is>
          <t>convencional</t>
        </is>
      </c>
      <c r="E280" t="inlineStr">
        <is>
          <t>2007-05</t>
        </is>
      </c>
      <c r="F280" t="n">
        <v>90190</v>
      </c>
      <c r="G280" t="n">
        <v>1189179.8</v>
      </c>
      <c r="H280" t="n">
        <v>1522427</v>
      </c>
      <c r="I280">
        <f>DAY(EOMONTH(DATE(VALUE(LEFT(E280,4)),VALUE(RIGHT(E280,2)),1),0))</f>
        <v/>
      </c>
      <c r="J280">
        <f>VALUE(LEFT(E280,4))*12+VALUE(RIGHT(E280,2))-1</f>
        <v/>
      </c>
    </row>
    <row r="281">
      <c r="A281" t="inlineStr">
        <is>
          <t>Chihuido de la Sierra Negra</t>
        </is>
      </c>
      <c r="B281" t="inlineStr">
        <is>
          <t>Neuquina</t>
        </is>
      </c>
      <c r="C281" t="inlineStr">
        <is>
          <t>YPF S.A.</t>
        </is>
      </c>
      <c r="D281" t="inlineStr">
        <is>
          <t>no convencional</t>
        </is>
      </c>
      <c r="E281" t="inlineStr">
        <is>
          <t>2007-05</t>
        </is>
      </c>
      <c r="F281" t="n">
        <v>0</v>
      </c>
      <c r="G281" t="n">
        <v>0</v>
      </c>
      <c r="H281" t="n">
        <v>0</v>
      </c>
      <c r="I281">
        <f>DAY(EOMONTH(DATE(VALUE(LEFT(E281,4)),VALUE(RIGHT(E281,2)),1),0))</f>
        <v/>
      </c>
      <c r="J281">
        <f>VALUE(LEFT(E281,4))*12+VALUE(RIGHT(E281,2))-1</f>
        <v/>
      </c>
    </row>
    <row r="282">
      <c r="A282" t="inlineStr">
        <is>
          <t>Chihuido de la Sierra Negra</t>
        </is>
      </c>
      <c r="B282" t="inlineStr">
        <is>
          <t>Neuquina</t>
        </is>
      </c>
      <c r="C282" t="inlineStr">
        <is>
          <t>YPF S.A.</t>
        </is>
      </c>
      <c r="D282" t="inlineStr">
        <is>
          <t>convencional</t>
        </is>
      </c>
      <c r="E282" t="inlineStr">
        <is>
          <t>2007-06</t>
        </is>
      </c>
      <c r="F282" t="n">
        <v>87677.89999999999</v>
      </c>
      <c r="G282" t="n">
        <v>1161502.2</v>
      </c>
      <c r="H282" t="n">
        <v>1442713</v>
      </c>
      <c r="I282">
        <f>DAY(EOMONTH(DATE(VALUE(LEFT(E282,4)),VALUE(RIGHT(E282,2)),1),0))</f>
        <v/>
      </c>
      <c r="J282">
        <f>VALUE(LEFT(E282,4))*12+VALUE(RIGHT(E282,2))-1</f>
        <v/>
      </c>
    </row>
    <row r="283">
      <c r="A283" t="inlineStr">
        <is>
          <t>Chihuido de la Sierra Negra</t>
        </is>
      </c>
      <c r="B283" t="inlineStr">
        <is>
          <t>Neuquina</t>
        </is>
      </c>
      <c r="C283" t="inlineStr">
        <is>
          <t>YPF S.A.</t>
        </is>
      </c>
      <c r="D283" t="inlineStr">
        <is>
          <t>no convencional</t>
        </is>
      </c>
      <c r="E283" t="inlineStr">
        <is>
          <t>2007-06</t>
        </is>
      </c>
      <c r="F283" t="n">
        <v>0</v>
      </c>
      <c r="G283" t="n">
        <v>0</v>
      </c>
      <c r="H283" t="n">
        <v>0</v>
      </c>
      <c r="I283">
        <f>DAY(EOMONTH(DATE(VALUE(LEFT(E283,4)),VALUE(RIGHT(E283,2)),1),0))</f>
        <v/>
      </c>
      <c r="J283">
        <f>VALUE(LEFT(E283,4))*12+VALUE(RIGHT(E283,2))-1</f>
        <v/>
      </c>
    </row>
    <row r="284">
      <c r="A284" t="inlineStr">
        <is>
          <t>Chihuido de la Sierra Negra</t>
        </is>
      </c>
      <c r="B284" t="inlineStr">
        <is>
          <t>Neuquina</t>
        </is>
      </c>
      <c r="C284" t="inlineStr">
        <is>
          <t>YPF S.A.</t>
        </is>
      </c>
      <c r="D284" t="inlineStr">
        <is>
          <t>convencional</t>
        </is>
      </c>
      <c r="E284" t="inlineStr">
        <is>
          <t>2007-07</t>
        </is>
      </c>
      <c r="F284" t="n">
        <v>89246.10000000001</v>
      </c>
      <c r="G284" t="n">
        <v>1184272.9</v>
      </c>
      <c r="H284" t="n">
        <v>1439075</v>
      </c>
      <c r="I284">
        <f>DAY(EOMONTH(DATE(VALUE(LEFT(E284,4)),VALUE(RIGHT(E284,2)),1),0))</f>
        <v/>
      </c>
      <c r="J284">
        <f>VALUE(LEFT(E284,4))*12+VALUE(RIGHT(E284,2))-1</f>
        <v/>
      </c>
    </row>
    <row r="285">
      <c r="A285" t="inlineStr">
        <is>
          <t>Chihuido de la Sierra Negra</t>
        </is>
      </c>
      <c r="B285" t="inlineStr">
        <is>
          <t>Neuquina</t>
        </is>
      </c>
      <c r="C285" t="inlineStr">
        <is>
          <t>YPF S.A.</t>
        </is>
      </c>
      <c r="D285" t="inlineStr">
        <is>
          <t>no convencional</t>
        </is>
      </c>
      <c r="E285" t="inlineStr">
        <is>
          <t>2007-07</t>
        </is>
      </c>
      <c r="F285" t="n">
        <v>0</v>
      </c>
      <c r="G285" t="n">
        <v>0</v>
      </c>
      <c r="H285" t="n">
        <v>0</v>
      </c>
      <c r="I285">
        <f>DAY(EOMONTH(DATE(VALUE(LEFT(E285,4)),VALUE(RIGHT(E285,2)),1),0))</f>
        <v/>
      </c>
      <c r="J285">
        <f>VALUE(LEFT(E285,4))*12+VALUE(RIGHT(E285,2))-1</f>
        <v/>
      </c>
    </row>
    <row r="286">
      <c r="A286" t="inlineStr">
        <is>
          <t>Chihuido de la Sierra Negra</t>
        </is>
      </c>
      <c r="B286" t="inlineStr">
        <is>
          <t>Neuquina</t>
        </is>
      </c>
      <c r="C286" t="inlineStr">
        <is>
          <t>YPF S.A.</t>
        </is>
      </c>
      <c r="D286" t="inlineStr">
        <is>
          <t>convencional</t>
        </is>
      </c>
      <c r="E286" t="inlineStr">
        <is>
          <t>2007-08</t>
        </is>
      </c>
      <c r="F286" t="n">
        <v>87790.8</v>
      </c>
      <c r="G286" t="n">
        <v>1192963.2</v>
      </c>
      <c r="H286" t="n">
        <v>1447818</v>
      </c>
      <c r="I286">
        <f>DAY(EOMONTH(DATE(VALUE(LEFT(E286,4)),VALUE(RIGHT(E286,2)),1),0))</f>
        <v/>
      </c>
      <c r="J286">
        <f>VALUE(LEFT(E286,4))*12+VALUE(RIGHT(E286,2))-1</f>
        <v/>
      </c>
    </row>
    <row r="287">
      <c r="A287" t="inlineStr">
        <is>
          <t>Chihuido de la Sierra Negra</t>
        </is>
      </c>
      <c r="B287" t="inlineStr">
        <is>
          <t>Neuquina</t>
        </is>
      </c>
      <c r="C287" t="inlineStr">
        <is>
          <t>YPF S.A.</t>
        </is>
      </c>
      <c r="D287" t="inlineStr">
        <is>
          <t>no convencional</t>
        </is>
      </c>
      <c r="E287" t="inlineStr">
        <is>
          <t>2007-08</t>
        </is>
      </c>
      <c r="F287" t="n">
        <v>0</v>
      </c>
      <c r="G287" t="n">
        <v>0</v>
      </c>
      <c r="H287" t="n">
        <v>0</v>
      </c>
      <c r="I287">
        <f>DAY(EOMONTH(DATE(VALUE(LEFT(E287,4)),VALUE(RIGHT(E287,2)),1),0))</f>
        <v/>
      </c>
      <c r="J287">
        <f>VALUE(LEFT(E287,4))*12+VALUE(RIGHT(E287,2))-1</f>
        <v/>
      </c>
    </row>
    <row r="288">
      <c r="A288" t="inlineStr">
        <is>
          <t>Chihuido de la Sierra Negra</t>
        </is>
      </c>
      <c r="B288" t="inlineStr">
        <is>
          <t>Neuquina</t>
        </is>
      </c>
      <c r="C288" t="inlineStr">
        <is>
          <t>YPF S.A.</t>
        </is>
      </c>
      <c r="D288" t="inlineStr">
        <is>
          <t>convencional</t>
        </is>
      </c>
      <c r="E288" t="inlineStr">
        <is>
          <t>2007-09</t>
        </is>
      </c>
      <c r="F288" t="n">
        <v>82853.39999999999</v>
      </c>
      <c r="G288" t="n">
        <v>1137309.3</v>
      </c>
      <c r="H288" t="n">
        <v>1360755</v>
      </c>
      <c r="I288">
        <f>DAY(EOMONTH(DATE(VALUE(LEFT(E288,4)),VALUE(RIGHT(E288,2)),1),0))</f>
        <v/>
      </c>
      <c r="J288">
        <f>VALUE(LEFT(E288,4))*12+VALUE(RIGHT(E288,2))-1</f>
        <v/>
      </c>
    </row>
    <row r="289">
      <c r="A289" t="inlineStr">
        <is>
          <t>Chihuido de la Sierra Negra</t>
        </is>
      </c>
      <c r="B289" t="inlineStr">
        <is>
          <t>Neuquina</t>
        </is>
      </c>
      <c r="C289" t="inlineStr">
        <is>
          <t>YPF S.A.</t>
        </is>
      </c>
      <c r="D289" t="inlineStr">
        <is>
          <t>no convencional</t>
        </is>
      </c>
      <c r="E289" t="inlineStr">
        <is>
          <t>2007-09</t>
        </is>
      </c>
      <c r="F289" t="n">
        <v>0</v>
      </c>
      <c r="G289" t="n">
        <v>0</v>
      </c>
      <c r="H289" t="n">
        <v>0</v>
      </c>
      <c r="I289">
        <f>DAY(EOMONTH(DATE(VALUE(LEFT(E289,4)),VALUE(RIGHT(E289,2)),1),0))</f>
        <v/>
      </c>
      <c r="J289">
        <f>VALUE(LEFT(E289,4))*12+VALUE(RIGHT(E289,2))-1</f>
        <v/>
      </c>
    </row>
    <row r="290">
      <c r="A290" t="inlineStr">
        <is>
          <t>Chihuido de la Sierra Negra</t>
        </is>
      </c>
      <c r="B290" t="inlineStr">
        <is>
          <t>Neuquina</t>
        </is>
      </c>
      <c r="C290" t="inlineStr">
        <is>
          <t>YPF S.A.</t>
        </is>
      </c>
      <c r="D290" t="inlineStr">
        <is>
          <t>convencional</t>
        </is>
      </c>
      <c r="E290" t="inlineStr">
        <is>
          <t>2007-10</t>
        </is>
      </c>
      <c r="F290" t="n">
        <v>85212.10000000001</v>
      </c>
      <c r="G290" t="n">
        <v>1173216.7</v>
      </c>
      <c r="H290" t="n">
        <v>1387829</v>
      </c>
      <c r="I290">
        <f>DAY(EOMONTH(DATE(VALUE(LEFT(E290,4)),VALUE(RIGHT(E290,2)),1),0))</f>
        <v/>
      </c>
      <c r="J290">
        <f>VALUE(LEFT(E290,4))*12+VALUE(RIGHT(E290,2))-1</f>
        <v/>
      </c>
    </row>
    <row r="291">
      <c r="A291" t="inlineStr">
        <is>
          <t>Chihuido de la Sierra Negra</t>
        </is>
      </c>
      <c r="B291" t="inlineStr">
        <is>
          <t>Neuquina</t>
        </is>
      </c>
      <c r="C291" t="inlineStr">
        <is>
          <t>YPF S.A.</t>
        </is>
      </c>
      <c r="D291" t="inlineStr">
        <is>
          <t>no convencional</t>
        </is>
      </c>
      <c r="E291" t="inlineStr">
        <is>
          <t>2007-10</t>
        </is>
      </c>
      <c r="F291" t="n">
        <v>0</v>
      </c>
      <c r="G291" t="n">
        <v>0</v>
      </c>
      <c r="H291" t="n">
        <v>0</v>
      </c>
      <c r="I291">
        <f>DAY(EOMONTH(DATE(VALUE(LEFT(E291,4)),VALUE(RIGHT(E291,2)),1),0))</f>
        <v/>
      </c>
      <c r="J291">
        <f>VALUE(LEFT(E291,4))*12+VALUE(RIGHT(E291,2))-1</f>
        <v/>
      </c>
    </row>
    <row r="292">
      <c r="A292" t="inlineStr">
        <is>
          <t>Chihuido de la Sierra Negra</t>
        </is>
      </c>
      <c r="B292" t="inlineStr">
        <is>
          <t>Neuquina</t>
        </is>
      </c>
      <c r="C292" t="inlineStr">
        <is>
          <t>YPF S.A.</t>
        </is>
      </c>
      <c r="D292" t="inlineStr">
        <is>
          <t>convencional</t>
        </is>
      </c>
      <c r="E292" t="inlineStr">
        <is>
          <t>2007-11</t>
        </is>
      </c>
      <c r="F292" t="n">
        <v>83188.5</v>
      </c>
      <c r="G292" t="n">
        <v>1145622.7</v>
      </c>
      <c r="H292" t="n">
        <v>1397526</v>
      </c>
      <c r="I292">
        <f>DAY(EOMONTH(DATE(VALUE(LEFT(E292,4)),VALUE(RIGHT(E292,2)),1),0))</f>
        <v/>
      </c>
      <c r="J292">
        <f>VALUE(LEFT(E292,4))*12+VALUE(RIGHT(E292,2))-1</f>
        <v/>
      </c>
    </row>
    <row r="293">
      <c r="A293" t="inlineStr">
        <is>
          <t>Chihuido de la Sierra Negra</t>
        </is>
      </c>
      <c r="B293" t="inlineStr">
        <is>
          <t>Neuquina</t>
        </is>
      </c>
      <c r="C293" t="inlineStr">
        <is>
          <t>YPF S.A.</t>
        </is>
      </c>
      <c r="D293" t="inlineStr">
        <is>
          <t>no convencional</t>
        </is>
      </c>
      <c r="E293" t="inlineStr">
        <is>
          <t>2007-11</t>
        </is>
      </c>
      <c r="F293" t="n">
        <v>0</v>
      </c>
      <c r="G293" t="n">
        <v>0</v>
      </c>
      <c r="H293" t="n">
        <v>0</v>
      </c>
      <c r="I293">
        <f>DAY(EOMONTH(DATE(VALUE(LEFT(E293,4)),VALUE(RIGHT(E293,2)),1),0))</f>
        <v/>
      </c>
      <c r="J293">
        <f>VALUE(LEFT(E293,4))*12+VALUE(RIGHT(E293,2))-1</f>
        <v/>
      </c>
    </row>
    <row r="294">
      <c r="A294" t="inlineStr">
        <is>
          <t>Chihuido de la Sierra Negra</t>
        </is>
      </c>
      <c r="B294" t="inlineStr">
        <is>
          <t>Neuquina</t>
        </is>
      </c>
      <c r="C294" t="inlineStr">
        <is>
          <t>YPF S.A.</t>
        </is>
      </c>
      <c r="D294" t="inlineStr">
        <is>
          <t>convencional</t>
        </is>
      </c>
      <c r="E294" t="inlineStr">
        <is>
          <t>2007-12</t>
        </is>
      </c>
      <c r="F294" t="n">
        <v>82114.89999999999</v>
      </c>
      <c r="G294" t="n">
        <v>1170866.8</v>
      </c>
      <c r="H294" t="n">
        <v>1410790.8</v>
      </c>
      <c r="I294">
        <f>DAY(EOMONTH(DATE(VALUE(LEFT(E294,4)),VALUE(RIGHT(E294,2)),1),0))</f>
        <v/>
      </c>
      <c r="J294">
        <f>VALUE(LEFT(E294,4))*12+VALUE(RIGHT(E294,2))-1</f>
        <v/>
      </c>
    </row>
    <row r="295">
      <c r="A295" t="inlineStr">
        <is>
          <t>Chihuido de la Sierra Negra</t>
        </is>
      </c>
      <c r="B295" t="inlineStr">
        <is>
          <t>Neuquina</t>
        </is>
      </c>
      <c r="C295" t="inlineStr">
        <is>
          <t>YPF S.A.</t>
        </is>
      </c>
      <c r="D295" t="inlineStr">
        <is>
          <t>no convencional</t>
        </is>
      </c>
      <c r="E295" t="inlineStr">
        <is>
          <t>2007-12</t>
        </is>
      </c>
      <c r="F295" t="n">
        <v>0</v>
      </c>
      <c r="G295" t="n">
        <v>0</v>
      </c>
      <c r="H295" t="n">
        <v>0</v>
      </c>
      <c r="I295">
        <f>DAY(EOMONTH(DATE(VALUE(LEFT(E295,4)),VALUE(RIGHT(E295,2)),1),0))</f>
        <v/>
      </c>
      <c r="J295">
        <f>VALUE(LEFT(E295,4))*12+VALUE(RIGHT(E295,2))-1</f>
        <v/>
      </c>
    </row>
    <row r="296">
      <c r="A296" t="inlineStr">
        <is>
          <t>Chihuido de la Sierra Negra</t>
        </is>
      </c>
      <c r="B296" t="inlineStr">
        <is>
          <t>Neuquina</t>
        </is>
      </c>
      <c r="C296" t="inlineStr">
        <is>
          <t>YPF S.A.</t>
        </is>
      </c>
      <c r="D296" t="inlineStr">
        <is>
          <t>convencional</t>
        </is>
      </c>
      <c r="E296" t="inlineStr">
        <is>
          <t>2008-01</t>
        </is>
      </c>
      <c r="F296" t="n">
        <v>80766.60000000001</v>
      </c>
      <c r="G296" t="n">
        <v>1190273.8</v>
      </c>
      <c r="H296" t="n">
        <v>1403858.8</v>
      </c>
      <c r="I296">
        <f>DAY(EOMONTH(DATE(VALUE(LEFT(E296,4)),VALUE(RIGHT(E296,2)),1),0))</f>
        <v/>
      </c>
      <c r="J296">
        <f>VALUE(LEFT(E296,4))*12+VALUE(RIGHT(E296,2))-1</f>
        <v/>
      </c>
    </row>
    <row r="297">
      <c r="A297" t="inlineStr">
        <is>
          <t>Chihuido de la Sierra Negra</t>
        </is>
      </c>
      <c r="B297" t="inlineStr">
        <is>
          <t>Neuquina</t>
        </is>
      </c>
      <c r="C297" t="inlineStr">
        <is>
          <t>YPF S.A.</t>
        </is>
      </c>
      <c r="D297" t="inlineStr">
        <is>
          <t>no convencional</t>
        </is>
      </c>
      <c r="E297" t="inlineStr">
        <is>
          <t>2008-01</t>
        </is>
      </c>
      <c r="F297" t="n">
        <v>0</v>
      </c>
      <c r="G297" t="n">
        <v>0</v>
      </c>
      <c r="H297" t="n">
        <v>0</v>
      </c>
      <c r="I297">
        <f>DAY(EOMONTH(DATE(VALUE(LEFT(E297,4)),VALUE(RIGHT(E297,2)),1),0))</f>
        <v/>
      </c>
      <c r="J297">
        <f>VALUE(LEFT(E297,4))*12+VALUE(RIGHT(E297,2))-1</f>
        <v/>
      </c>
    </row>
    <row r="298">
      <c r="A298" t="inlineStr">
        <is>
          <t>Chihuido de la Sierra Negra</t>
        </is>
      </c>
      <c r="B298" t="inlineStr">
        <is>
          <t>Neuquina</t>
        </is>
      </c>
      <c r="C298" t="inlineStr">
        <is>
          <t>YPF S.A.</t>
        </is>
      </c>
      <c r="D298" t="inlineStr">
        <is>
          <t>convencional</t>
        </is>
      </c>
      <c r="E298" t="inlineStr">
        <is>
          <t>2008-02</t>
        </is>
      </c>
      <c r="F298" t="n">
        <v>74478.5</v>
      </c>
      <c r="G298" t="n">
        <v>1086606.4</v>
      </c>
      <c r="H298" t="n">
        <v>1297712</v>
      </c>
      <c r="I298">
        <f>DAY(EOMONTH(DATE(VALUE(LEFT(E298,4)),VALUE(RIGHT(E298,2)),1),0))</f>
        <v/>
      </c>
      <c r="J298">
        <f>VALUE(LEFT(E298,4))*12+VALUE(RIGHT(E298,2))-1</f>
        <v/>
      </c>
    </row>
    <row r="299">
      <c r="A299" t="inlineStr">
        <is>
          <t>Chihuido de la Sierra Negra</t>
        </is>
      </c>
      <c r="B299" t="inlineStr">
        <is>
          <t>Neuquina</t>
        </is>
      </c>
      <c r="C299" t="inlineStr">
        <is>
          <t>YPF S.A.</t>
        </is>
      </c>
      <c r="D299" t="inlineStr">
        <is>
          <t>no convencional</t>
        </is>
      </c>
      <c r="E299" t="inlineStr">
        <is>
          <t>2008-02</t>
        </is>
      </c>
      <c r="F299" t="n">
        <v>0</v>
      </c>
      <c r="G299" t="n">
        <v>0</v>
      </c>
      <c r="H299" t="n">
        <v>0</v>
      </c>
      <c r="I299">
        <f>DAY(EOMONTH(DATE(VALUE(LEFT(E299,4)),VALUE(RIGHT(E299,2)),1),0))</f>
        <v/>
      </c>
      <c r="J299">
        <f>VALUE(LEFT(E299,4))*12+VALUE(RIGHT(E299,2))-1</f>
        <v/>
      </c>
    </row>
    <row r="300">
      <c r="A300" t="inlineStr">
        <is>
          <t>Chihuido de la Sierra Negra</t>
        </is>
      </c>
      <c r="B300" t="inlineStr">
        <is>
          <t>Neuquina</t>
        </is>
      </c>
      <c r="C300" t="inlineStr">
        <is>
          <t>YPF S.A.</t>
        </is>
      </c>
      <c r="D300" t="inlineStr">
        <is>
          <t>convencional</t>
        </is>
      </c>
      <c r="E300" t="inlineStr">
        <is>
          <t>2008-03</t>
        </is>
      </c>
      <c r="F300" t="n">
        <v>79968.8</v>
      </c>
      <c r="G300" t="n">
        <v>1175273.7</v>
      </c>
      <c r="H300" t="n">
        <v>1390731</v>
      </c>
      <c r="I300">
        <f>DAY(EOMONTH(DATE(VALUE(LEFT(E300,4)),VALUE(RIGHT(E300,2)),1),0))</f>
        <v/>
      </c>
      <c r="J300">
        <f>VALUE(LEFT(E300,4))*12+VALUE(RIGHT(E300,2))-1</f>
        <v/>
      </c>
    </row>
    <row r="301">
      <c r="A301" t="inlineStr">
        <is>
          <t>Chihuido de la Sierra Negra</t>
        </is>
      </c>
      <c r="B301" t="inlineStr">
        <is>
          <t>Neuquina</t>
        </is>
      </c>
      <c r="C301" t="inlineStr">
        <is>
          <t>YPF S.A.</t>
        </is>
      </c>
      <c r="D301" t="inlineStr">
        <is>
          <t>no convencional</t>
        </is>
      </c>
      <c r="E301" t="inlineStr">
        <is>
          <t>2008-03</t>
        </is>
      </c>
      <c r="F301" t="n">
        <v>0</v>
      </c>
      <c r="G301" t="n">
        <v>0</v>
      </c>
      <c r="H301" t="n">
        <v>0</v>
      </c>
      <c r="I301">
        <f>DAY(EOMONTH(DATE(VALUE(LEFT(E301,4)),VALUE(RIGHT(E301,2)),1),0))</f>
        <v/>
      </c>
      <c r="J301">
        <f>VALUE(LEFT(E301,4))*12+VALUE(RIGHT(E301,2))-1</f>
        <v/>
      </c>
    </row>
    <row r="302">
      <c r="A302" t="inlineStr">
        <is>
          <t>Chihuido de la Sierra Negra</t>
        </is>
      </c>
      <c r="B302" t="inlineStr">
        <is>
          <t>Neuquina</t>
        </is>
      </c>
      <c r="C302" t="inlineStr">
        <is>
          <t>YPF S.A.</t>
        </is>
      </c>
      <c r="D302" t="inlineStr">
        <is>
          <t>convencional</t>
        </is>
      </c>
      <c r="E302" t="inlineStr">
        <is>
          <t>2008-04</t>
        </is>
      </c>
      <c r="F302" t="n">
        <v>75947.89999999999</v>
      </c>
      <c r="G302" t="n">
        <v>1119561</v>
      </c>
      <c r="H302" t="n">
        <v>1293634</v>
      </c>
      <c r="I302">
        <f>DAY(EOMONTH(DATE(VALUE(LEFT(E302,4)),VALUE(RIGHT(E302,2)),1),0))</f>
        <v/>
      </c>
      <c r="J302">
        <f>VALUE(LEFT(E302,4))*12+VALUE(RIGHT(E302,2))-1</f>
        <v/>
      </c>
    </row>
    <row r="303">
      <c r="A303" t="inlineStr">
        <is>
          <t>Chihuido de la Sierra Negra</t>
        </is>
      </c>
      <c r="B303" t="inlineStr">
        <is>
          <t>Neuquina</t>
        </is>
      </c>
      <c r="C303" t="inlineStr">
        <is>
          <t>YPF S.A.</t>
        </is>
      </c>
      <c r="D303" t="inlineStr">
        <is>
          <t>no convencional</t>
        </is>
      </c>
      <c r="E303" t="inlineStr">
        <is>
          <t>2008-04</t>
        </is>
      </c>
      <c r="F303" t="n">
        <v>0</v>
      </c>
      <c r="G303" t="n">
        <v>0</v>
      </c>
      <c r="H303" t="n">
        <v>0</v>
      </c>
      <c r="I303">
        <f>DAY(EOMONTH(DATE(VALUE(LEFT(E303,4)),VALUE(RIGHT(E303,2)),1),0))</f>
        <v/>
      </c>
      <c r="J303">
        <f>VALUE(LEFT(E303,4))*12+VALUE(RIGHT(E303,2))-1</f>
        <v/>
      </c>
    </row>
    <row r="304">
      <c r="A304" t="inlineStr">
        <is>
          <t>Chihuido de la Sierra Negra</t>
        </is>
      </c>
      <c r="B304" t="inlineStr">
        <is>
          <t>Neuquina</t>
        </is>
      </c>
      <c r="C304" t="inlineStr">
        <is>
          <t>YPF S.A.</t>
        </is>
      </c>
      <c r="D304" t="inlineStr">
        <is>
          <t>convencional</t>
        </is>
      </c>
      <c r="E304" t="inlineStr">
        <is>
          <t>2008-05</t>
        </is>
      </c>
      <c r="F304" t="n">
        <v>78258.5</v>
      </c>
      <c r="G304" t="n">
        <v>1151444.6</v>
      </c>
      <c r="H304" t="n">
        <v>1365993</v>
      </c>
      <c r="I304">
        <f>DAY(EOMONTH(DATE(VALUE(LEFT(E304,4)),VALUE(RIGHT(E304,2)),1),0))</f>
        <v/>
      </c>
      <c r="J304">
        <f>VALUE(LEFT(E304,4))*12+VALUE(RIGHT(E304,2))-1</f>
        <v/>
      </c>
    </row>
    <row r="305">
      <c r="A305" t="inlineStr">
        <is>
          <t>Chihuido de la Sierra Negra</t>
        </is>
      </c>
      <c r="B305" t="inlineStr">
        <is>
          <t>Neuquina</t>
        </is>
      </c>
      <c r="C305" t="inlineStr">
        <is>
          <t>YPF S.A.</t>
        </is>
      </c>
      <c r="D305" t="inlineStr">
        <is>
          <t>no convencional</t>
        </is>
      </c>
      <c r="E305" t="inlineStr">
        <is>
          <t>2008-05</t>
        </is>
      </c>
      <c r="F305" t="n">
        <v>0</v>
      </c>
      <c r="G305" t="n">
        <v>0</v>
      </c>
      <c r="H305" t="n">
        <v>0</v>
      </c>
      <c r="I305">
        <f>DAY(EOMONTH(DATE(VALUE(LEFT(E305,4)),VALUE(RIGHT(E305,2)),1),0))</f>
        <v/>
      </c>
      <c r="J305">
        <f>VALUE(LEFT(E305,4))*12+VALUE(RIGHT(E305,2))-1</f>
        <v/>
      </c>
    </row>
    <row r="306">
      <c r="A306" t="inlineStr">
        <is>
          <t>Chihuido de la Sierra Negra</t>
        </is>
      </c>
      <c r="B306" t="inlineStr">
        <is>
          <t>Neuquina</t>
        </is>
      </c>
      <c r="C306" t="inlineStr">
        <is>
          <t>YPF S.A.</t>
        </is>
      </c>
      <c r="D306" t="inlineStr">
        <is>
          <t>convencional</t>
        </is>
      </c>
      <c r="E306" t="inlineStr">
        <is>
          <t>2008-06</t>
        </is>
      </c>
      <c r="F306" t="n">
        <v>75255.10000000001</v>
      </c>
      <c r="G306" t="n">
        <v>1110346.4</v>
      </c>
      <c r="H306" t="n">
        <v>1321614</v>
      </c>
      <c r="I306">
        <f>DAY(EOMONTH(DATE(VALUE(LEFT(E306,4)),VALUE(RIGHT(E306,2)),1),0))</f>
        <v/>
      </c>
      <c r="J306">
        <f>VALUE(LEFT(E306,4))*12+VALUE(RIGHT(E306,2))-1</f>
        <v/>
      </c>
    </row>
    <row r="307">
      <c r="A307" t="inlineStr">
        <is>
          <t>Chihuido de la Sierra Negra</t>
        </is>
      </c>
      <c r="B307" t="inlineStr">
        <is>
          <t>Neuquina</t>
        </is>
      </c>
      <c r="C307" t="inlineStr">
        <is>
          <t>YPF S.A.</t>
        </is>
      </c>
      <c r="D307" t="inlineStr">
        <is>
          <t>no convencional</t>
        </is>
      </c>
      <c r="E307" t="inlineStr">
        <is>
          <t>2008-06</t>
        </is>
      </c>
      <c r="F307" t="n">
        <v>0</v>
      </c>
      <c r="G307" t="n">
        <v>0</v>
      </c>
      <c r="H307" t="n">
        <v>0</v>
      </c>
      <c r="I307">
        <f>DAY(EOMONTH(DATE(VALUE(LEFT(E307,4)),VALUE(RIGHT(E307,2)),1),0))</f>
        <v/>
      </c>
      <c r="J307">
        <f>VALUE(LEFT(E307,4))*12+VALUE(RIGHT(E307,2))-1</f>
        <v/>
      </c>
    </row>
    <row r="308">
      <c r="A308" t="inlineStr">
        <is>
          <t>Chihuido de la Sierra Negra</t>
        </is>
      </c>
      <c r="B308" t="inlineStr">
        <is>
          <t>Neuquina</t>
        </is>
      </c>
      <c r="C308" t="inlineStr">
        <is>
          <t>YPF S.A.</t>
        </is>
      </c>
      <c r="D308" t="inlineStr">
        <is>
          <t>convencional</t>
        </is>
      </c>
      <c r="E308" t="inlineStr">
        <is>
          <t>2008-07</t>
        </is>
      </c>
      <c r="F308" t="n">
        <v>77394.60000000001</v>
      </c>
      <c r="G308" t="n">
        <v>1146202</v>
      </c>
      <c r="H308" t="n">
        <v>1361878</v>
      </c>
      <c r="I308">
        <f>DAY(EOMONTH(DATE(VALUE(LEFT(E308,4)),VALUE(RIGHT(E308,2)),1),0))</f>
        <v/>
      </c>
      <c r="J308">
        <f>VALUE(LEFT(E308,4))*12+VALUE(RIGHT(E308,2))-1</f>
        <v/>
      </c>
    </row>
    <row r="309">
      <c r="A309" t="inlineStr">
        <is>
          <t>Chihuido de la Sierra Negra</t>
        </is>
      </c>
      <c r="B309" t="inlineStr">
        <is>
          <t>Neuquina</t>
        </is>
      </c>
      <c r="C309" t="inlineStr">
        <is>
          <t>YPF S.A.</t>
        </is>
      </c>
      <c r="D309" t="inlineStr">
        <is>
          <t>no convencional</t>
        </is>
      </c>
      <c r="E309" t="inlineStr">
        <is>
          <t>2008-07</t>
        </is>
      </c>
      <c r="F309" t="n">
        <v>0</v>
      </c>
      <c r="G309" t="n">
        <v>0</v>
      </c>
      <c r="H309" t="n">
        <v>0</v>
      </c>
      <c r="I309">
        <f>DAY(EOMONTH(DATE(VALUE(LEFT(E309,4)),VALUE(RIGHT(E309,2)),1),0))</f>
        <v/>
      </c>
      <c r="J309">
        <f>VALUE(LEFT(E309,4))*12+VALUE(RIGHT(E309,2))-1</f>
        <v/>
      </c>
    </row>
    <row r="310">
      <c r="A310" t="inlineStr">
        <is>
          <t>Chihuido de la Sierra Negra</t>
        </is>
      </c>
      <c r="B310" t="inlineStr">
        <is>
          <t>Neuquina</t>
        </is>
      </c>
      <c r="C310" t="inlineStr">
        <is>
          <t>YPF S.A.</t>
        </is>
      </c>
      <c r="D310" t="inlineStr">
        <is>
          <t>convencional</t>
        </is>
      </c>
      <c r="E310" t="inlineStr">
        <is>
          <t>2008-08</t>
        </is>
      </c>
      <c r="F310" t="n">
        <v>76639.60000000001</v>
      </c>
      <c r="G310" t="n">
        <v>1143926.8</v>
      </c>
      <c r="H310" t="n">
        <v>1415964</v>
      </c>
      <c r="I310">
        <f>DAY(EOMONTH(DATE(VALUE(LEFT(E310,4)),VALUE(RIGHT(E310,2)),1),0))</f>
        <v/>
      </c>
      <c r="J310">
        <f>VALUE(LEFT(E310,4))*12+VALUE(RIGHT(E310,2))-1</f>
        <v/>
      </c>
    </row>
    <row r="311">
      <c r="A311" t="inlineStr">
        <is>
          <t>Chihuido de la Sierra Negra</t>
        </is>
      </c>
      <c r="B311" t="inlineStr">
        <is>
          <t>Neuquina</t>
        </is>
      </c>
      <c r="C311" t="inlineStr">
        <is>
          <t>YPF S.A.</t>
        </is>
      </c>
      <c r="D311" t="inlineStr">
        <is>
          <t>no convencional</t>
        </is>
      </c>
      <c r="E311" t="inlineStr">
        <is>
          <t>2008-08</t>
        </is>
      </c>
      <c r="F311" t="n">
        <v>0</v>
      </c>
      <c r="G311" t="n">
        <v>0</v>
      </c>
      <c r="H311" t="n">
        <v>0</v>
      </c>
      <c r="I311">
        <f>DAY(EOMONTH(DATE(VALUE(LEFT(E311,4)),VALUE(RIGHT(E311,2)),1),0))</f>
        <v/>
      </c>
      <c r="J311">
        <f>VALUE(LEFT(E311,4))*12+VALUE(RIGHT(E311,2))-1</f>
        <v/>
      </c>
    </row>
    <row r="312">
      <c r="A312" t="inlineStr">
        <is>
          <t>Chihuido de la Sierra Negra</t>
        </is>
      </c>
      <c r="B312" t="inlineStr">
        <is>
          <t>Neuquina</t>
        </is>
      </c>
      <c r="C312" t="inlineStr">
        <is>
          <t>YPF S.A.</t>
        </is>
      </c>
      <c r="D312" t="inlineStr">
        <is>
          <t>convencional</t>
        </is>
      </c>
      <c r="E312" t="inlineStr">
        <is>
          <t>2008-09</t>
        </is>
      </c>
      <c r="F312" t="n">
        <v>75137</v>
      </c>
      <c r="G312" t="n">
        <v>1116603.7</v>
      </c>
      <c r="H312" t="n">
        <v>1367163</v>
      </c>
      <c r="I312">
        <f>DAY(EOMONTH(DATE(VALUE(LEFT(E312,4)),VALUE(RIGHT(E312,2)),1),0))</f>
        <v/>
      </c>
      <c r="J312">
        <f>VALUE(LEFT(E312,4))*12+VALUE(RIGHT(E312,2))-1</f>
        <v/>
      </c>
    </row>
    <row r="313">
      <c r="A313" t="inlineStr">
        <is>
          <t>Chihuido de la Sierra Negra</t>
        </is>
      </c>
      <c r="B313" t="inlineStr">
        <is>
          <t>Neuquina</t>
        </is>
      </c>
      <c r="C313" t="inlineStr">
        <is>
          <t>YPF S.A.</t>
        </is>
      </c>
      <c r="D313" t="inlineStr">
        <is>
          <t>convencional</t>
        </is>
      </c>
      <c r="E313" t="inlineStr">
        <is>
          <t>2008-10</t>
        </is>
      </c>
      <c r="F313" t="n">
        <v>75588.89999999999</v>
      </c>
      <c r="G313" t="n">
        <v>1146718</v>
      </c>
      <c r="H313" t="n">
        <v>1360106</v>
      </c>
      <c r="I313">
        <f>DAY(EOMONTH(DATE(VALUE(LEFT(E313,4)),VALUE(RIGHT(E313,2)),1),0))</f>
        <v/>
      </c>
      <c r="J313">
        <f>VALUE(LEFT(E313,4))*12+VALUE(RIGHT(E313,2))-1</f>
        <v/>
      </c>
    </row>
    <row r="314">
      <c r="A314" t="inlineStr">
        <is>
          <t>Chihuido de la Sierra Negra</t>
        </is>
      </c>
      <c r="B314" t="inlineStr">
        <is>
          <t>Neuquina</t>
        </is>
      </c>
      <c r="C314" t="inlineStr">
        <is>
          <t>YPF S.A.</t>
        </is>
      </c>
      <c r="D314" t="inlineStr">
        <is>
          <t>convencional</t>
        </is>
      </c>
      <c r="E314" t="inlineStr">
        <is>
          <t>2008-11</t>
        </is>
      </c>
      <c r="F314" t="n">
        <v>73089.3</v>
      </c>
      <c r="G314" t="n">
        <v>1099354.1</v>
      </c>
      <c r="H314" t="n">
        <v>1320068.2</v>
      </c>
      <c r="I314">
        <f>DAY(EOMONTH(DATE(VALUE(LEFT(E314,4)),VALUE(RIGHT(E314,2)),1),0))</f>
        <v/>
      </c>
      <c r="J314">
        <f>VALUE(LEFT(E314,4))*12+VALUE(RIGHT(E314,2))-1</f>
        <v/>
      </c>
    </row>
    <row r="315">
      <c r="A315" t="inlineStr">
        <is>
          <t>Chihuido de la Sierra Negra</t>
        </is>
      </c>
      <c r="B315" t="inlineStr">
        <is>
          <t>Neuquina</t>
        </is>
      </c>
      <c r="C315" t="inlineStr">
        <is>
          <t>YPF S.A.</t>
        </is>
      </c>
      <c r="D315" t="inlineStr">
        <is>
          <t>convencional</t>
        </is>
      </c>
      <c r="E315" t="inlineStr">
        <is>
          <t>2008-12</t>
        </is>
      </c>
      <c r="F315" t="n">
        <v>73285.2</v>
      </c>
      <c r="G315" t="n">
        <v>1131589.6</v>
      </c>
      <c r="H315" t="n">
        <v>1381144</v>
      </c>
      <c r="I315">
        <f>DAY(EOMONTH(DATE(VALUE(LEFT(E315,4)),VALUE(RIGHT(E315,2)),1),0))</f>
        <v/>
      </c>
      <c r="J315">
        <f>VALUE(LEFT(E315,4))*12+VALUE(RIGHT(E315,2))-1</f>
        <v/>
      </c>
    </row>
    <row r="316">
      <c r="A316" t="inlineStr">
        <is>
          <t>Chihuido de la Sierra Negra</t>
        </is>
      </c>
      <c r="B316" t="inlineStr">
        <is>
          <t>Neuquina</t>
        </is>
      </c>
      <c r="C316" t="inlineStr">
        <is>
          <t>YPF S.A.</t>
        </is>
      </c>
      <c r="D316" t="inlineStr">
        <is>
          <t>convencional</t>
        </is>
      </c>
      <c r="E316" t="inlineStr">
        <is>
          <t>2009-01</t>
        </is>
      </c>
      <c r="F316" t="n">
        <v>73520.10000000001</v>
      </c>
      <c r="G316" t="n">
        <v>1129609.8</v>
      </c>
      <c r="H316" t="n">
        <v>1384728</v>
      </c>
      <c r="I316">
        <f>DAY(EOMONTH(DATE(VALUE(LEFT(E316,4)),VALUE(RIGHT(E316,2)),1),0))</f>
        <v/>
      </c>
      <c r="J316">
        <f>VALUE(LEFT(E316,4))*12+VALUE(RIGHT(E316,2))-1</f>
        <v/>
      </c>
    </row>
    <row r="317">
      <c r="A317" t="inlineStr">
        <is>
          <t>Chihuido de la Sierra Negra</t>
        </is>
      </c>
      <c r="B317" t="inlineStr">
        <is>
          <t>Neuquina</t>
        </is>
      </c>
      <c r="C317" t="inlineStr">
        <is>
          <t>YPF S.A.</t>
        </is>
      </c>
      <c r="D317" t="inlineStr">
        <is>
          <t>convencional</t>
        </is>
      </c>
      <c r="E317" t="inlineStr">
        <is>
          <t>2009-02</t>
        </is>
      </c>
      <c r="F317" t="n">
        <v>65792.89999999999</v>
      </c>
      <c r="G317" t="n">
        <v>1029482.9</v>
      </c>
      <c r="H317" t="n">
        <v>1264058</v>
      </c>
      <c r="I317">
        <f>DAY(EOMONTH(DATE(VALUE(LEFT(E317,4)),VALUE(RIGHT(E317,2)),1),0))</f>
        <v/>
      </c>
      <c r="J317">
        <f>VALUE(LEFT(E317,4))*12+VALUE(RIGHT(E317,2))-1</f>
        <v/>
      </c>
    </row>
    <row r="318">
      <c r="A318" t="inlineStr">
        <is>
          <t>Chihuido de la Sierra Negra</t>
        </is>
      </c>
      <c r="B318" t="inlineStr">
        <is>
          <t>Neuquina</t>
        </is>
      </c>
      <c r="C318" t="inlineStr">
        <is>
          <t>YPF S.A.</t>
        </is>
      </c>
      <c r="D318" t="inlineStr">
        <is>
          <t>convencional</t>
        </is>
      </c>
      <c r="E318" t="inlineStr">
        <is>
          <t>2009-03</t>
        </is>
      </c>
      <c r="F318" t="n">
        <v>72227.2</v>
      </c>
      <c r="G318" t="n">
        <v>1146882.1</v>
      </c>
      <c r="H318" t="n">
        <v>1400038</v>
      </c>
      <c r="I318">
        <f>DAY(EOMONTH(DATE(VALUE(LEFT(E318,4)),VALUE(RIGHT(E318,2)),1),0))</f>
        <v/>
      </c>
      <c r="J318">
        <f>VALUE(LEFT(E318,4))*12+VALUE(RIGHT(E318,2))-1</f>
        <v/>
      </c>
    </row>
    <row r="319">
      <c r="A319" t="inlineStr">
        <is>
          <t>Chihuido de la Sierra Negra</t>
        </is>
      </c>
      <c r="B319" t="inlineStr">
        <is>
          <t>Neuquina</t>
        </is>
      </c>
      <c r="C319" t="inlineStr">
        <is>
          <t>YPF S.A.</t>
        </is>
      </c>
      <c r="D319" t="inlineStr">
        <is>
          <t>convencional</t>
        </is>
      </c>
      <c r="E319" t="inlineStr">
        <is>
          <t>2009-04</t>
        </is>
      </c>
      <c r="F319" t="n">
        <v>69037.10000000001</v>
      </c>
      <c r="G319" t="n">
        <v>1115405</v>
      </c>
      <c r="H319" t="n">
        <v>1375667</v>
      </c>
      <c r="I319">
        <f>DAY(EOMONTH(DATE(VALUE(LEFT(E319,4)),VALUE(RIGHT(E319,2)),1),0))</f>
        <v/>
      </c>
      <c r="J319">
        <f>VALUE(LEFT(E319,4))*12+VALUE(RIGHT(E319,2))-1</f>
        <v/>
      </c>
    </row>
    <row r="320">
      <c r="A320" t="inlineStr">
        <is>
          <t>Chihuido de la Sierra Negra</t>
        </is>
      </c>
      <c r="B320" t="inlineStr">
        <is>
          <t>Neuquina</t>
        </is>
      </c>
      <c r="C320" t="inlineStr">
        <is>
          <t>YPF S.A.</t>
        </is>
      </c>
      <c r="D320" t="inlineStr">
        <is>
          <t>convencional</t>
        </is>
      </c>
      <c r="E320" t="inlineStr">
        <is>
          <t>2009-05</t>
        </is>
      </c>
      <c r="F320" t="n">
        <v>67038.3</v>
      </c>
      <c r="G320" t="n">
        <v>1127153.5</v>
      </c>
      <c r="H320" t="n">
        <v>1404622</v>
      </c>
      <c r="I320">
        <f>DAY(EOMONTH(DATE(VALUE(LEFT(E320,4)),VALUE(RIGHT(E320,2)),1),0))</f>
        <v/>
      </c>
      <c r="J320">
        <f>VALUE(LEFT(E320,4))*12+VALUE(RIGHT(E320,2))-1</f>
        <v/>
      </c>
    </row>
    <row r="321">
      <c r="A321" t="inlineStr">
        <is>
          <t>Chihuido de la Sierra Negra</t>
        </is>
      </c>
      <c r="B321" t="inlineStr">
        <is>
          <t>Neuquina</t>
        </is>
      </c>
      <c r="C321" t="inlineStr">
        <is>
          <t>YPF S.A.</t>
        </is>
      </c>
      <c r="D321" t="inlineStr">
        <is>
          <t>convencional</t>
        </is>
      </c>
      <c r="E321" t="inlineStr">
        <is>
          <t>2009-06</t>
        </is>
      </c>
      <c r="F321" t="n">
        <v>65904.3</v>
      </c>
      <c r="G321" t="n">
        <v>1094160.2</v>
      </c>
      <c r="H321" t="n">
        <v>1356375.9</v>
      </c>
      <c r="I321">
        <f>DAY(EOMONTH(DATE(VALUE(LEFT(E321,4)),VALUE(RIGHT(E321,2)),1),0))</f>
        <v/>
      </c>
      <c r="J321">
        <f>VALUE(LEFT(E321,4))*12+VALUE(RIGHT(E321,2))-1</f>
        <v/>
      </c>
    </row>
    <row r="322">
      <c r="A322" t="inlineStr">
        <is>
          <t>Chihuido de la Sierra Negra</t>
        </is>
      </c>
      <c r="B322" t="inlineStr">
        <is>
          <t>Neuquina</t>
        </is>
      </c>
      <c r="C322" t="inlineStr">
        <is>
          <t>YPF S.A.</t>
        </is>
      </c>
      <c r="D322" t="inlineStr">
        <is>
          <t>convencional</t>
        </is>
      </c>
      <c r="E322" t="inlineStr">
        <is>
          <t>2009-07</t>
        </is>
      </c>
      <c r="F322" t="n">
        <v>58700.5</v>
      </c>
      <c r="G322" t="n">
        <v>1001558.9</v>
      </c>
      <c r="H322" t="n">
        <v>1247082.2</v>
      </c>
      <c r="I322">
        <f>DAY(EOMONTH(DATE(VALUE(LEFT(E322,4)),VALUE(RIGHT(E322,2)),1),0))</f>
        <v/>
      </c>
      <c r="J322">
        <f>VALUE(LEFT(E322,4))*12+VALUE(RIGHT(E322,2))-1</f>
        <v/>
      </c>
    </row>
    <row r="323">
      <c r="A323" t="inlineStr">
        <is>
          <t>Chihuido de la Sierra Negra</t>
        </is>
      </c>
      <c r="B323" t="inlineStr">
        <is>
          <t>Neuquina</t>
        </is>
      </c>
      <c r="C323" t="inlineStr">
        <is>
          <t>YPF S.A.</t>
        </is>
      </c>
      <c r="D323" t="inlineStr">
        <is>
          <t>convencional</t>
        </is>
      </c>
      <c r="E323" t="inlineStr">
        <is>
          <t>2009-08</t>
        </is>
      </c>
      <c r="F323" t="n">
        <v>66386.7</v>
      </c>
      <c r="G323" t="n">
        <v>1111810.6</v>
      </c>
      <c r="H323" t="n">
        <v>1409019.7</v>
      </c>
      <c r="I323">
        <f>DAY(EOMONTH(DATE(VALUE(LEFT(E323,4)),VALUE(RIGHT(E323,2)),1),0))</f>
        <v/>
      </c>
      <c r="J323">
        <f>VALUE(LEFT(E323,4))*12+VALUE(RIGHT(E323,2))-1</f>
        <v/>
      </c>
    </row>
    <row r="324">
      <c r="A324" t="inlineStr">
        <is>
          <t>Chihuido de la Sierra Negra</t>
        </is>
      </c>
      <c r="B324" t="inlineStr">
        <is>
          <t>Neuquina</t>
        </is>
      </c>
      <c r="C324" t="inlineStr">
        <is>
          <t>YPF S.A.</t>
        </is>
      </c>
      <c r="D324" t="inlineStr">
        <is>
          <t>convencional</t>
        </is>
      </c>
      <c r="E324" t="inlineStr">
        <is>
          <t>2009-09</t>
        </is>
      </c>
      <c r="F324" t="n">
        <v>61201.3</v>
      </c>
      <c r="G324" t="n">
        <v>1040824.2</v>
      </c>
      <c r="H324" t="n">
        <v>1313215</v>
      </c>
      <c r="I324">
        <f>DAY(EOMONTH(DATE(VALUE(LEFT(E324,4)),VALUE(RIGHT(E324,2)),1),0))</f>
        <v/>
      </c>
      <c r="J324">
        <f>VALUE(LEFT(E324,4))*12+VALUE(RIGHT(E324,2))-1</f>
        <v/>
      </c>
    </row>
    <row r="325">
      <c r="A325" t="inlineStr">
        <is>
          <t>Chihuido de la Sierra Negra</t>
        </is>
      </c>
      <c r="B325" t="inlineStr">
        <is>
          <t>Neuquina</t>
        </is>
      </c>
      <c r="C325" t="inlineStr">
        <is>
          <t>YPF S.A.</t>
        </is>
      </c>
      <c r="D325" t="inlineStr">
        <is>
          <t>convencional</t>
        </is>
      </c>
      <c r="E325" t="inlineStr">
        <is>
          <t>2009-10</t>
        </is>
      </c>
      <c r="F325" t="n">
        <v>66009.2</v>
      </c>
      <c r="G325" t="n">
        <v>1112381.8</v>
      </c>
      <c r="H325" t="n">
        <v>1451078.3</v>
      </c>
      <c r="I325">
        <f>DAY(EOMONTH(DATE(VALUE(LEFT(E325,4)),VALUE(RIGHT(E325,2)),1),0))</f>
        <v/>
      </c>
      <c r="J325">
        <f>VALUE(LEFT(E325,4))*12+VALUE(RIGHT(E325,2))-1</f>
        <v/>
      </c>
    </row>
    <row r="326">
      <c r="A326" t="inlineStr">
        <is>
          <t>Chihuido de la Sierra Negra</t>
        </is>
      </c>
      <c r="B326" t="inlineStr">
        <is>
          <t>Neuquina</t>
        </is>
      </c>
      <c r="C326" t="inlineStr">
        <is>
          <t>YPF S.A.</t>
        </is>
      </c>
      <c r="D326" t="inlineStr">
        <is>
          <t>convencional</t>
        </is>
      </c>
      <c r="E326" t="inlineStr">
        <is>
          <t>2009-11</t>
        </is>
      </c>
      <c r="F326" t="n">
        <v>62715.4</v>
      </c>
      <c r="G326" t="n">
        <v>1081535.2</v>
      </c>
      <c r="H326" t="n">
        <v>1366612.2</v>
      </c>
      <c r="I326">
        <f>DAY(EOMONTH(DATE(VALUE(LEFT(E326,4)),VALUE(RIGHT(E326,2)),1),0))</f>
        <v/>
      </c>
      <c r="J326">
        <f>VALUE(LEFT(E326,4))*12+VALUE(RIGHT(E326,2))-1</f>
        <v/>
      </c>
    </row>
    <row r="327">
      <c r="A327" t="inlineStr">
        <is>
          <t>Chihuido de la Sierra Negra</t>
        </is>
      </c>
      <c r="B327" t="inlineStr">
        <is>
          <t>Neuquina</t>
        </is>
      </c>
      <c r="C327" t="inlineStr">
        <is>
          <t>YPF S.A.</t>
        </is>
      </c>
      <c r="D327" t="inlineStr">
        <is>
          <t>convencional</t>
        </is>
      </c>
      <c r="E327" t="inlineStr">
        <is>
          <t>2009-12</t>
        </is>
      </c>
      <c r="F327" t="n">
        <v>64855.1</v>
      </c>
      <c r="G327" t="n">
        <v>1116083.4</v>
      </c>
      <c r="H327" t="n">
        <v>1434199</v>
      </c>
      <c r="I327">
        <f>DAY(EOMONTH(DATE(VALUE(LEFT(E327,4)),VALUE(RIGHT(E327,2)),1),0))</f>
        <v/>
      </c>
      <c r="J327">
        <f>VALUE(LEFT(E327,4))*12+VALUE(RIGHT(E327,2))-1</f>
        <v/>
      </c>
    </row>
    <row r="328">
      <c r="A328" t="inlineStr">
        <is>
          <t>Chihuido de la Sierra Negra</t>
        </is>
      </c>
      <c r="B328" t="inlineStr">
        <is>
          <t>Neuquina</t>
        </is>
      </c>
      <c r="C328" t="inlineStr">
        <is>
          <t>YPF S.A.</t>
        </is>
      </c>
      <c r="D328" t="inlineStr">
        <is>
          <t>convencional</t>
        </is>
      </c>
      <c r="E328" t="inlineStr">
        <is>
          <t>2010-01</t>
        </is>
      </c>
      <c r="F328" t="n">
        <v>64196.1</v>
      </c>
      <c r="G328" t="n">
        <v>1110996.3</v>
      </c>
      <c r="H328" t="n">
        <v>1455840.3</v>
      </c>
      <c r="I328">
        <f>DAY(EOMONTH(DATE(VALUE(LEFT(E328,4)),VALUE(RIGHT(E328,2)),1),0))</f>
        <v/>
      </c>
      <c r="J328">
        <f>VALUE(LEFT(E328,4))*12+VALUE(RIGHT(E328,2))-1</f>
        <v/>
      </c>
    </row>
    <row r="329">
      <c r="A329" t="inlineStr">
        <is>
          <t>Chihuido de la Sierra Negra</t>
        </is>
      </c>
      <c r="B329" t="inlineStr">
        <is>
          <t>Neuquina</t>
        </is>
      </c>
      <c r="C329" t="inlineStr">
        <is>
          <t>YPF S.A.</t>
        </is>
      </c>
      <c r="D329" t="inlineStr">
        <is>
          <t>convencional</t>
        </is>
      </c>
      <c r="E329" t="inlineStr">
        <is>
          <t>2010-02</t>
        </is>
      </c>
      <c r="F329" t="n">
        <v>58209.5</v>
      </c>
      <c r="G329" t="n">
        <v>1016593.1</v>
      </c>
      <c r="H329" t="n">
        <v>1330394</v>
      </c>
      <c r="I329">
        <f>DAY(EOMONTH(DATE(VALUE(LEFT(E329,4)),VALUE(RIGHT(E329,2)),1),0))</f>
        <v/>
      </c>
      <c r="J329">
        <f>VALUE(LEFT(E329,4))*12+VALUE(RIGHT(E329,2))-1</f>
        <v/>
      </c>
    </row>
    <row r="330">
      <c r="A330" t="inlineStr">
        <is>
          <t>Chihuido de la Sierra Negra</t>
        </is>
      </c>
      <c r="B330" t="inlineStr">
        <is>
          <t>Neuquina</t>
        </is>
      </c>
      <c r="C330" t="inlineStr">
        <is>
          <t>YPF S.A.</t>
        </is>
      </c>
      <c r="D330" t="inlineStr">
        <is>
          <t>convencional</t>
        </is>
      </c>
      <c r="E330" t="inlineStr">
        <is>
          <t>2010-03</t>
        </is>
      </c>
      <c r="F330" t="n">
        <v>62530.1</v>
      </c>
      <c r="G330" t="n">
        <v>1110761.9</v>
      </c>
      <c r="H330" t="n">
        <v>1410807.7</v>
      </c>
      <c r="I330">
        <f>DAY(EOMONTH(DATE(VALUE(LEFT(E330,4)),VALUE(RIGHT(E330,2)),1),0))</f>
        <v/>
      </c>
      <c r="J330">
        <f>VALUE(LEFT(E330,4))*12+VALUE(RIGHT(E330,2))-1</f>
        <v/>
      </c>
    </row>
    <row r="331">
      <c r="A331" t="inlineStr">
        <is>
          <t>Chihuido de la Sierra Negra</t>
        </is>
      </c>
      <c r="B331" t="inlineStr">
        <is>
          <t>Neuquina</t>
        </is>
      </c>
      <c r="C331" t="inlineStr">
        <is>
          <t>YPF S.A.</t>
        </is>
      </c>
      <c r="D331" t="inlineStr">
        <is>
          <t>convencional</t>
        </is>
      </c>
      <c r="E331" t="inlineStr">
        <is>
          <t>2010-04</t>
        </is>
      </c>
      <c r="F331" t="n">
        <v>59642.2</v>
      </c>
      <c r="G331" t="n">
        <v>1080697.1</v>
      </c>
      <c r="H331" t="n">
        <v>1349919.4</v>
      </c>
      <c r="I331">
        <f>DAY(EOMONTH(DATE(VALUE(LEFT(E331,4)),VALUE(RIGHT(E331,2)),1),0))</f>
        <v/>
      </c>
      <c r="J331">
        <f>VALUE(LEFT(E331,4))*12+VALUE(RIGHT(E331,2))-1</f>
        <v/>
      </c>
    </row>
    <row r="332">
      <c r="A332" t="inlineStr">
        <is>
          <t>Chihuido de la Sierra Negra</t>
        </is>
      </c>
      <c r="B332" t="inlineStr">
        <is>
          <t>Neuquina</t>
        </is>
      </c>
      <c r="C332" t="inlineStr">
        <is>
          <t>YPF S.A.</t>
        </is>
      </c>
      <c r="D332" t="inlineStr">
        <is>
          <t>convencional</t>
        </is>
      </c>
      <c r="E332" t="inlineStr">
        <is>
          <t>2010-05</t>
        </is>
      </c>
      <c r="F332" t="n">
        <v>59915.2</v>
      </c>
      <c r="G332" t="n">
        <v>1123757.8</v>
      </c>
      <c r="H332" t="n">
        <v>1426121.7</v>
      </c>
      <c r="I332">
        <f>DAY(EOMONTH(DATE(VALUE(LEFT(E332,4)),VALUE(RIGHT(E332,2)),1),0))</f>
        <v/>
      </c>
      <c r="J332">
        <f>VALUE(LEFT(E332,4))*12+VALUE(RIGHT(E332,2))-1</f>
        <v/>
      </c>
    </row>
    <row r="333">
      <c r="A333" t="inlineStr">
        <is>
          <t>Chihuido de la Sierra Negra</t>
        </is>
      </c>
      <c r="B333" t="inlineStr">
        <is>
          <t>Neuquina</t>
        </is>
      </c>
      <c r="C333" t="inlineStr">
        <is>
          <t>YPF S.A.</t>
        </is>
      </c>
      <c r="D333" t="inlineStr">
        <is>
          <t>convencional</t>
        </is>
      </c>
      <c r="E333" t="inlineStr">
        <is>
          <t>2010-06</t>
        </is>
      </c>
      <c r="F333" t="n">
        <v>58767</v>
      </c>
      <c r="G333" t="n">
        <v>1114122</v>
      </c>
      <c r="H333" t="n">
        <v>1390275.1</v>
      </c>
      <c r="I333">
        <f>DAY(EOMONTH(DATE(VALUE(LEFT(E333,4)),VALUE(RIGHT(E333,2)),1),0))</f>
        <v/>
      </c>
      <c r="J333">
        <f>VALUE(LEFT(E333,4))*12+VALUE(RIGHT(E333,2))-1</f>
        <v/>
      </c>
    </row>
    <row r="334">
      <c r="A334" t="inlineStr">
        <is>
          <t>Chihuido de la Sierra Negra</t>
        </is>
      </c>
      <c r="B334" t="inlineStr">
        <is>
          <t>Neuquina</t>
        </is>
      </c>
      <c r="C334" t="inlineStr">
        <is>
          <t>YPF S.A.</t>
        </is>
      </c>
      <c r="D334" t="inlineStr">
        <is>
          <t>convencional</t>
        </is>
      </c>
      <c r="E334" t="inlineStr">
        <is>
          <t>2010-07</t>
        </is>
      </c>
      <c r="F334" t="n">
        <v>60036.3</v>
      </c>
      <c r="G334" t="n">
        <v>1145917.8</v>
      </c>
      <c r="H334" t="n">
        <v>1402437.1</v>
      </c>
      <c r="I334">
        <f>DAY(EOMONTH(DATE(VALUE(LEFT(E334,4)),VALUE(RIGHT(E334,2)),1),0))</f>
        <v/>
      </c>
      <c r="J334">
        <f>VALUE(LEFT(E334,4))*12+VALUE(RIGHT(E334,2))-1</f>
        <v/>
      </c>
    </row>
    <row r="335">
      <c r="A335" t="inlineStr">
        <is>
          <t>Chihuido de la Sierra Negra</t>
        </is>
      </c>
      <c r="B335" t="inlineStr">
        <is>
          <t>Neuquina</t>
        </is>
      </c>
      <c r="C335" t="inlineStr">
        <is>
          <t>YPF S.A.</t>
        </is>
      </c>
      <c r="D335" t="inlineStr">
        <is>
          <t>convencional</t>
        </is>
      </c>
      <c r="E335" t="inlineStr">
        <is>
          <t>2010-08</t>
        </is>
      </c>
      <c r="F335" t="n">
        <v>59874.3</v>
      </c>
      <c r="G335" t="n">
        <v>1124682.1</v>
      </c>
      <c r="H335" t="n">
        <v>1408264.1</v>
      </c>
      <c r="I335">
        <f>DAY(EOMONTH(DATE(VALUE(LEFT(E335,4)),VALUE(RIGHT(E335,2)),1),0))</f>
        <v/>
      </c>
      <c r="J335">
        <f>VALUE(LEFT(E335,4))*12+VALUE(RIGHT(E335,2))-1</f>
        <v/>
      </c>
    </row>
    <row r="336">
      <c r="A336" t="inlineStr">
        <is>
          <t>Chihuido de la Sierra Negra</t>
        </is>
      </c>
      <c r="B336" t="inlineStr">
        <is>
          <t>Neuquina</t>
        </is>
      </c>
      <c r="C336" t="inlineStr">
        <is>
          <t>YPF S.A.</t>
        </is>
      </c>
      <c r="D336" t="inlineStr">
        <is>
          <t>convencional</t>
        </is>
      </c>
      <c r="E336" t="inlineStr">
        <is>
          <t>2010-09</t>
        </is>
      </c>
      <c r="F336" t="n">
        <v>57907.7</v>
      </c>
      <c r="G336" t="n">
        <v>1100446.5</v>
      </c>
      <c r="H336" t="n">
        <v>1379997.1</v>
      </c>
      <c r="I336">
        <f>DAY(EOMONTH(DATE(VALUE(LEFT(E336,4)),VALUE(RIGHT(E336,2)),1),0))</f>
        <v/>
      </c>
      <c r="J336">
        <f>VALUE(LEFT(E336,4))*12+VALUE(RIGHT(E336,2))-1</f>
        <v/>
      </c>
    </row>
    <row r="337">
      <c r="A337" t="inlineStr">
        <is>
          <t>Chihuido de la Sierra Negra</t>
        </is>
      </c>
      <c r="B337" t="inlineStr">
        <is>
          <t>Neuquina</t>
        </is>
      </c>
      <c r="C337" t="inlineStr">
        <is>
          <t>YPF S.A.</t>
        </is>
      </c>
      <c r="D337" t="inlineStr">
        <is>
          <t>convencional</t>
        </is>
      </c>
      <c r="E337" t="inlineStr">
        <is>
          <t>2010-10</t>
        </is>
      </c>
      <c r="F337" t="n">
        <v>59190.8</v>
      </c>
      <c r="G337" t="n">
        <v>1127513.4</v>
      </c>
      <c r="H337" t="n">
        <v>1376041.2</v>
      </c>
      <c r="I337">
        <f>DAY(EOMONTH(DATE(VALUE(LEFT(E337,4)),VALUE(RIGHT(E337,2)),1),0))</f>
        <v/>
      </c>
      <c r="J337">
        <f>VALUE(LEFT(E337,4))*12+VALUE(RIGHT(E337,2))-1</f>
        <v/>
      </c>
    </row>
    <row r="338">
      <c r="A338" t="inlineStr">
        <is>
          <t>Chihuido de la Sierra Negra</t>
        </is>
      </c>
      <c r="B338" t="inlineStr">
        <is>
          <t>Neuquina</t>
        </is>
      </c>
      <c r="C338" t="inlineStr">
        <is>
          <t>YPF S.A.</t>
        </is>
      </c>
      <c r="D338" t="inlineStr">
        <is>
          <t>convencional</t>
        </is>
      </c>
      <c r="E338" t="inlineStr">
        <is>
          <t>2010-11</t>
        </is>
      </c>
      <c r="F338" t="n">
        <v>55063.2</v>
      </c>
      <c r="G338" t="n">
        <v>1037452.9</v>
      </c>
      <c r="H338" t="n">
        <v>1312445.9</v>
      </c>
      <c r="I338">
        <f>DAY(EOMONTH(DATE(VALUE(LEFT(E338,4)),VALUE(RIGHT(E338,2)),1),0))</f>
        <v/>
      </c>
      <c r="J338">
        <f>VALUE(LEFT(E338,4))*12+VALUE(RIGHT(E338,2))-1</f>
        <v/>
      </c>
    </row>
    <row r="339">
      <c r="A339" t="inlineStr">
        <is>
          <t>Chihuido de la Sierra Negra</t>
        </is>
      </c>
      <c r="B339" t="inlineStr">
        <is>
          <t>Neuquina</t>
        </is>
      </c>
      <c r="C339" t="inlineStr">
        <is>
          <t>YPF S.A.</t>
        </is>
      </c>
      <c r="D339" t="inlineStr">
        <is>
          <t>convencional</t>
        </is>
      </c>
      <c r="E339" t="inlineStr">
        <is>
          <t>2010-12</t>
        </is>
      </c>
      <c r="F339" t="n">
        <v>58958.9</v>
      </c>
      <c r="G339" t="n">
        <v>1100456</v>
      </c>
      <c r="H339" t="n">
        <v>1344291.2</v>
      </c>
      <c r="I339">
        <f>DAY(EOMONTH(DATE(VALUE(LEFT(E339,4)),VALUE(RIGHT(E339,2)),1),0))</f>
        <v/>
      </c>
      <c r="J339">
        <f>VALUE(LEFT(E339,4))*12+VALUE(RIGHT(E339,2))-1</f>
        <v/>
      </c>
    </row>
    <row r="340">
      <c r="A340" t="inlineStr">
        <is>
          <t>Chihuido de la Sierra Negra</t>
        </is>
      </c>
      <c r="B340" t="inlineStr">
        <is>
          <t>Neuquina</t>
        </is>
      </c>
      <c r="C340" t="inlineStr">
        <is>
          <t>YPF S.A.</t>
        </is>
      </c>
      <c r="D340" t="inlineStr">
        <is>
          <t>convencional</t>
        </is>
      </c>
      <c r="E340" t="inlineStr">
        <is>
          <t>2011-01</t>
        </is>
      </c>
      <c r="F340" t="n">
        <v>57291.9</v>
      </c>
      <c r="G340" t="n">
        <v>1070064.9</v>
      </c>
      <c r="H340" t="n">
        <v>1299820.4</v>
      </c>
      <c r="I340">
        <f>DAY(EOMONTH(DATE(VALUE(LEFT(E340,4)),VALUE(RIGHT(E340,2)),1),0))</f>
        <v/>
      </c>
      <c r="J340">
        <f>VALUE(LEFT(E340,4))*12+VALUE(RIGHT(E340,2))-1</f>
        <v/>
      </c>
    </row>
    <row r="341">
      <c r="A341" t="inlineStr">
        <is>
          <t>Chihuido de la Sierra Negra</t>
        </is>
      </c>
      <c r="B341" t="inlineStr">
        <is>
          <t>Neuquina</t>
        </is>
      </c>
      <c r="C341" t="inlineStr">
        <is>
          <t>YPF S.A.</t>
        </is>
      </c>
      <c r="D341" t="inlineStr">
        <is>
          <t>convencional</t>
        </is>
      </c>
      <c r="E341" t="inlineStr">
        <is>
          <t>2011-02</t>
        </is>
      </c>
      <c r="F341" t="n">
        <v>51829.3</v>
      </c>
      <c r="G341" t="n">
        <v>959376.4</v>
      </c>
      <c r="H341" t="n">
        <v>1177678.8</v>
      </c>
      <c r="I341">
        <f>DAY(EOMONTH(DATE(VALUE(LEFT(E341,4)),VALUE(RIGHT(E341,2)),1),0))</f>
        <v/>
      </c>
      <c r="J341">
        <f>VALUE(LEFT(E341,4))*12+VALUE(RIGHT(E341,2))-1</f>
        <v/>
      </c>
    </row>
    <row r="342">
      <c r="A342" t="inlineStr">
        <is>
          <t>Chihuido de la Sierra Negra</t>
        </is>
      </c>
      <c r="B342" t="inlineStr">
        <is>
          <t>Neuquina</t>
        </is>
      </c>
      <c r="C342" t="inlineStr">
        <is>
          <t>YPF S.A.</t>
        </is>
      </c>
      <c r="D342" t="inlineStr">
        <is>
          <t>convencional</t>
        </is>
      </c>
      <c r="E342" t="inlineStr">
        <is>
          <t>2011-03</t>
        </is>
      </c>
      <c r="F342" t="n">
        <v>56468.1</v>
      </c>
      <c r="G342" t="n">
        <v>1063482.4</v>
      </c>
      <c r="H342" t="n">
        <v>1267668.6</v>
      </c>
      <c r="I342">
        <f>DAY(EOMONTH(DATE(VALUE(LEFT(E342,4)),VALUE(RIGHT(E342,2)),1),0))</f>
        <v/>
      </c>
      <c r="J342">
        <f>VALUE(LEFT(E342,4))*12+VALUE(RIGHT(E342,2))-1</f>
        <v/>
      </c>
    </row>
    <row r="343">
      <c r="A343" t="inlineStr">
        <is>
          <t>Chihuido de la Sierra Negra</t>
        </is>
      </c>
      <c r="B343" t="inlineStr">
        <is>
          <t>Neuquina</t>
        </is>
      </c>
      <c r="C343" t="inlineStr">
        <is>
          <t>YPF S.A.</t>
        </is>
      </c>
      <c r="D343" t="inlineStr">
        <is>
          <t>convencional</t>
        </is>
      </c>
      <c r="E343" t="inlineStr">
        <is>
          <t>2011-04</t>
        </is>
      </c>
      <c r="F343" t="n">
        <v>53982.1</v>
      </c>
      <c r="G343" t="n">
        <v>1032485.8</v>
      </c>
      <c r="H343" t="n">
        <v>1237172.6</v>
      </c>
      <c r="I343">
        <f>DAY(EOMONTH(DATE(VALUE(LEFT(E343,4)),VALUE(RIGHT(E343,2)),1),0))</f>
        <v/>
      </c>
      <c r="J343">
        <f>VALUE(LEFT(E343,4))*12+VALUE(RIGHT(E343,2))-1</f>
        <v/>
      </c>
    </row>
    <row r="344">
      <c r="A344" t="inlineStr">
        <is>
          <t>Chihuido de la Sierra Negra</t>
        </is>
      </c>
      <c r="B344" t="inlineStr">
        <is>
          <t>Neuquina</t>
        </is>
      </c>
      <c r="C344" t="inlineStr">
        <is>
          <t>YPF S.A.</t>
        </is>
      </c>
      <c r="D344" t="inlineStr">
        <is>
          <t>convencional</t>
        </is>
      </c>
      <c r="E344" t="inlineStr">
        <is>
          <t>2011-05</t>
        </is>
      </c>
      <c r="F344" t="n">
        <v>53800.8</v>
      </c>
      <c r="G344" t="n">
        <v>1077651.8</v>
      </c>
      <c r="H344" t="n">
        <v>1270120</v>
      </c>
      <c r="I344">
        <f>DAY(EOMONTH(DATE(VALUE(LEFT(E344,4)),VALUE(RIGHT(E344,2)),1),0))</f>
        <v/>
      </c>
      <c r="J344">
        <f>VALUE(LEFT(E344,4))*12+VALUE(RIGHT(E344,2))-1</f>
        <v/>
      </c>
    </row>
    <row r="345">
      <c r="A345" t="inlineStr">
        <is>
          <t>Chihuido de la Sierra Negra</t>
        </is>
      </c>
      <c r="B345" t="inlineStr">
        <is>
          <t>Neuquina</t>
        </is>
      </c>
      <c r="C345" t="inlineStr">
        <is>
          <t>YPF S.A.</t>
        </is>
      </c>
      <c r="D345" t="inlineStr">
        <is>
          <t>convencional</t>
        </is>
      </c>
      <c r="E345" t="inlineStr">
        <is>
          <t>2011-06</t>
        </is>
      </c>
      <c r="F345" t="n">
        <v>50891.6</v>
      </c>
      <c r="G345" t="n">
        <v>1051271.3</v>
      </c>
      <c r="H345" t="n">
        <v>1269612.6</v>
      </c>
      <c r="I345">
        <f>DAY(EOMONTH(DATE(VALUE(LEFT(E345,4)),VALUE(RIGHT(E345,2)),1),0))</f>
        <v/>
      </c>
      <c r="J345">
        <f>VALUE(LEFT(E345,4))*12+VALUE(RIGHT(E345,2))-1</f>
        <v/>
      </c>
    </row>
    <row r="346">
      <c r="A346" t="inlineStr">
        <is>
          <t>Chihuido de la Sierra Negra</t>
        </is>
      </c>
      <c r="B346" t="inlineStr">
        <is>
          <t>Neuquina</t>
        </is>
      </c>
      <c r="C346" t="inlineStr">
        <is>
          <t>YPF S.A.</t>
        </is>
      </c>
      <c r="D346" t="inlineStr">
        <is>
          <t>convencional</t>
        </is>
      </c>
      <c r="E346" t="inlineStr">
        <is>
          <t>2011-07</t>
        </is>
      </c>
      <c r="F346" t="n">
        <v>51930</v>
      </c>
      <c r="G346" t="n">
        <v>1099091.2</v>
      </c>
      <c r="H346" t="n">
        <v>1282189.2</v>
      </c>
      <c r="I346">
        <f>DAY(EOMONTH(DATE(VALUE(LEFT(E346,4)),VALUE(RIGHT(E346,2)),1),0))</f>
        <v/>
      </c>
      <c r="J346">
        <f>VALUE(LEFT(E346,4))*12+VALUE(RIGHT(E346,2))-1</f>
        <v/>
      </c>
    </row>
    <row r="347">
      <c r="A347" t="inlineStr">
        <is>
          <t>Chihuido de la Sierra Negra</t>
        </is>
      </c>
      <c r="B347" t="inlineStr">
        <is>
          <t>Neuquina</t>
        </is>
      </c>
      <c r="C347" t="inlineStr">
        <is>
          <t>YPF S.A.</t>
        </is>
      </c>
      <c r="D347" t="inlineStr">
        <is>
          <t>convencional</t>
        </is>
      </c>
      <c r="E347" t="inlineStr">
        <is>
          <t>2011-08</t>
        </is>
      </c>
      <c r="F347" t="n">
        <v>52977.9</v>
      </c>
      <c r="G347" t="n">
        <v>1104028.3</v>
      </c>
      <c r="H347" t="n">
        <v>1278066.3</v>
      </c>
      <c r="I347">
        <f>DAY(EOMONTH(DATE(VALUE(LEFT(E347,4)),VALUE(RIGHT(E347,2)),1),0))</f>
        <v/>
      </c>
      <c r="J347">
        <f>VALUE(LEFT(E347,4))*12+VALUE(RIGHT(E347,2))-1</f>
        <v/>
      </c>
    </row>
    <row r="348">
      <c r="A348" t="inlineStr">
        <is>
          <t>Chihuido de la Sierra Negra</t>
        </is>
      </c>
      <c r="B348" t="inlineStr">
        <is>
          <t>Neuquina</t>
        </is>
      </c>
      <c r="C348" t="inlineStr">
        <is>
          <t>YPF S.A.</t>
        </is>
      </c>
      <c r="D348" t="inlineStr">
        <is>
          <t>convencional</t>
        </is>
      </c>
      <c r="E348" t="inlineStr">
        <is>
          <t>2011-09</t>
        </is>
      </c>
      <c r="F348" t="n">
        <v>52187.6</v>
      </c>
      <c r="G348" t="n">
        <v>1077600.5</v>
      </c>
      <c r="H348" t="n">
        <v>1258981</v>
      </c>
      <c r="I348">
        <f>DAY(EOMONTH(DATE(VALUE(LEFT(E348,4)),VALUE(RIGHT(E348,2)),1),0))</f>
        <v/>
      </c>
      <c r="J348">
        <f>VALUE(LEFT(E348,4))*12+VALUE(RIGHT(E348,2))-1</f>
        <v/>
      </c>
    </row>
    <row r="349">
      <c r="A349" t="inlineStr">
        <is>
          <t>Chihuido de la Sierra Negra</t>
        </is>
      </c>
      <c r="B349" t="inlineStr">
        <is>
          <t>Neuquina</t>
        </is>
      </c>
      <c r="C349" t="inlineStr">
        <is>
          <t>YPF S.A.</t>
        </is>
      </c>
      <c r="D349" t="inlineStr">
        <is>
          <t>convencional</t>
        </is>
      </c>
      <c r="E349" t="inlineStr">
        <is>
          <t>2011-10</t>
        </is>
      </c>
      <c r="F349" t="n">
        <v>55773.8</v>
      </c>
      <c r="G349" t="n">
        <v>1106642.3</v>
      </c>
      <c r="H349" t="n">
        <v>1284862.4</v>
      </c>
      <c r="I349">
        <f>DAY(EOMONTH(DATE(VALUE(LEFT(E349,4)),VALUE(RIGHT(E349,2)),1),0))</f>
        <v/>
      </c>
      <c r="J349">
        <f>VALUE(LEFT(E349,4))*12+VALUE(RIGHT(E349,2))-1</f>
        <v/>
      </c>
    </row>
    <row r="350">
      <c r="A350" t="inlineStr">
        <is>
          <t>Chihuido de la Sierra Negra</t>
        </is>
      </c>
      <c r="B350" t="inlineStr">
        <is>
          <t>Neuquina</t>
        </is>
      </c>
      <c r="C350" t="inlineStr">
        <is>
          <t>YPF S.A.</t>
        </is>
      </c>
      <c r="D350" t="inlineStr">
        <is>
          <t>convencional</t>
        </is>
      </c>
      <c r="E350" t="inlineStr">
        <is>
          <t>2011-11</t>
        </is>
      </c>
      <c r="F350" t="n">
        <v>52871.6</v>
      </c>
      <c r="G350" t="n">
        <v>1066102</v>
      </c>
      <c r="H350" t="n">
        <v>1241762.8</v>
      </c>
      <c r="I350">
        <f>DAY(EOMONTH(DATE(VALUE(LEFT(E350,4)),VALUE(RIGHT(E350,2)),1),0))</f>
        <v/>
      </c>
      <c r="J350">
        <f>VALUE(LEFT(E350,4))*12+VALUE(RIGHT(E350,2))-1</f>
        <v/>
      </c>
    </row>
    <row r="351">
      <c r="A351" t="inlineStr">
        <is>
          <t>Chihuido de la Sierra Negra</t>
        </is>
      </c>
      <c r="B351" t="inlineStr">
        <is>
          <t>Neuquina</t>
        </is>
      </c>
      <c r="C351" t="inlineStr">
        <is>
          <t>YPF S.A.</t>
        </is>
      </c>
      <c r="D351" t="inlineStr">
        <is>
          <t>convencional</t>
        </is>
      </c>
      <c r="E351" t="inlineStr">
        <is>
          <t>2011-12</t>
        </is>
      </c>
      <c r="F351" t="n">
        <v>53300.9</v>
      </c>
      <c r="G351" t="n">
        <v>1102019.6</v>
      </c>
      <c r="H351" t="n">
        <v>1258186.3</v>
      </c>
      <c r="I351">
        <f>DAY(EOMONTH(DATE(VALUE(LEFT(E351,4)),VALUE(RIGHT(E351,2)),1),0))</f>
        <v/>
      </c>
      <c r="J351">
        <f>VALUE(LEFT(E351,4))*12+VALUE(RIGHT(E351,2))-1</f>
        <v/>
      </c>
    </row>
    <row r="352">
      <c r="A352" t="inlineStr">
        <is>
          <t>Chihuido de la Sierra Negra</t>
        </is>
      </c>
      <c r="B352" t="inlineStr">
        <is>
          <t>Neuquina</t>
        </is>
      </c>
      <c r="C352" t="inlineStr">
        <is>
          <t>YPF S.A.</t>
        </is>
      </c>
      <c r="D352" t="inlineStr">
        <is>
          <t>convencional</t>
        </is>
      </c>
      <c r="E352" t="inlineStr">
        <is>
          <t>2012-01</t>
        </is>
      </c>
      <c r="F352" t="n">
        <v>46721.8</v>
      </c>
      <c r="G352" t="n">
        <v>1017364.3</v>
      </c>
      <c r="H352" t="n">
        <v>1195627.8</v>
      </c>
      <c r="I352">
        <f>DAY(EOMONTH(DATE(VALUE(LEFT(E352,4)),VALUE(RIGHT(E352,2)),1),0))</f>
        <v/>
      </c>
      <c r="J352">
        <f>VALUE(LEFT(E352,4))*12+VALUE(RIGHT(E352,2))-1</f>
        <v/>
      </c>
    </row>
    <row r="353">
      <c r="A353" t="inlineStr">
        <is>
          <t>Chihuido de la Sierra Negra</t>
        </is>
      </c>
      <c r="B353" t="inlineStr">
        <is>
          <t>Neuquina</t>
        </is>
      </c>
      <c r="C353" t="inlineStr">
        <is>
          <t>YPF S.A.</t>
        </is>
      </c>
      <c r="D353" t="inlineStr">
        <is>
          <t>convencional</t>
        </is>
      </c>
      <c r="E353" t="inlineStr">
        <is>
          <t>2012-02</t>
        </is>
      </c>
      <c r="F353" t="n">
        <v>47605.3</v>
      </c>
      <c r="G353" t="n">
        <v>1008168.8</v>
      </c>
      <c r="H353" t="n">
        <v>1221034.6</v>
      </c>
      <c r="I353">
        <f>DAY(EOMONTH(DATE(VALUE(LEFT(E353,4)),VALUE(RIGHT(E353,2)),1),0))</f>
        <v/>
      </c>
      <c r="J353">
        <f>VALUE(LEFT(E353,4))*12+VALUE(RIGHT(E353,2))-1</f>
        <v/>
      </c>
    </row>
    <row r="354">
      <c r="A354" t="inlineStr">
        <is>
          <t>Chihuido de la Sierra Negra</t>
        </is>
      </c>
      <c r="B354" t="inlineStr">
        <is>
          <t>Neuquina</t>
        </is>
      </c>
      <c r="C354" t="inlineStr">
        <is>
          <t>YPF S.A.</t>
        </is>
      </c>
      <c r="D354" t="inlineStr">
        <is>
          <t>convencional</t>
        </is>
      </c>
      <c r="E354" t="inlineStr">
        <is>
          <t>2012-03</t>
        </is>
      </c>
      <c r="F354" t="n">
        <v>51065.4</v>
      </c>
      <c r="G354" t="n">
        <v>1076130.7</v>
      </c>
      <c r="H354" t="n">
        <v>1242954.1</v>
      </c>
      <c r="I354">
        <f>DAY(EOMONTH(DATE(VALUE(LEFT(E354,4)),VALUE(RIGHT(E354,2)),1),0))</f>
        <v/>
      </c>
      <c r="J354">
        <f>VALUE(LEFT(E354,4))*12+VALUE(RIGHT(E354,2))-1</f>
        <v/>
      </c>
    </row>
    <row r="355">
      <c r="A355" t="inlineStr">
        <is>
          <t>Chihuido de la Sierra Negra</t>
        </is>
      </c>
      <c r="B355" t="inlineStr">
        <is>
          <t>Neuquina</t>
        </is>
      </c>
      <c r="C355" t="inlineStr">
        <is>
          <t>YPF S.A.</t>
        </is>
      </c>
      <c r="D355" t="inlineStr">
        <is>
          <t>convencional</t>
        </is>
      </c>
      <c r="E355" t="inlineStr">
        <is>
          <t>2012-04</t>
        </is>
      </c>
      <c r="F355" t="n">
        <v>46447.7</v>
      </c>
      <c r="G355" t="n">
        <v>1007830.6</v>
      </c>
      <c r="H355" t="n">
        <v>1211587.2</v>
      </c>
      <c r="I355">
        <f>DAY(EOMONTH(DATE(VALUE(LEFT(E355,4)),VALUE(RIGHT(E355,2)),1),0))</f>
        <v/>
      </c>
      <c r="J355">
        <f>VALUE(LEFT(E355,4))*12+VALUE(RIGHT(E355,2))-1</f>
        <v/>
      </c>
    </row>
    <row r="356">
      <c r="A356" t="inlineStr">
        <is>
          <t>Chihuido de la Sierra Negra</t>
        </is>
      </c>
      <c r="B356" t="inlineStr">
        <is>
          <t>Neuquina</t>
        </is>
      </c>
      <c r="C356" t="inlineStr">
        <is>
          <t>YPF S.A.</t>
        </is>
      </c>
      <c r="D356" t="inlineStr">
        <is>
          <t>convencional</t>
        </is>
      </c>
      <c r="E356" t="inlineStr">
        <is>
          <t>2012-05</t>
        </is>
      </c>
      <c r="F356" t="n">
        <v>49832.2</v>
      </c>
      <c r="G356" t="n">
        <v>1058700</v>
      </c>
      <c r="H356" t="n">
        <v>1256330.1</v>
      </c>
      <c r="I356">
        <f>DAY(EOMONTH(DATE(VALUE(LEFT(E356,4)),VALUE(RIGHT(E356,2)),1),0))</f>
        <v/>
      </c>
      <c r="J356">
        <f>VALUE(LEFT(E356,4))*12+VALUE(RIGHT(E356,2))-1</f>
        <v/>
      </c>
    </row>
    <row r="357">
      <c r="A357" t="inlineStr">
        <is>
          <t>Chihuido de la Sierra Negra</t>
        </is>
      </c>
      <c r="B357" t="inlineStr">
        <is>
          <t>Neuquina</t>
        </is>
      </c>
      <c r="C357" t="inlineStr">
        <is>
          <t>YPF S.A.</t>
        </is>
      </c>
      <c r="D357" t="inlineStr">
        <is>
          <t>convencional</t>
        </is>
      </c>
      <c r="E357" t="inlineStr">
        <is>
          <t>2012-06</t>
        </is>
      </c>
      <c r="F357" t="n">
        <v>47591.5</v>
      </c>
      <c r="G357" t="n">
        <v>1020829.6</v>
      </c>
      <c r="H357" t="n">
        <v>1243673.3</v>
      </c>
      <c r="I357">
        <f>DAY(EOMONTH(DATE(VALUE(LEFT(E357,4)),VALUE(RIGHT(E357,2)),1),0))</f>
        <v/>
      </c>
      <c r="J357">
        <f>VALUE(LEFT(E357,4))*12+VALUE(RIGHT(E357,2))-1</f>
        <v/>
      </c>
    </row>
    <row r="358">
      <c r="A358" t="inlineStr">
        <is>
          <t>Chihuido de la Sierra Negra</t>
        </is>
      </c>
      <c r="B358" t="inlineStr">
        <is>
          <t>Neuquina</t>
        </is>
      </c>
      <c r="C358" t="inlineStr">
        <is>
          <t>YPF S.A.</t>
        </is>
      </c>
      <c r="D358" t="inlineStr">
        <is>
          <t>convencional</t>
        </is>
      </c>
      <c r="E358" t="inlineStr">
        <is>
          <t>2012-07</t>
        </is>
      </c>
      <c r="F358" t="n">
        <v>47373.1</v>
      </c>
      <c r="G358" t="n">
        <v>1025365</v>
      </c>
      <c r="H358" t="n">
        <v>1257241.3</v>
      </c>
      <c r="I358">
        <f>DAY(EOMONTH(DATE(VALUE(LEFT(E358,4)),VALUE(RIGHT(E358,2)),1),0))</f>
        <v/>
      </c>
      <c r="J358">
        <f>VALUE(LEFT(E358,4))*12+VALUE(RIGHT(E358,2))-1</f>
        <v/>
      </c>
    </row>
    <row r="359">
      <c r="A359" t="inlineStr">
        <is>
          <t>Chihuido de la Sierra Negra</t>
        </is>
      </c>
      <c r="B359" t="inlineStr">
        <is>
          <t>Neuquina</t>
        </is>
      </c>
      <c r="C359" t="inlineStr">
        <is>
          <t>YPF S.A.</t>
        </is>
      </c>
      <c r="D359" t="inlineStr">
        <is>
          <t>convencional</t>
        </is>
      </c>
      <c r="E359" t="inlineStr">
        <is>
          <t>2012-08</t>
        </is>
      </c>
      <c r="F359" t="n">
        <v>47719.5</v>
      </c>
      <c r="G359" t="n">
        <v>1019626.5</v>
      </c>
      <c r="H359" t="n">
        <v>1298507.1</v>
      </c>
      <c r="I359">
        <f>DAY(EOMONTH(DATE(VALUE(LEFT(E359,4)),VALUE(RIGHT(E359,2)),1),0))</f>
        <v/>
      </c>
      <c r="J359">
        <f>VALUE(LEFT(E359,4))*12+VALUE(RIGHT(E359,2))-1</f>
        <v/>
      </c>
    </row>
    <row r="360">
      <c r="A360" t="inlineStr">
        <is>
          <t>Chihuido de la Sierra Negra</t>
        </is>
      </c>
      <c r="B360" t="inlineStr">
        <is>
          <t>Neuquina</t>
        </is>
      </c>
      <c r="C360" t="inlineStr">
        <is>
          <t>YPF S.A.</t>
        </is>
      </c>
      <c r="D360" t="inlineStr">
        <is>
          <t>convencional</t>
        </is>
      </c>
      <c r="E360" t="inlineStr">
        <is>
          <t>2012-09</t>
        </is>
      </c>
      <c r="F360" t="n">
        <v>45914.5</v>
      </c>
      <c r="G360" t="n">
        <v>981895.4</v>
      </c>
      <c r="H360" t="n">
        <v>1216548.8</v>
      </c>
      <c r="I360">
        <f>DAY(EOMONTH(DATE(VALUE(LEFT(E360,4)),VALUE(RIGHT(E360,2)),1),0))</f>
        <v/>
      </c>
      <c r="J360">
        <f>VALUE(LEFT(E360,4))*12+VALUE(RIGHT(E360,2))-1</f>
        <v/>
      </c>
    </row>
    <row r="361">
      <c r="A361" t="inlineStr">
        <is>
          <t>Chihuido de la Sierra Negra</t>
        </is>
      </c>
      <c r="B361" t="inlineStr">
        <is>
          <t>Neuquina</t>
        </is>
      </c>
      <c r="C361" t="inlineStr">
        <is>
          <t>YPF S.A.</t>
        </is>
      </c>
      <c r="D361" t="inlineStr">
        <is>
          <t>convencional</t>
        </is>
      </c>
      <c r="E361" t="inlineStr">
        <is>
          <t>2012-10</t>
        </is>
      </c>
      <c r="F361" t="n">
        <v>47924.3</v>
      </c>
      <c r="G361" t="n">
        <v>1044174.2</v>
      </c>
      <c r="H361" t="n">
        <v>1309771.2</v>
      </c>
      <c r="I361">
        <f>DAY(EOMONTH(DATE(VALUE(LEFT(E361,4)),VALUE(RIGHT(E361,2)),1),0))</f>
        <v/>
      </c>
      <c r="J361">
        <f>VALUE(LEFT(E361,4))*12+VALUE(RIGHT(E361,2))-1</f>
        <v/>
      </c>
    </row>
    <row r="362">
      <c r="A362" t="inlineStr">
        <is>
          <t>Chihuido de la Sierra Negra</t>
        </is>
      </c>
      <c r="B362" t="inlineStr">
        <is>
          <t>Neuquina</t>
        </is>
      </c>
      <c r="C362" t="inlineStr">
        <is>
          <t>YPF S.A.</t>
        </is>
      </c>
      <c r="D362" t="inlineStr">
        <is>
          <t>convencional</t>
        </is>
      </c>
      <c r="E362" t="inlineStr">
        <is>
          <t>2012-11</t>
        </is>
      </c>
      <c r="F362" t="n">
        <v>41249.6</v>
      </c>
      <c r="G362" t="n">
        <v>924908.3</v>
      </c>
      <c r="H362" t="n">
        <v>1162444.6</v>
      </c>
      <c r="I362">
        <f>DAY(EOMONTH(DATE(VALUE(LEFT(E362,4)),VALUE(RIGHT(E362,2)),1),0))</f>
        <v/>
      </c>
      <c r="J362">
        <f>VALUE(LEFT(E362,4))*12+VALUE(RIGHT(E362,2))-1</f>
        <v/>
      </c>
    </row>
    <row r="363">
      <c r="A363" t="inlineStr">
        <is>
          <t>Chihuido de la Sierra Negra</t>
        </is>
      </c>
      <c r="B363" t="inlineStr">
        <is>
          <t>Neuquina</t>
        </is>
      </c>
      <c r="C363" t="inlineStr">
        <is>
          <t>YPF S.A.</t>
        </is>
      </c>
      <c r="D363" t="inlineStr">
        <is>
          <t>convencional</t>
        </is>
      </c>
      <c r="E363" t="inlineStr">
        <is>
          <t>2012-12</t>
        </is>
      </c>
      <c r="F363" t="n">
        <v>46707.4</v>
      </c>
      <c r="G363" t="n">
        <v>1027853.5</v>
      </c>
      <c r="H363" t="n">
        <v>1308445.2</v>
      </c>
      <c r="I363">
        <f>DAY(EOMONTH(DATE(VALUE(LEFT(E363,4)),VALUE(RIGHT(E363,2)),1),0))</f>
        <v/>
      </c>
      <c r="J363">
        <f>VALUE(LEFT(E363,4))*12+VALUE(RIGHT(E363,2))-1</f>
        <v/>
      </c>
    </row>
    <row r="364">
      <c r="A364" t="inlineStr">
        <is>
          <t>Chihuido de la Sierra Negra</t>
        </is>
      </c>
      <c r="B364" t="inlineStr">
        <is>
          <t>Neuquina</t>
        </is>
      </c>
      <c r="C364" t="inlineStr">
        <is>
          <t>YPF S.A.</t>
        </is>
      </c>
      <c r="D364" t="inlineStr">
        <is>
          <t>convencional</t>
        </is>
      </c>
      <c r="E364" t="inlineStr">
        <is>
          <t>2013-01</t>
        </is>
      </c>
      <c r="F364" t="n">
        <v>45841.4</v>
      </c>
      <c r="G364" t="n">
        <v>1020989.4</v>
      </c>
      <c r="H364" t="n">
        <v>1243497</v>
      </c>
      <c r="I364">
        <f>DAY(EOMONTH(DATE(VALUE(LEFT(E364,4)),VALUE(RIGHT(E364,2)),1),0))</f>
        <v/>
      </c>
      <c r="J364">
        <f>VALUE(LEFT(E364,4))*12+VALUE(RIGHT(E364,2))-1</f>
        <v/>
      </c>
    </row>
    <row r="365">
      <c r="A365" t="inlineStr">
        <is>
          <t>Chihuido de la Sierra Negra</t>
        </is>
      </c>
      <c r="B365" t="inlineStr">
        <is>
          <t>Neuquina</t>
        </is>
      </c>
      <c r="C365" t="inlineStr">
        <is>
          <t>YPF S.A.</t>
        </is>
      </c>
      <c r="D365" t="inlineStr">
        <is>
          <t>convencional</t>
        </is>
      </c>
      <c r="E365" t="inlineStr">
        <is>
          <t>2013-02</t>
        </is>
      </c>
      <c r="F365" t="n">
        <v>41781.4</v>
      </c>
      <c r="G365" t="n">
        <v>944821.5</v>
      </c>
      <c r="H365" t="n">
        <v>1112767.4</v>
      </c>
      <c r="I365">
        <f>DAY(EOMONTH(DATE(VALUE(LEFT(E365,4)),VALUE(RIGHT(E365,2)),1),0))</f>
        <v/>
      </c>
      <c r="J365">
        <f>VALUE(LEFT(E365,4))*12+VALUE(RIGHT(E365,2))-1</f>
        <v/>
      </c>
    </row>
    <row r="366">
      <c r="A366" t="inlineStr">
        <is>
          <t>Chihuido de la Sierra Negra</t>
        </is>
      </c>
      <c r="B366" t="inlineStr">
        <is>
          <t>Neuquina</t>
        </is>
      </c>
      <c r="C366" t="inlineStr">
        <is>
          <t>YPF S.A.</t>
        </is>
      </c>
      <c r="D366" t="inlineStr">
        <is>
          <t>convencional</t>
        </is>
      </c>
      <c r="E366" t="inlineStr">
        <is>
          <t>2013-03</t>
        </is>
      </c>
      <c r="F366" t="n">
        <v>46004.5</v>
      </c>
      <c r="G366" t="n">
        <v>1003797.3</v>
      </c>
      <c r="H366" t="n">
        <v>1209562.2</v>
      </c>
      <c r="I366">
        <f>DAY(EOMONTH(DATE(VALUE(LEFT(E366,4)),VALUE(RIGHT(E366,2)),1),0))</f>
        <v/>
      </c>
      <c r="J366">
        <f>VALUE(LEFT(E366,4))*12+VALUE(RIGHT(E366,2))-1</f>
        <v/>
      </c>
    </row>
    <row r="367">
      <c r="A367" t="inlineStr">
        <is>
          <t>Chihuido de la Sierra Negra</t>
        </is>
      </c>
      <c r="B367" t="inlineStr">
        <is>
          <t>Neuquina</t>
        </is>
      </c>
      <c r="C367" t="inlineStr">
        <is>
          <t>YPF S.A.</t>
        </is>
      </c>
      <c r="D367" t="inlineStr">
        <is>
          <t>convencional</t>
        </is>
      </c>
      <c r="E367" t="inlineStr">
        <is>
          <t>2013-04</t>
        </is>
      </c>
      <c r="F367" t="n">
        <v>44563.7</v>
      </c>
      <c r="G367" t="n">
        <v>969097.3</v>
      </c>
      <c r="H367" t="n">
        <v>1186990.9</v>
      </c>
      <c r="I367">
        <f>DAY(EOMONTH(DATE(VALUE(LEFT(E367,4)),VALUE(RIGHT(E367,2)),1),0))</f>
        <v/>
      </c>
      <c r="J367">
        <f>VALUE(LEFT(E367,4))*12+VALUE(RIGHT(E367,2))-1</f>
        <v/>
      </c>
    </row>
    <row r="368">
      <c r="A368" t="inlineStr">
        <is>
          <t>Chihuido de la Sierra Negra</t>
        </is>
      </c>
      <c r="B368" t="inlineStr">
        <is>
          <t>Neuquina</t>
        </is>
      </c>
      <c r="C368" t="inlineStr">
        <is>
          <t>YPF S.A.</t>
        </is>
      </c>
      <c r="D368" t="inlineStr">
        <is>
          <t>convencional</t>
        </is>
      </c>
      <c r="E368" t="inlineStr">
        <is>
          <t>2013-05</t>
        </is>
      </c>
      <c r="F368" t="n">
        <v>47333.2</v>
      </c>
      <c r="G368" t="n">
        <v>1025684.8</v>
      </c>
      <c r="H368" t="n">
        <v>1250750.6</v>
      </c>
      <c r="I368">
        <f>DAY(EOMONTH(DATE(VALUE(LEFT(E368,4)),VALUE(RIGHT(E368,2)),1),0))</f>
        <v/>
      </c>
      <c r="J368">
        <f>VALUE(LEFT(E368,4))*12+VALUE(RIGHT(E368,2))-1</f>
        <v/>
      </c>
    </row>
    <row r="369">
      <c r="A369" t="inlineStr">
        <is>
          <t>Chihuido de la Sierra Negra</t>
        </is>
      </c>
      <c r="B369" t="inlineStr">
        <is>
          <t>Neuquina</t>
        </is>
      </c>
      <c r="C369" t="inlineStr">
        <is>
          <t>YPF S.A.</t>
        </is>
      </c>
      <c r="D369" t="inlineStr">
        <is>
          <t>convencional</t>
        </is>
      </c>
      <c r="E369" t="inlineStr">
        <is>
          <t>2013-06</t>
        </is>
      </c>
      <c r="F369" t="n">
        <v>41866.8</v>
      </c>
      <c r="G369" t="n">
        <v>935830</v>
      </c>
      <c r="H369" t="n">
        <v>1157658.8</v>
      </c>
      <c r="I369">
        <f>DAY(EOMONTH(DATE(VALUE(LEFT(E369,4)),VALUE(RIGHT(E369,2)),1),0))</f>
        <v/>
      </c>
      <c r="J369">
        <f>VALUE(LEFT(E369,4))*12+VALUE(RIGHT(E369,2))-1</f>
        <v/>
      </c>
    </row>
    <row r="370">
      <c r="A370" t="inlineStr">
        <is>
          <t>Chihuido de la Sierra Negra</t>
        </is>
      </c>
      <c r="B370" t="inlineStr">
        <is>
          <t>Neuquina</t>
        </is>
      </c>
      <c r="C370" t="inlineStr">
        <is>
          <t>YPF S.A.</t>
        </is>
      </c>
      <c r="D370" t="inlineStr">
        <is>
          <t>no convencional</t>
        </is>
      </c>
      <c r="E370" t="inlineStr">
        <is>
          <t>2013-06</t>
        </is>
      </c>
      <c r="F370" t="n">
        <v>41.3</v>
      </c>
      <c r="G370" t="n">
        <v>292.3</v>
      </c>
      <c r="H370" t="n">
        <v>0</v>
      </c>
      <c r="I370">
        <f>DAY(EOMONTH(DATE(VALUE(LEFT(E370,4)),VALUE(RIGHT(E370,2)),1),0))</f>
        <v/>
      </c>
      <c r="J370">
        <f>VALUE(LEFT(E370,4))*12+VALUE(RIGHT(E370,2))-1</f>
        <v/>
      </c>
    </row>
    <row r="371">
      <c r="A371" t="inlineStr">
        <is>
          <t>Chihuido de la Sierra Negra</t>
        </is>
      </c>
      <c r="B371" t="inlineStr">
        <is>
          <t>Neuquina</t>
        </is>
      </c>
      <c r="C371" t="inlineStr">
        <is>
          <t>YPF S.A.</t>
        </is>
      </c>
      <c r="D371" t="inlineStr">
        <is>
          <t>convencional</t>
        </is>
      </c>
      <c r="E371" t="inlineStr">
        <is>
          <t>2013-07</t>
        </is>
      </c>
      <c r="F371" t="n">
        <v>46447.4</v>
      </c>
      <c r="G371" t="n">
        <v>998133.2</v>
      </c>
      <c r="H371" t="n">
        <v>1195719.5</v>
      </c>
      <c r="I371">
        <f>DAY(EOMONTH(DATE(VALUE(LEFT(E371,4)),VALUE(RIGHT(E371,2)),1),0))</f>
        <v/>
      </c>
      <c r="J371">
        <f>VALUE(LEFT(E371,4))*12+VALUE(RIGHT(E371,2))-1</f>
        <v/>
      </c>
    </row>
    <row r="372">
      <c r="A372" t="inlineStr">
        <is>
          <t>Chihuido de la Sierra Negra</t>
        </is>
      </c>
      <c r="B372" t="inlineStr">
        <is>
          <t>Neuquina</t>
        </is>
      </c>
      <c r="C372" t="inlineStr">
        <is>
          <t>YPF S.A.</t>
        </is>
      </c>
      <c r="D372" t="inlineStr">
        <is>
          <t>no convencional</t>
        </is>
      </c>
      <c r="E372" t="inlineStr">
        <is>
          <t>2013-07</t>
        </is>
      </c>
      <c r="F372" t="n">
        <v>0</v>
      </c>
      <c r="G372" t="n">
        <v>0</v>
      </c>
      <c r="H372" t="n">
        <v>0</v>
      </c>
      <c r="I372">
        <f>DAY(EOMONTH(DATE(VALUE(LEFT(E372,4)),VALUE(RIGHT(E372,2)),1),0))</f>
        <v/>
      </c>
      <c r="J372">
        <f>VALUE(LEFT(E372,4))*12+VALUE(RIGHT(E372,2))-1</f>
        <v/>
      </c>
    </row>
    <row r="373">
      <c r="A373" t="inlineStr">
        <is>
          <t>Chihuido de la Sierra Negra</t>
        </is>
      </c>
      <c r="B373" t="inlineStr">
        <is>
          <t>Neuquina</t>
        </is>
      </c>
      <c r="C373" t="inlineStr">
        <is>
          <t>YPF S.A.</t>
        </is>
      </c>
      <c r="D373" t="inlineStr">
        <is>
          <t>convencional</t>
        </is>
      </c>
      <c r="E373" t="inlineStr">
        <is>
          <t>2013-08</t>
        </is>
      </c>
      <c r="F373" t="n">
        <v>39359.9</v>
      </c>
      <c r="G373" t="n">
        <v>849936.4</v>
      </c>
      <c r="H373" t="n">
        <v>1093955.6</v>
      </c>
      <c r="I373">
        <f>DAY(EOMONTH(DATE(VALUE(LEFT(E373,4)),VALUE(RIGHT(E373,2)),1),0))</f>
        <v/>
      </c>
      <c r="J373">
        <f>VALUE(LEFT(E373,4))*12+VALUE(RIGHT(E373,2))-1</f>
        <v/>
      </c>
    </row>
    <row r="374">
      <c r="A374" t="inlineStr">
        <is>
          <t>Chihuido de la Sierra Negra</t>
        </is>
      </c>
      <c r="B374" t="inlineStr">
        <is>
          <t>Neuquina</t>
        </is>
      </c>
      <c r="C374" t="inlineStr">
        <is>
          <t>YPF S.A.</t>
        </is>
      </c>
      <c r="D374" t="inlineStr">
        <is>
          <t>no convencional</t>
        </is>
      </c>
      <c r="E374" t="inlineStr">
        <is>
          <t>2013-08</t>
        </is>
      </c>
      <c r="F374" t="n">
        <v>12.1</v>
      </c>
      <c r="G374" t="n">
        <v>47.9</v>
      </c>
      <c r="H374" t="n">
        <v>0</v>
      </c>
      <c r="I374">
        <f>DAY(EOMONTH(DATE(VALUE(LEFT(E374,4)),VALUE(RIGHT(E374,2)),1),0))</f>
        <v/>
      </c>
      <c r="J374">
        <f>VALUE(LEFT(E374,4))*12+VALUE(RIGHT(E374,2))-1</f>
        <v/>
      </c>
    </row>
    <row r="375">
      <c r="A375" t="inlineStr">
        <is>
          <t>Chihuido de la Sierra Negra</t>
        </is>
      </c>
      <c r="B375" t="inlineStr">
        <is>
          <t>Neuquina</t>
        </is>
      </c>
      <c r="C375" t="inlineStr">
        <is>
          <t>YPF S.A.</t>
        </is>
      </c>
      <c r="D375" t="inlineStr">
        <is>
          <t>convencional</t>
        </is>
      </c>
      <c r="E375" t="inlineStr">
        <is>
          <t>2013-09</t>
        </is>
      </c>
      <c r="F375" t="n">
        <v>44406.9</v>
      </c>
      <c r="G375" t="n">
        <v>969252.8</v>
      </c>
      <c r="H375" t="n">
        <v>1188461</v>
      </c>
      <c r="I375">
        <f>DAY(EOMONTH(DATE(VALUE(LEFT(E375,4)),VALUE(RIGHT(E375,2)),1),0))</f>
        <v/>
      </c>
      <c r="J375">
        <f>VALUE(LEFT(E375,4))*12+VALUE(RIGHT(E375,2))-1</f>
        <v/>
      </c>
    </row>
    <row r="376">
      <c r="A376" t="inlineStr">
        <is>
          <t>Chihuido de la Sierra Negra</t>
        </is>
      </c>
      <c r="B376" t="inlineStr">
        <is>
          <t>Neuquina</t>
        </is>
      </c>
      <c r="C376" t="inlineStr">
        <is>
          <t>YPF S.A.</t>
        </is>
      </c>
      <c r="D376" t="inlineStr">
        <is>
          <t>no convencional</t>
        </is>
      </c>
      <c r="E376" t="inlineStr">
        <is>
          <t>2013-09</t>
        </is>
      </c>
      <c r="F376" t="n">
        <v>43.2</v>
      </c>
      <c r="G376" t="n">
        <v>336.8</v>
      </c>
      <c r="H376" t="n">
        <v>0</v>
      </c>
      <c r="I376">
        <f>DAY(EOMONTH(DATE(VALUE(LEFT(E376,4)),VALUE(RIGHT(E376,2)),1),0))</f>
        <v/>
      </c>
      <c r="J376">
        <f>VALUE(LEFT(E376,4))*12+VALUE(RIGHT(E376,2))-1</f>
        <v/>
      </c>
    </row>
    <row r="377">
      <c r="A377" t="inlineStr">
        <is>
          <t>Chihuido de la Sierra Negra</t>
        </is>
      </c>
      <c r="B377" t="inlineStr">
        <is>
          <t>Neuquina</t>
        </is>
      </c>
      <c r="C377" t="inlineStr">
        <is>
          <t>YPF S.A.</t>
        </is>
      </c>
      <c r="D377" t="inlineStr">
        <is>
          <t>convencional</t>
        </is>
      </c>
      <c r="E377" t="inlineStr">
        <is>
          <t>2013-10</t>
        </is>
      </c>
      <c r="F377" t="n">
        <v>45317.3</v>
      </c>
      <c r="G377" t="n">
        <v>971731.5</v>
      </c>
      <c r="H377" t="n">
        <v>1201723.5</v>
      </c>
      <c r="I377">
        <f>DAY(EOMONTH(DATE(VALUE(LEFT(E377,4)),VALUE(RIGHT(E377,2)),1),0))</f>
        <v/>
      </c>
      <c r="J377">
        <f>VALUE(LEFT(E377,4))*12+VALUE(RIGHT(E377,2))-1</f>
        <v/>
      </c>
    </row>
    <row r="378">
      <c r="A378" t="inlineStr">
        <is>
          <t>Chihuido de la Sierra Negra</t>
        </is>
      </c>
      <c r="B378" t="inlineStr">
        <is>
          <t>Neuquina</t>
        </is>
      </c>
      <c r="C378" t="inlineStr">
        <is>
          <t>YPF S.A.</t>
        </is>
      </c>
      <c r="D378" t="inlineStr">
        <is>
          <t>no convencional</t>
        </is>
      </c>
      <c r="E378" t="inlineStr">
        <is>
          <t>2013-10</t>
        </is>
      </c>
      <c r="F378" t="n">
        <v>9</v>
      </c>
      <c r="G378" t="n">
        <v>113.5</v>
      </c>
      <c r="H378" t="n">
        <v>0</v>
      </c>
      <c r="I378">
        <f>DAY(EOMONTH(DATE(VALUE(LEFT(E378,4)),VALUE(RIGHT(E378,2)),1),0))</f>
        <v/>
      </c>
      <c r="J378">
        <f>VALUE(LEFT(E378,4))*12+VALUE(RIGHT(E378,2))-1</f>
        <v/>
      </c>
    </row>
    <row r="379">
      <c r="A379" t="inlineStr">
        <is>
          <t>Chihuido de la Sierra Negra</t>
        </is>
      </c>
      <c r="B379" t="inlineStr">
        <is>
          <t>Neuquina</t>
        </is>
      </c>
      <c r="C379" t="inlineStr">
        <is>
          <t>YPF S.A.</t>
        </is>
      </c>
      <c r="D379" t="inlineStr">
        <is>
          <t>convencional</t>
        </is>
      </c>
      <c r="E379" t="inlineStr">
        <is>
          <t>2013-11</t>
        </is>
      </c>
      <c r="F379" t="n">
        <v>41444.4</v>
      </c>
      <c r="G379" t="n">
        <v>899645.7</v>
      </c>
      <c r="H379" t="n">
        <v>1149877.8</v>
      </c>
      <c r="I379">
        <f>DAY(EOMONTH(DATE(VALUE(LEFT(E379,4)),VALUE(RIGHT(E379,2)),1),0))</f>
        <v/>
      </c>
      <c r="J379">
        <f>VALUE(LEFT(E379,4))*12+VALUE(RIGHT(E379,2))-1</f>
        <v/>
      </c>
    </row>
    <row r="380">
      <c r="A380" t="inlineStr">
        <is>
          <t>Chihuido de la Sierra Negra</t>
        </is>
      </c>
      <c r="B380" t="inlineStr">
        <is>
          <t>Neuquina</t>
        </is>
      </c>
      <c r="C380" t="inlineStr">
        <is>
          <t>YPF S.A.</t>
        </is>
      </c>
      <c r="D380" t="inlineStr">
        <is>
          <t>no convencional</t>
        </is>
      </c>
      <c r="E380" t="inlineStr">
        <is>
          <t>2013-11</t>
        </is>
      </c>
      <c r="F380" t="n">
        <v>18.8</v>
      </c>
      <c r="G380" t="n">
        <v>264.7</v>
      </c>
      <c r="H380" t="n">
        <v>0</v>
      </c>
      <c r="I380">
        <f>DAY(EOMONTH(DATE(VALUE(LEFT(E380,4)),VALUE(RIGHT(E380,2)),1),0))</f>
        <v/>
      </c>
      <c r="J380">
        <f>VALUE(LEFT(E380,4))*12+VALUE(RIGHT(E380,2))-1</f>
        <v/>
      </c>
    </row>
    <row r="381">
      <c r="A381" t="inlineStr">
        <is>
          <t>Chihuido de la Sierra Negra</t>
        </is>
      </c>
      <c r="B381" t="inlineStr">
        <is>
          <t>Neuquina</t>
        </is>
      </c>
      <c r="C381" t="inlineStr">
        <is>
          <t>YPF S.A.</t>
        </is>
      </c>
      <c r="D381" t="inlineStr">
        <is>
          <t>convencional</t>
        </is>
      </c>
      <c r="E381" t="inlineStr">
        <is>
          <t>2013-12</t>
        </is>
      </c>
      <c r="F381" t="n">
        <v>42948.6</v>
      </c>
      <c r="G381" t="n">
        <v>966033.6</v>
      </c>
      <c r="H381" t="n">
        <v>1239461.2</v>
      </c>
      <c r="I381">
        <f>DAY(EOMONTH(DATE(VALUE(LEFT(E381,4)),VALUE(RIGHT(E381,2)),1),0))</f>
        <v/>
      </c>
      <c r="J381">
        <f>VALUE(LEFT(E381,4))*12+VALUE(RIGHT(E381,2))-1</f>
        <v/>
      </c>
    </row>
    <row r="382">
      <c r="A382" t="inlineStr">
        <is>
          <t>Chihuido de la Sierra Negra</t>
        </is>
      </c>
      <c r="B382" t="inlineStr">
        <is>
          <t>Neuquina</t>
        </is>
      </c>
      <c r="C382" t="inlineStr">
        <is>
          <t>YPF S.A.</t>
        </is>
      </c>
      <c r="D382" t="inlineStr">
        <is>
          <t>no convencional</t>
        </is>
      </c>
      <c r="E382" t="inlineStr">
        <is>
          <t>2013-12</t>
        </is>
      </c>
      <c r="F382" t="n">
        <v>72.90000000000001</v>
      </c>
      <c r="G382" t="n">
        <v>663.9</v>
      </c>
      <c r="H382" t="n">
        <v>0</v>
      </c>
      <c r="I382">
        <f>DAY(EOMONTH(DATE(VALUE(LEFT(E382,4)),VALUE(RIGHT(E382,2)),1),0))</f>
        <v/>
      </c>
      <c r="J382">
        <f>VALUE(LEFT(E382,4))*12+VALUE(RIGHT(E382,2))-1</f>
        <v/>
      </c>
    </row>
    <row r="383">
      <c r="A383" t="inlineStr">
        <is>
          <t>Chihuido de la Sierra Negra</t>
        </is>
      </c>
      <c r="B383" t="inlineStr">
        <is>
          <t>Neuquina</t>
        </is>
      </c>
      <c r="C383" t="inlineStr">
        <is>
          <t>YPF S.A.</t>
        </is>
      </c>
      <c r="D383" t="inlineStr">
        <is>
          <t>convencional</t>
        </is>
      </c>
      <c r="E383" t="inlineStr">
        <is>
          <t>2014-01</t>
        </is>
      </c>
      <c r="F383" t="n">
        <v>42592.9</v>
      </c>
      <c r="G383" t="n">
        <v>969250.8</v>
      </c>
      <c r="H383" t="n">
        <v>1231350.5</v>
      </c>
      <c r="I383">
        <f>DAY(EOMONTH(DATE(VALUE(LEFT(E383,4)),VALUE(RIGHT(E383,2)),1),0))</f>
        <v/>
      </c>
      <c r="J383">
        <f>VALUE(LEFT(E383,4))*12+VALUE(RIGHT(E383,2))-1</f>
        <v/>
      </c>
    </row>
    <row r="384">
      <c r="A384" t="inlineStr">
        <is>
          <t>Chihuido de la Sierra Negra</t>
        </is>
      </c>
      <c r="B384" t="inlineStr">
        <is>
          <t>Neuquina</t>
        </is>
      </c>
      <c r="C384" t="inlineStr">
        <is>
          <t>YPF S.A.</t>
        </is>
      </c>
      <c r="D384" t="inlineStr">
        <is>
          <t>no convencional</t>
        </is>
      </c>
      <c r="E384" t="inlineStr">
        <is>
          <t>2014-01</t>
        </is>
      </c>
      <c r="F384" t="n">
        <v>79.5</v>
      </c>
      <c r="G384" t="n">
        <v>696.6</v>
      </c>
      <c r="H384" t="n">
        <v>0</v>
      </c>
      <c r="I384">
        <f>DAY(EOMONTH(DATE(VALUE(LEFT(E384,4)),VALUE(RIGHT(E384,2)),1),0))</f>
        <v/>
      </c>
      <c r="J384">
        <f>VALUE(LEFT(E384,4))*12+VALUE(RIGHT(E384,2))-1</f>
        <v/>
      </c>
    </row>
    <row r="385">
      <c r="A385" t="inlineStr">
        <is>
          <t>Chihuido de la Sierra Negra</t>
        </is>
      </c>
      <c r="B385" t="inlineStr">
        <is>
          <t>Neuquina</t>
        </is>
      </c>
      <c r="C385" t="inlineStr">
        <is>
          <t>YPF S.A.</t>
        </is>
      </c>
      <c r="D385" t="inlineStr">
        <is>
          <t>convencional</t>
        </is>
      </c>
      <c r="E385" t="inlineStr">
        <is>
          <t>2014-02</t>
        </is>
      </c>
      <c r="F385" t="n">
        <v>37906.2</v>
      </c>
      <c r="G385" t="n">
        <v>874668.9</v>
      </c>
      <c r="H385" t="n">
        <v>1148611.8</v>
      </c>
      <c r="I385">
        <f>DAY(EOMONTH(DATE(VALUE(LEFT(E385,4)),VALUE(RIGHT(E385,2)),1),0))</f>
        <v/>
      </c>
      <c r="J385">
        <f>VALUE(LEFT(E385,4))*12+VALUE(RIGHT(E385,2))-1</f>
        <v/>
      </c>
    </row>
    <row r="386">
      <c r="A386" t="inlineStr">
        <is>
          <t>Chihuido de la Sierra Negra</t>
        </is>
      </c>
      <c r="B386" t="inlineStr">
        <is>
          <t>Neuquina</t>
        </is>
      </c>
      <c r="C386" t="inlineStr">
        <is>
          <t>YPF S.A.</t>
        </is>
      </c>
      <c r="D386" t="inlineStr">
        <is>
          <t>no convencional</t>
        </is>
      </c>
      <c r="E386" t="inlineStr">
        <is>
          <t>2014-02</t>
        </is>
      </c>
      <c r="F386" t="n">
        <v>36.6</v>
      </c>
      <c r="G386" t="n">
        <v>378.2</v>
      </c>
      <c r="H386" t="n">
        <v>0</v>
      </c>
      <c r="I386">
        <f>DAY(EOMONTH(DATE(VALUE(LEFT(E386,4)),VALUE(RIGHT(E386,2)),1),0))</f>
        <v/>
      </c>
      <c r="J386">
        <f>VALUE(LEFT(E386,4))*12+VALUE(RIGHT(E386,2))-1</f>
        <v/>
      </c>
    </row>
    <row r="387">
      <c r="A387" t="inlineStr">
        <is>
          <t>Chihuido de la Sierra Negra</t>
        </is>
      </c>
      <c r="B387" t="inlineStr">
        <is>
          <t>Neuquina</t>
        </is>
      </c>
      <c r="C387" t="inlineStr">
        <is>
          <t>YPF S.A.</t>
        </is>
      </c>
      <c r="D387" t="inlineStr">
        <is>
          <t>convencional</t>
        </is>
      </c>
      <c r="E387" t="inlineStr">
        <is>
          <t>2014-03</t>
        </is>
      </c>
      <c r="F387" t="n">
        <v>41645.9</v>
      </c>
      <c r="G387" t="n">
        <v>956603.9</v>
      </c>
      <c r="H387" t="n">
        <v>1217761.2</v>
      </c>
      <c r="I387">
        <f>DAY(EOMONTH(DATE(VALUE(LEFT(E387,4)),VALUE(RIGHT(E387,2)),1),0))</f>
        <v/>
      </c>
      <c r="J387">
        <f>VALUE(LEFT(E387,4))*12+VALUE(RIGHT(E387,2))-1</f>
        <v/>
      </c>
    </row>
    <row r="388">
      <c r="A388" t="inlineStr">
        <is>
          <t>Chihuido de la Sierra Negra</t>
        </is>
      </c>
      <c r="B388" t="inlineStr">
        <is>
          <t>Neuquina</t>
        </is>
      </c>
      <c r="C388" t="inlineStr">
        <is>
          <t>YPF S.A.</t>
        </is>
      </c>
      <c r="D388" t="inlineStr">
        <is>
          <t>no convencional</t>
        </is>
      </c>
      <c r="E388" t="inlineStr">
        <is>
          <t>2014-03</t>
        </is>
      </c>
      <c r="F388" t="n">
        <v>21.3</v>
      </c>
      <c r="G388" t="n">
        <v>286.7</v>
      </c>
      <c r="H388" t="n">
        <v>0</v>
      </c>
      <c r="I388">
        <f>DAY(EOMONTH(DATE(VALUE(LEFT(E388,4)),VALUE(RIGHT(E388,2)),1),0))</f>
        <v/>
      </c>
      <c r="J388">
        <f>VALUE(LEFT(E388,4))*12+VALUE(RIGHT(E388,2))-1</f>
        <v/>
      </c>
    </row>
    <row r="389">
      <c r="A389" t="inlineStr">
        <is>
          <t>Chihuido de la Sierra Negra</t>
        </is>
      </c>
      <c r="B389" t="inlineStr">
        <is>
          <t>Neuquina</t>
        </is>
      </c>
      <c r="C389" t="inlineStr">
        <is>
          <t>YPF S.A.</t>
        </is>
      </c>
      <c r="D389" t="inlineStr">
        <is>
          <t>convencional</t>
        </is>
      </c>
      <c r="E389" t="inlineStr">
        <is>
          <t>2014-04</t>
        </is>
      </c>
      <c r="F389" t="n">
        <v>35355.1</v>
      </c>
      <c r="G389" t="n">
        <v>817710.6</v>
      </c>
      <c r="H389" t="n">
        <v>964441.9</v>
      </c>
      <c r="I389">
        <f>DAY(EOMONTH(DATE(VALUE(LEFT(E389,4)),VALUE(RIGHT(E389,2)),1),0))</f>
        <v/>
      </c>
      <c r="J389">
        <f>VALUE(LEFT(E389,4))*12+VALUE(RIGHT(E389,2))-1</f>
        <v/>
      </c>
    </row>
    <row r="390">
      <c r="A390" t="inlineStr">
        <is>
          <t>Chihuido de la Sierra Negra</t>
        </is>
      </c>
      <c r="B390" t="inlineStr">
        <is>
          <t>Neuquina</t>
        </is>
      </c>
      <c r="C390" t="inlineStr">
        <is>
          <t>YPF S.A.</t>
        </is>
      </c>
      <c r="D390" t="inlineStr">
        <is>
          <t>no convencional</t>
        </is>
      </c>
      <c r="E390" t="inlineStr">
        <is>
          <t>2014-04</t>
        </is>
      </c>
      <c r="F390" t="n">
        <v>12.3</v>
      </c>
      <c r="G390" t="n">
        <v>171</v>
      </c>
      <c r="H390" t="n">
        <v>0</v>
      </c>
      <c r="I390">
        <f>DAY(EOMONTH(DATE(VALUE(LEFT(E390,4)),VALUE(RIGHT(E390,2)),1),0))</f>
        <v/>
      </c>
      <c r="J390">
        <f>VALUE(LEFT(E390,4))*12+VALUE(RIGHT(E390,2))-1</f>
        <v/>
      </c>
    </row>
    <row r="391">
      <c r="A391" t="inlineStr">
        <is>
          <t>Chihuido de la Sierra Negra</t>
        </is>
      </c>
      <c r="B391" t="inlineStr">
        <is>
          <t>Neuquina</t>
        </is>
      </c>
      <c r="C391" t="inlineStr">
        <is>
          <t>YPF S.A.</t>
        </is>
      </c>
      <c r="D391" t="inlineStr">
        <is>
          <t>convencional</t>
        </is>
      </c>
      <c r="E391" t="inlineStr">
        <is>
          <t>2014-05</t>
        </is>
      </c>
      <c r="F391" t="n">
        <v>41609.2</v>
      </c>
      <c r="G391" t="n">
        <v>925396.2</v>
      </c>
      <c r="H391" t="n">
        <v>1189757.1</v>
      </c>
      <c r="I391">
        <f>DAY(EOMONTH(DATE(VALUE(LEFT(E391,4)),VALUE(RIGHT(E391,2)),1),0))</f>
        <v/>
      </c>
      <c r="J391">
        <f>VALUE(LEFT(E391,4))*12+VALUE(RIGHT(E391,2))-1</f>
        <v/>
      </c>
    </row>
    <row r="392">
      <c r="A392" t="inlineStr">
        <is>
          <t>Chihuido de la Sierra Negra</t>
        </is>
      </c>
      <c r="B392" t="inlineStr">
        <is>
          <t>Neuquina</t>
        </is>
      </c>
      <c r="C392" t="inlineStr">
        <is>
          <t>YPF S.A.</t>
        </is>
      </c>
      <c r="D392" t="inlineStr">
        <is>
          <t>no convencional</t>
        </is>
      </c>
      <c r="E392" t="inlineStr">
        <is>
          <t>2014-05</t>
        </is>
      </c>
      <c r="F392" t="n">
        <v>24.5</v>
      </c>
      <c r="G392" t="n">
        <v>317.5</v>
      </c>
      <c r="H392" t="n">
        <v>0</v>
      </c>
      <c r="I392">
        <f>DAY(EOMONTH(DATE(VALUE(LEFT(E392,4)),VALUE(RIGHT(E392,2)),1),0))</f>
        <v/>
      </c>
      <c r="J392">
        <f>VALUE(LEFT(E392,4))*12+VALUE(RIGHT(E392,2))-1</f>
        <v/>
      </c>
    </row>
    <row r="393">
      <c r="A393" t="inlineStr">
        <is>
          <t>Chihuido de la Sierra Negra</t>
        </is>
      </c>
      <c r="B393" t="inlineStr">
        <is>
          <t>Neuquina</t>
        </is>
      </c>
      <c r="C393" t="inlineStr">
        <is>
          <t>YPF S.A.</t>
        </is>
      </c>
      <c r="D393" t="inlineStr">
        <is>
          <t>convencional</t>
        </is>
      </c>
      <c r="E393" t="inlineStr">
        <is>
          <t>2014-06</t>
        </is>
      </c>
      <c r="F393" t="n">
        <v>39864.1</v>
      </c>
      <c r="G393" t="n">
        <v>892034.4</v>
      </c>
      <c r="H393" t="n">
        <v>1168816.2</v>
      </c>
      <c r="I393">
        <f>DAY(EOMONTH(DATE(VALUE(LEFT(E393,4)),VALUE(RIGHT(E393,2)),1),0))</f>
        <v/>
      </c>
      <c r="J393">
        <f>VALUE(LEFT(E393,4))*12+VALUE(RIGHT(E393,2))-1</f>
        <v/>
      </c>
    </row>
    <row r="394">
      <c r="A394" t="inlineStr">
        <is>
          <t>Chihuido de la Sierra Negra</t>
        </is>
      </c>
      <c r="B394" t="inlineStr">
        <is>
          <t>Neuquina</t>
        </is>
      </c>
      <c r="C394" t="inlineStr">
        <is>
          <t>YPF S.A.</t>
        </is>
      </c>
      <c r="D394" t="inlineStr">
        <is>
          <t>no convencional</t>
        </is>
      </c>
      <c r="E394" t="inlineStr">
        <is>
          <t>2014-06</t>
        </is>
      </c>
      <c r="F394" t="n">
        <v>27.2</v>
      </c>
      <c r="G394" t="n">
        <v>360.3</v>
      </c>
      <c r="H394" t="n">
        <v>0</v>
      </c>
      <c r="I394">
        <f>DAY(EOMONTH(DATE(VALUE(LEFT(E394,4)),VALUE(RIGHT(E394,2)),1),0))</f>
        <v/>
      </c>
      <c r="J394">
        <f>VALUE(LEFT(E394,4))*12+VALUE(RIGHT(E394,2))-1</f>
        <v/>
      </c>
    </row>
    <row r="395">
      <c r="A395" t="inlineStr">
        <is>
          <t>Chihuido de la Sierra Negra</t>
        </is>
      </c>
      <c r="B395" t="inlineStr">
        <is>
          <t>Neuquina</t>
        </is>
      </c>
      <c r="C395" t="inlineStr">
        <is>
          <t>YPF S.A.</t>
        </is>
      </c>
      <c r="D395" t="inlineStr">
        <is>
          <t>convencional</t>
        </is>
      </c>
      <c r="E395" t="inlineStr">
        <is>
          <t>2014-07</t>
        </is>
      </c>
      <c r="F395" t="n">
        <v>39387</v>
      </c>
      <c r="G395" t="n">
        <v>893642.9</v>
      </c>
      <c r="H395" t="n">
        <v>1161878.7</v>
      </c>
      <c r="I395">
        <f>DAY(EOMONTH(DATE(VALUE(LEFT(E395,4)),VALUE(RIGHT(E395,2)),1),0))</f>
        <v/>
      </c>
      <c r="J395">
        <f>VALUE(LEFT(E395,4))*12+VALUE(RIGHT(E395,2))-1</f>
        <v/>
      </c>
    </row>
    <row r="396">
      <c r="A396" t="inlineStr">
        <is>
          <t>Chihuido de la Sierra Negra</t>
        </is>
      </c>
      <c r="B396" t="inlineStr">
        <is>
          <t>Neuquina</t>
        </is>
      </c>
      <c r="C396" t="inlineStr">
        <is>
          <t>YPF S.A.</t>
        </is>
      </c>
      <c r="D396" t="inlineStr">
        <is>
          <t>no convencional</t>
        </is>
      </c>
      <c r="E396" t="inlineStr">
        <is>
          <t>2014-07</t>
        </is>
      </c>
      <c r="F396" t="n">
        <v>28.6</v>
      </c>
      <c r="G396" t="n">
        <v>383.5</v>
      </c>
      <c r="H396" t="n">
        <v>0</v>
      </c>
      <c r="I396">
        <f>DAY(EOMONTH(DATE(VALUE(LEFT(E396,4)),VALUE(RIGHT(E396,2)),1),0))</f>
        <v/>
      </c>
      <c r="J396">
        <f>VALUE(LEFT(E396,4))*12+VALUE(RIGHT(E396,2))-1</f>
        <v/>
      </c>
    </row>
    <row r="397">
      <c r="A397" t="inlineStr">
        <is>
          <t>Chihuido de la Sierra Negra</t>
        </is>
      </c>
      <c r="B397" t="inlineStr">
        <is>
          <t>Neuquina</t>
        </is>
      </c>
      <c r="C397" t="inlineStr">
        <is>
          <t>YPF S.A.</t>
        </is>
      </c>
      <c r="D397" t="inlineStr">
        <is>
          <t>convencional</t>
        </is>
      </c>
      <c r="E397" t="inlineStr">
        <is>
          <t>2014-08</t>
        </is>
      </c>
      <c r="F397" t="n">
        <v>37931.7</v>
      </c>
      <c r="G397" t="n">
        <v>903908.8</v>
      </c>
      <c r="H397" t="n">
        <v>1212385.6</v>
      </c>
      <c r="I397">
        <f>DAY(EOMONTH(DATE(VALUE(LEFT(E397,4)),VALUE(RIGHT(E397,2)),1),0))</f>
        <v/>
      </c>
      <c r="J397">
        <f>VALUE(LEFT(E397,4))*12+VALUE(RIGHT(E397,2))-1</f>
        <v/>
      </c>
    </row>
    <row r="398">
      <c r="A398" t="inlineStr">
        <is>
          <t>Chihuido de la Sierra Negra</t>
        </is>
      </c>
      <c r="B398" t="inlineStr">
        <is>
          <t>Neuquina</t>
        </is>
      </c>
      <c r="C398" t="inlineStr">
        <is>
          <t>YPF S.A.</t>
        </is>
      </c>
      <c r="D398" t="inlineStr">
        <is>
          <t>no convencional</t>
        </is>
      </c>
      <c r="E398" t="inlineStr">
        <is>
          <t>2014-08</t>
        </is>
      </c>
      <c r="F398" t="n">
        <v>26.2</v>
      </c>
      <c r="G398" t="n">
        <v>359.4</v>
      </c>
      <c r="H398" t="n">
        <v>0</v>
      </c>
      <c r="I398">
        <f>DAY(EOMONTH(DATE(VALUE(LEFT(E398,4)),VALUE(RIGHT(E398,2)),1),0))</f>
        <v/>
      </c>
      <c r="J398">
        <f>VALUE(LEFT(E398,4))*12+VALUE(RIGHT(E398,2))-1</f>
        <v/>
      </c>
    </row>
    <row r="399">
      <c r="A399" t="inlineStr">
        <is>
          <t>Chihuido de la Sierra Negra</t>
        </is>
      </c>
      <c r="B399" t="inlineStr">
        <is>
          <t>Neuquina</t>
        </is>
      </c>
      <c r="C399" t="inlineStr">
        <is>
          <t>YPF S.A.</t>
        </is>
      </c>
      <c r="D399" t="inlineStr">
        <is>
          <t>convencional</t>
        </is>
      </c>
      <c r="E399" t="inlineStr">
        <is>
          <t>2014-09</t>
        </is>
      </c>
      <c r="F399" t="n">
        <v>40523.8</v>
      </c>
      <c r="G399" t="n">
        <v>951507.3</v>
      </c>
      <c r="H399" t="n">
        <v>1218964.4</v>
      </c>
      <c r="I399">
        <f>DAY(EOMONTH(DATE(VALUE(LEFT(E399,4)),VALUE(RIGHT(E399,2)),1),0))</f>
        <v/>
      </c>
      <c r="J399">
        <f>VALUE(LEFT(E399,4))*12+VALUE(RIGHT(E399,2))-1</f>
        <v/>
      </c>
    </row>
    <row r="400">
      <c r="A400" t="inlineStr">
        <is>
          <t>Chihuido de la Sierra Negra</t>
        </is>
      </c>
      <c r="B400" t="inlineStr">
        <is>
          <t>Neuquina</t>
        </is>
      </c>
      <c r="C400" t="inlineStr">
        <is>
          <t>YPF S.A.</t>
        </is>
      </c>
      <c r="D400" t="inlineStr">
        <is>
          <t>no convencional</t>
        </is>
      </c>
      <c r="E400" t="inlineStr">
        <is>
          <t>2014-09</t>
        </is>
      </c>
      <c r="F400" t="n">
        <v>30.2</v>
      </c>
      <c r="G400" t="n">
        <v>400.3</v>
      </c>
      <c r="H400" t="n">
        <v>0</v>
      </c>
      <c r="I400">
        <f>DAY(EOMONTH(DATE(VALUE(LEFT(E400,4)),VALUE(RIGHT(E400,2)),1),0))</f>
        <v/>
      </c>
      <c r="J400">
        <f>VALUE(LEFT(E400,4))*12+VALUE(RIGHT(E400,2))-1</f>
        <v/>
      </c>
    </row>
    <row r="401">
      <c r="A401" t="inlineStr">
        <is>
          <t>Chihuido de la Sierra Negra</t>
        </is>
      </c>
      <c r="B401" t="inlineStr">
        <is>
          <t>Neuquina</t>
        </is>
      </c>
      <c r="C401" t="inlineStr">
        <is>
          <t>YPF S.A.</t>
        </is>
      </c>
      <c r="D401" t="inlineStr">
        <is>
          <t>convencional</t>
        </is>
      </c>
      <c r="E401" t="inlineStr">
        <is>
          <t>2014-10</t>
        </is>
      </c>
      <c r="F401" t="n">
        <v>41507.9</v>
      </c>
      <c r="G401" t="n">
        <v>984835.6</v>
      </c>
      <c r="H401" t="n">
        <v>1250070.5</v>
      </c>
      <c r="I401">
        <f>DAY(EOMONTH(DATE(VALUE(LEFT(E401,4)),VALUE(RIGHT(E401,2)),1),0))</f>
        <v/>
      </c>
      <c r="J401">
        <f>VALUE(LEFT(E401,4))*12+VALUE(RIGHT(E401,2))-1</f>
        <v/>
      </c>
    </row>
    <row r="402">
      <c r="A402" t="inlineStr">
        <is>
          <t>Chihuido de la Sierra Negra</t>
        </is>
      </c>
      <c r="B402" t="inlineStr">
        <is>
          <t>Neuquina</t>
        </is>
      </c>
      <c r="C402" t="inlineStr">
        <is>
          <t>YPF S.A.</t>
        </is>
      </c>
      <c r="D402" t="inlineStr">
        <is>
          <t>no convencional</t>
        </is>
      </c>
      <c r="E402" t="inlineStr">
        <is>
          <t>2014-10</t>
        </is>
      </c>
      <c r="F402" t="n">
        <v>32.1</v>
      </c>
      <c r="G402" t="n">
        <v>438.2</v>
      </c>
      <c r="H402" t="n">
        <v>0</v>
      </c>
      <c r="I402">
        <f>DAY(EOMONTH(DATE(VALUE(LEFT(E402,4)),VALUE(RIGHT(E402,2)),1),0))</f>
        <v/>
      </c>
      <c r="J402">
        <f>VALUE(LEFT(E402,4))*12+VALUE(RIGHT(E402,2))-1</f>
        <v/>
      </c>
    </row>
    <row r="403">
      <c r="A403" t="inlineStr">
        <is>
          <t>Chihuido de la Sierra Negra</t>
        </is>
      </c>
      <c r="B403" t="inlineStr">
        <is>
          <t>Neuquina</t>
        </is>
      </c>
      <c r="C403" t="inlineStr">
        <is>
          <t>YPF S.A.</t>
        </is>
      </c>
      <c r="D403" t="inlineStr">
        <is>
          <t>convencional</t>
        </is>
      </c>
      <c r="E403" t="inlineStr">
        <is>
          <t>2014-11</t>
        </is>
      </c>
      <c r="F403" t="n">
        <v>39574.9</v>
      </c>
      <c r="G403" t="n">
        <v>938187.6</v>
      </c>
      <c r="H403" t="n">
        <v>1180163.5</v>
      </c>
      <c r="I403">
        <f>DAY(EOMONTH(DATE(VALUE(LEFT(E403,4)),VALUE(RIGHT(E403,2)),1),0))</f>
        <v/>
      </c>
      <c r="J403">
        <f>VALUE(LEFT(E403,4))*12+VALUE(RIGHT(E403,2))-1</f>
        <v/>
      </c>
    </row>
    <row r="404">
      <c r="A404" t="inlineStr">
        <is>
          <t>Chihuido de la Sierra Negra</t>
        </is>
      </c>
      <c r="B404" t="inlineStr">
        <is>
          <t>Neuquina</t>
        </is>
      </c>
      <c r="C404" t="inlineStr">
        <is>
          <t>YPF S.A.</t>
        </is>
      </c>
      <c r="D404" t="inlineStr">
        <is>
          <t>no convencional</t>
        </is>
      </c>
      <c r="E404" t="inlineStr">
        <is>
          <t>2014-11</t>
        </is>
      </c>
      <c r="F404" t="n">
        <v>31.1</v>
      </c>
      <c r="G404" t="n">
        <v>423.4</v>
      </c>
      <c r="H404" t="n">
        <v>0</v>
      </c>
      <c r="I404">
        <f>DAY(EOMONTH(DATE(VALUE(LEFT(E404,4)),VALUE(RIGHT(E404,2)),1),0))</f>
        <v/>
      </c>
      <c r="J404">
        <f>VALUE(LEFT(E404,4))*12+VALUE(RIGHT(E404,2))-1</f>
        <v/>
      </c>
    </row>
    <row r="405">
      <c r="A405" t="inlineStr">
        <is>
          <t>Chihuido de la Sierra Negra</t>
        </is>
      </c>
      <c r="B405" t="inlineStr">
        <is>
          <t>Neuquina</t>
        </is>
      </c>
      <c r="C405" t="inlineStr">
        <is>
          <t>YPF S.A.</t>
        </is>
      </c>
      <c r="D405" t="inlineStr">
        <is>
          <t>convencional</t>
        </is>
      </c>
      <c r="E405" t="inlineStr">
        <is>
          <t>2014-12</t>
        </is>
      </c>
      <c r="F405" t="n">
        <v>38424.7</v>
      </c>
      <c r="G405" t="n">
        <v>950164.9</v>
      </c>
      <c r="H405" t="n">
        <v>1203016.8</v>
      </c>
      <c r="I405">
        <f>DAY(EOMONTH(DATE(VALUE(LEFT(E405,4)),VALUE(RIGHT(E405,2)),1),0))</f>
        <v/>
      </c>
      <c r="J405">
        <f>VALUE(LEFT(E405,4))*12+VALUE(RIGHT(E405,2))-1</f>
        <v/>
      </c>
    </row>
    <row r="406">
      <c r="A406" t="inlineStr">
        <is>
          <t>Chihuido de la Sierra Negra</t>
        </is>
      </c>
      <c r="B406" t="inlineStr">
        <is>
          <t>Neuquina</t>
        </is>
      </c>
      <c r="C406" t="inlineStr">
        <is>
          <t>YPF S.A.</t>
        </is>
      </c>
      <c r="D406" t="inlineStr">
        <is>
          <t>no convencional</t>
        </is>
      </c>
      <c r="E406" t="inlineStr">
        <is>
          <t>2014-12</t>
        </is>
      </c>
      <c r="F406" t="n">
        <v>29</v>
      </c>
      <c r="G406" t="n">
        <v>408.6</v>
      </c>
      <c r="H406" t="n">
        <v>0</v>
      </c>
      <c r="I406">
        <f>DAY(EOMONTH(DATE(VALUE(LEFT(E406,4)),VALUE(RIGHT(E406,2)),1),0))</f>
        <v/>
      </c>
      <c r="J406">
        <f>VALUE(LEFT(E406,4))*12+VALUE(RIGHT(E406,2))-1</f>
        <v/>
      </c>
    </row>
    <row r="407">
      <c r="A407" t="inlineStr">
        <is>
          <t>Chihuido de la Sierra Negra</t>
        </is>
      </c>
      <c r="B407" t="inlineStr">
        <is>
          <t>Neuquina</t>
        </is>
      </c>
      <c r="C407" t="inlineStr">
        <is>
          <t>YPF S.A.</t>
        </is>
      </c>
      <c r="D407" t="inlineStr">
        <is>
          <t>convencional</t>
        </is>
      </c>
      <c r="E407" t="inlineStr">
        <is>
          <t>2015-01</t>
        </is>
      </c>
      <c r="F407" t="n">
        <v>39889.4</v>
      </c>
      <c r="G407" t="n">
        <v>975408.3</v>
      </c>
      <c r="H407" t="n">
        <v>1275918.1</v>
      </c>
      <c r="I407">
        <f>DAY(EOMONTH(DATE(VALUE(LEFT(E407,4)),VALUE(RIGHT(E407,2)),1),0))</f>
        <v/>
      </c>
      <c r="J407">
        <f>VALUE(LEFT(E407,4))*12+VALUE(RIGHT(E407,2))-1</f>
        <v/>
      </c>
    </row>
    <row r="408">
      <c r="A408" t="inlineStr">
        <is>
          <t>Chihuido de la Sierra Negra</t>
        </is>
      </c>
      <c r="B408" t="inlineStr">
        <is>
          <t>Neuquina</t>
        </is>
      </c>
      <c r="C408" t="inlineStr">
        <is>
          <t>YPF S.A.</t>
        </is>
      </c>
      <c r="D408" t="inlineStr">
        <is>
          <t>no convencional</t>
        </is>
      </c>
      <c r="E408" t="inlineStr">
        <is>
          <t>2015-01</t>
        </is>
      </c>
      <c r="F408" t="n">
        <v>13</v>
      </c>
      <c r="G408" t="n">
        <v>175.7</v>
      </c>
      <c r="H408" t="n">
        <v>0</v>
      </c>
      <c r="I408">
        <f>DAY(EOMONTH(DATE(VALUE(LEFT(E408,4)),VALUE(RIGHT(E408,2)),1),0))</f>
        <v/>
      </c>
      <c r="J408">
        <f>VALUE(LEFT(E408,4))*12+VALUE(RIGHT(E408,2))-1</f>
        <v/>
      </c>
    </row>
    <row r="409">
      <c r="A409" t="inlineStr">
        <is>
          <t>Chihuido de la Sierra Negra</t>
        </is>
      </c>
      <c r="B409" t="inlineStr">
        <is>
          <t>Neuquina</t>
        </is>
      </c>
      <c r="C409" t="inlineStr">
        <is>
          <t>YPF S.A.</t>
        </is>
      </c>
      <c r="D409" t="inlineStr">
        <is>
          <t>convencional</t>
        </is>
      </c>
      <c r="E409" t="inlineStr">
        <is>
          <t>2015-02</t>
        </is>
      </c>
      <c r="F409" t="n">
        <v>34552.8</v>
      </c>
      <c r="G409" t="n">
        <v>855076.8</v>
      </c>
      <c r="H409" t="n">
        <v>1120463.4</v>
      </c>
      <c r="I409">
        <f>DAY(EOMONTH(DATE(VALUE(LEFT(E409,4)),VALUE(RIGHT(E409,2)),1),0))</f>
        <v/>
      </c>
      <c r="J409">
        <f>VALUE(LEFT(E409,4))*12+VALUE(RIGHT(E409,2))-1</f>
        <v/>
      </c>
    </row>
    <row r="410">
      <c r="A410" t="inlineStr">
        <is>
          <t>Chihuido de la Sierra Negra</t>
        </is>
      </c>
      <c r="B410" t="inlineStr">
        <is>
          <t>Neuquina</t>
        </is>
      </c>
      <c r="C410" t="inlineStr">
        <is>
          <t>YPF S.A.</t>
        </is>
      </c>
      <c r="D410" t="inlineStr">
        <is>
          <t>no convencional</t>
        </is>
      </c>
      <c r="E410" t="inlineStr">
        <is>
          <t>2015-02</t>
        </is>
      </c>
      <c r="F410" t="n">
        <v>13.2</v>
      </c>
      <c r="G410" t="n">
        <v>357.6</v>
      </c>
      <c r="H410" t="n">
        <v>0</v>
      </c>
      <c r="I410">
        <f>DAY(EOMONTH(DATE(VALUE(LEFT(E410,4)),VALUE(RIGHT(E410,2)),1),0))</f>
        <v/>
      </c>
      <c r="J410">
        <f>VALUE(LEFT(E410,4))*12+VALUE(RIGHT(E410,2))-1</f>
        <v/>
      </c>
    </row>
    <row r="411">
      <c r="A411" t="inlineStr">
        <is>
          <t>Chihuido de la Sierra Negra</t>
        </is>
      </c>
      <c r="B411" t="inlineStr">
        <is>
          <t>Neuquina</t>
        </is>
      </c>
      <c r="C411" t="inlineStr">
        <is>
          <t>YPF S.A.</t>
        </is>
      </c>
      <c r="D411" t="inlineStr">
        <is>
          <t>convencional</t>
        </is>
      </c>
      <c r="E411" t="inlineStr">
        <is>
          <t>2015-03</t>
        </is>
      </c>
      <c r="F411" t="n">
        <v>39882.7</v>
      </c>
      <c r="G411" t="n">
        <v>968492.7</v>
      </c>
      <c r="H411" t="n">
        <v>1248342.4</v>
      </c>
      <c r="I411">
        <f>DAY(EOMONTH(DATE(VALUE(LEFT(E411,4)),VALUE(RIGHT(E411,2)),1),0))</f>
        <v/>
      </c>
      <c r="J411">
        <f>VALUE(LEFT(E411,4))*12+VALUE(RIGHT(E411,2))-1</f>
        <v/>
      </c>
    </row>
    <row r="412">
      <c r="A412" t="inlineStr">
        <is>
          <t>Chihuido de la Sierra Negra</t>
        </is>
      </c>
      <c r="B412" t="inlineStr">
        <is>
          <t>Neuquina</t>
        </is>
      </c>
      <c r="C412" t="inlineStr">
        <is>
          <t>YPF S.A.</t>
        </is>
      </c>
      <c r="D412" t="inlineStr">
        <is>
          <t>no convencional</t>
        </is>
      </c>
      <c r="E412" t="inlineStr">
        <is>
          <t>2015-03</t>
        </is>
      </c>
      <c r="F412" t="n">
        <v>14.7</v>
      </c>
      <c r="G412" t="n">
        <v>417.1</v>
      </c>
      <c r="H412" t="n">
        <v>0</v>
      </c>
      <c r="I412">
        <f>DAY(EOMONTH(DATE(VALUE(LEFT(E412,4)),VALUE(RIGHT(E412,2)),1),0))</f>
        <v/>
      </c>
      <c r="J412">
        <f>VALUE(LEFT(E412,4))*12+VALUE(RIGHT(E412,2))-1</f>
        <v/>
      </c>
    </row>
    <row r="413">
      <c r="A413" t="inlineStr">
        <is>
          <t>Chihuido de la Sierra Negra</t>
        </is>
      </c>
      <c r="B413" t="inlineStr">
        <is>
          <t>Neuquina</t>
        </is>
      </c>
      <c r="C413" t="inlineStr">
        <is>
          <t>YPF S.A.</t>
        </is>
      </c>
      <c r="D413" t="inlineStr">
        <is>
          <t>convencional</t>
        </is>
      </c>
      <c r="E413" t="inlineStr">
        <is>
          <t>2015-04</t>
        </is>
      </c>
      <c r="F413" t="n">
        <v>38104.2</v>
      </c>
      <c r="G413" t="n">
        <v>939790.5</v>
      </c>
      <c r="H413" t="n">
        <v>1212897.2</v>
      </c>
      <c r="I413">
        <f>DAY(EOMONTH(DATE(VALUE(LEFT(E413,4)),VALUE(RIGHT(E413,2)),1),0))</f>
        <v/>
      </c>
      <c r="J413">
        <f>VALUE(LEFT(E413,4))*12+VALUE(RIGHT(E413,2))-1</f>
        <v/>
      </c>
    </row>
    <row r="414">
      <c r="A414" t="inlineStr">
        <is>
          <t>Chihuido de la Sierra Negra</t>
        </is>
      </c>
      <c r="B414" t="inlineStr">
        <is>
          <t>Neuquina</t>
        </is>
      </c>
      <c r="C414" t="inlineStr">
        <is>
          <t>YPF S.A.</t>
        </is>
      </c>
      <c r="D414" t="inlineStr">
        <is>
          <t>no convencional</t>
        </is>
      </c>
      <c r="E414" t="inlineStr">
        <is>
          <t>2015-04</t>
        </is>
      </c>
      <c r="F414" t="n">
        <v>19.2</v>
      </c>
      <c r="G414" t="n">
        <v>332.4</v>
      </c>
      <c r="H414" t="n">
        <v>0</v>
      </c>
      <c r="I414">
        <f>DAY(EOMONTH(DATE(VALUE(LEFT(E414,4)),VALUE(RIGHT(E414,2)),1),0))</f>
        <v/>
      </c>
      <c r="J414">
        <f>VALUE(LEFT(E414,4))*12+VALUE(RIGHT(E414,2))-1</f>
        <v/>
      </c>
    </row>
    <row r="415">
      <c r="A415" t="inlineStr">
        <is>
          <t>Chihuido de la Sierra Negra</t>
        </is>
      </c>
      <c r="B415" t="inlineStr">
        <is>
          <t>Neuquina</t>
        </is>
      </c>
      <c r="C415" t="inlineStr">
        <is>
          <t>YPF S.A.</t>
        </is>
      </c>
      <c r="D415" t="inlineStr">
        <is>
          <t>convencional</t>
        </is>
      </c>
      <c r="E415" t="inlineStr">
        <is>
          <t>2015-05</t>
        </is>
      </c>
      <c r="F415" t="n">
        <v>39062.1</v>
      </c>
      <c r="G415" t="n">
        <v>990107.3</v>
      </c>
      <c r="H415" t="n">
        <v>1259843.3</v>
      </c>
      <c r="I415">
        <f>DAY(EOMONTH(DATE(VALUE(LEFT(E415,4)),VALUE(RIGHT(E415,2)),1),0))</f>
        <v/>
      </c>
      <c r="J415">
        <f>VALUE(LEFT(E415,4))*12+VALUE(RIGHT(E415,2))-1</f>
        <v/>
      </c>
    </row>
    <row r="416">
      <c r="A416" t="inlineStr">
        <is>
          <t>Chihuido de la Sierra Negra</t>
        </is>
      </c>
      <c r="B416" t="inlineStr">
        <is>
          <t>Neuquina</t>
        </is>
      </c>
      <c r="C416" t="inlineStr">
        <is>
          <t>YPF S.A.</t>
        </is>
      </c>
      <c r="D416" t="inlineStr">
        <is>
          <t>no convencional</t>
        </is>
      </c>
      <c r="E416" t="inlineStr">
        <is>
          <t>2015-05</t>
        </is>
      </c>
      <c r="F416" t="n">
        <v>19.8</v>
      </c>
      <c r="G416" t="n">
        <v>305.4</v>
      </c>
      <c r="H416" t="n">
        <v>0</v>
      </c>
      <c r="I416">
        <f>DAY(EOMONTH(DATE(VALUE(LEFT(E416,4)),VALUE(RIGHT(E416,2)),1),0))</f>
        <v/>
      </c>
      <c r="J416">
        <f>VALUE(LEFT(E416,4))*12+VALUE(RIGHT(E416,2))-1</f>
        <v/>
      </c>
    </row>
    <row r="417">
      <c r="A417" t="inlineStr">
        <is>
          <t>Chihuido de la Sierra Negra</t>
        </is>
      </c>
      <c r="B417" t="inlineStr">
        <is>
          <t>Neuquina</t>
        </is>
      </c>
      <c r="C417" t="inlineStr">
        <is>
          <t>YPF S.A.</t>
        </is>
      </c>
      <c r="D417" t="inlineStr">
        <is>
          <t>convencional</t>
        </is>
      </c>
      <c r="E417" t="inlineStr">
        <is>
          <t>2015-06</t>
        </is>
      </c>
      <c r="F417" t="n">
        <v>37214</v>
      </c>
      <c r="G417" t="n">
        <v>975676.7</v>
      </c>
      <c r="H417" t="n">
        <v>1200763.3</v>
      </c>
      <c r="I417">
        <f>DAY(EOMONTH(DATE(VALUE(LEFT(E417,4)),VALUE(RIGHT(E417,2)),1),0))</f>
        <v/>
      </c>
      <c r="J417">
        <f>VALUE(LEFT(E417,4))*12+VALUE(RIGHT(E417,2))-1</f>
        <v/>
      </c>
    </row>
    <row r="418">
      <c r="A418" t="inlineStr">
        <is>
          <t>Chihuido de la Sierra Negra</t>
        </is>
      </c>
      <c r="B418" t="inlineStr">
        <is>
          <t>Neuquina</t>
        </is>
      </c>
      <c r="C418" t="inlineStr">
        <is>
          <t>YPF S.A.</t>
        </is>
      </c>
      <c r="D418" t="inlineStr">
        <is>
          <t>no convencional</t>
        </is>
      </c>
      <c r="E418" t="inlineStr">
        <is>
          <t>2015-06</t>
        </is>
      </c>
      <c r="F418" t="n">
        <v>0</v>
      </c>
      <c r="G418" t="n">
        <v>0</v>
      </c>
      <c r="H418" t="n">
        <v>0</v>
      </c>
      <c r="I418">
        <f>DAY(EOMONTH(DATE(VALUE(LEFT(E418,4)),VALUE(RIGHT(E418,2)),1),0))</f>
        <v/>
      </c>
      <c r="J418">
        <f>VALUE(LEFT(E418,4))*12+VALUE(RIGHT(E418,2))-1</f>
        <v/>
      </c>
    </row>
    <row r="419">
      <c r="A419" t="inlineStr">
        <is>
          <t>Chihuido de la Sierra Negra</t>
        </is>
      </c>
      <c r="B419" t="inlineStr">
        <is>
          <t>Neuquina</t>
        </is>
      </c>
      <c r="C419" t="inlineStr">
        <is>
          <t>YPF S.A.</t>
        </is>
      </c>
      <c r="D419" t="inlineStr">
        <is>
          <t>convencional</t>
        </is>
      </c>
      <c r="E419" t="inlineStr">
        <is>
          <t>2015-07</t>
        </is>
      </c>
      <c r="F419" t="n">
        <v>38562.3</v>
      </c>
      <c r="G419" t="n">
        <v>1009334.7</v>
      </c>
      <c r="H419" t="n">
        <v>1255329.5</v>
      </c>
      <c r="I419">
        <f>DAY(EOMONTH(DATE(VALUE(LEFT(E419,4)),VALUE(RIGHT(E419,2)),1),0))</f>
        <v/>
      </c>
      <c r="J419">
        <f>VALUE(LEFT(E419,4))*12+VALUE(RIGHT(E419,2))-1</f>
        <v/>
      </c>
    </row>
    <row r="420">
      <c r="A420" t="inlineStr">
        <is>
          <t>Chihuido de la Sierra Negra</t>
        </is>
      </c>
      <c r="B420" t="inlineStr">
        <is>
          <t>Neuquina</t>
        </is>
      </c>
      <c r="C420" t="inlineStr">
        <is>
          <t>YPF S.A.</t>
        </is>
      </c>
      <c r="D420" t="inlineStr">
        <is>
          <t>no convencional</t>
        </is>
      </c>
      <c r="E420" t="inlineStr">
        <is>
          <t>2015-07</t>
        </is>
      </c>
      <c r="F420" t="n">
        <v>0</v>
      </c>
      <c r="G420" t="n">
        <v>0</v>
      </c>
      <c r="H420" t="n">
        <v>0</v>
      </c>
      <c r="I420">
        <f>DAY(EOMONTH(DATE(VALUE(LEFT(E420,4)),VALUE(RIGHT(E420,2)),1),0))</f>
        <v/>
      </c>
      <c r="J420">
        <f>VALUE(LEFT(E420,4))*12+VALUE(RIGHT(E420,2))-1</f>
        <v/>
      </c>
    </row>
    <row r="421">
      <c r="A421" t="inlineStr">
        <is>
          <t>Chihuido de la Sierra Negra</t>
        </is>
      </c>
      <c r="B421" t="inlineStr">
        <is>
          <t>Neuquina</t>
        </is>
      </c>
      <c r="C421" t="inlineStr">
        <is>
          <t>YPF S.A.</t>
        </is>
      </c>
      <c r="D421" t="inlineStr">
        <is>
          <t>convencional</t>
        </is>
      </c>
      <c r="E421" t="inlineStr">
        <is>
          <t>2015-08</t>
        </is>
      </c>
      <c r="F421" t="n">
        <v>37944.1</v>
      </c>
      <c r="G421" t="n">
        <v>1014340.6</v>
      </c>
      <c r="H421" t="n">
        <v>1255295.2</v>
      </c>
      <c r="I421">
        <f>DAY(EOMONTH(DATE(VALUE(LEFT(E421,4)),VALUE(RIGHT(E421,2)),1),0))</f>
        <v/>
      </c>
      <c r="J421">
        <f>VALUE(LEFT(E421,4))*12+VALUE(RIGHT(E421,2))-1</f>
        <v/>
      </c>
    </row>
    <row r="422">
      <c r="A422" t="inlineStr">
        <is>
          <t>Chihuido de la Sierra Negra</t>
        </is>
      </c>
      <c r="B422" t="inlineStr">
        <is>
          <t>Neuquina</t>
        </is>
      </c>
      <c r="C422" t="inlineStr">
        <is>
          <t>YPF S.A.</t>
        </is>
      </c>
      <c r="D422" t="inlineStr">
        <is>
          <t>no convencional</t>
        </is>
      </c>
      <c r="E422" t="inlineStr">
        <is>
          <t>2015-08</t>
        </is>
      </c>
      <c r="F422" t="n">
        <v>0</v>
      </c>
      <c r="G422" t="n">
        <v>0</v>
      </c>
      <c r="H422" t="n">
        <v>0</v>
      </c>
      <c r="I422">
        <f>DAY(EOMONTH(DATE(VALUE(LEFT(E422,4)),VALUE(RIGHT(E422,2)),1),0))</f>
        <v/>
      </c>
      <c r="J422">
        <f>VALUE(LEFT(E422,4))*12+VALUE(RIGHT(E422,2))-1</f>
        <v/>
      </c>
    </row>
    <row r="423">
      <c r="A423" t="inlineStr">
        <is>
          <t>Chihuido de la Sierra Negra</t>
        </is>
      </c>
      <c r="B423" t="inlineStr">
        <is>
          <t>Neuquina</t>
        </is>
      </c>
      <c r="C423" t="inlineStr">
        <is>
          <t>YPF S.A.</t>
        </is>
      </c>
      <c r="D423" t="inlineStr">
        <is>
          <t>convencional</t>
        </is>
      </c>
      <c r="E423" t="inlineStr">
        <is>
          <t>2015-09</t>
        </is>
      </c>
      <c r="F423" t="n">
        <v>36741.9</v>
      </c>
      <c r="G423" t="n">
        <v>973010.5</v>
      </c>
      <c r="H423" t="n">
        <v>1233231.8</v>
      </c>
      <c r="I423">
        <f>DAY(EOMONTH(DATE(VALUE(LEFT(E423,4)),VALUE(RIGHT(E423,2)),1),0))</f>
        <v/>
      </c>
      <c r="J423">
        <f>VALUE(LEFT(E423,4))*12+VALUE(RIGHT(E423,2))-1</f>
        <v/>
      </c>
    </row>
    <row r="424">
      <c r="A424" t="inlineStr">
        <is>
          <t>Chihuido de la Sierra Negra</t>
        </is>
      </c>
      <c r="B424" t="inlineStr">
        <is>
          <t>Neuquina</t>
        </is>
      </c>
      <c r="C424" t="inlineStr">
        <is>
          <t>YPF S.A.</t>
        </is>
      </c>
      <c r="D424" t="inlineStr">
        <is>
          <t>no convencional</t>
        </is>
      </c>
      <c r="E424" t="inlineStr">
        <is>
          <t>2015-09</t>
        </is>
      </c>
      <c r="F424" t="n">
        <v>0</v>
      </c>
      <c r="G424" t="n">
        <v>0</v>
      </c>
      <c r="H424" t="n">
        <v>0</v>
      </c>
      <c r="I424">
        <f>DAY(EOMONTH(DATE(VALUE(LEFT(E424,4)),VALUE(RIGHT(E424,2)),1),0))</f>
        <v/>
      </c>
      <c r="J424">
        <f>VALUE(LEFT(E424,4))*12+VALUE(RIGHT(E424,2))-1</f>
        <v/>
      </c>
    </row>
    <row r="425">
      <c r="A425" t="inlineStr">
        <is>
          <t>Chihuido de la Sierra Negra</t>
        </is>
      </c>
      <c r="B425" t="inlineStr">
        <is>
          <t>Neuquina</t>
        </is>
      </c>
      <c r="C425" t="inlineStr">
        <is>
          <t>YPF S.A.</t>
        </is>
      </c>
      <c r="D425" t="inlineStr">
        <is>
          <t>convencional</t>
        </is>
      </c>
      <c r="E425" t="inlineStr">
        <is>
          <t>2015-10</t>
        </is>
      </c>
      <c r="F425" t="n">
        <v>37572.6</v>
      </c>
      <c r="G425" t="n">
        <v>969098.9</v>
      </c>
      <c r="H425" t="n">
        <v>1243830.1</v>
      </c>
      <c r="I425">
        <f>DAY(EOMONTH(DATE(VALUE(LEFT(E425,4)),VALUE(RIGHT(E425,2)),1),0))</f>
        <v/>
      </c>
      <c r="J425">
        <f>VALUE(LEFT(E425,4))*12+VALUE(RIGHT(E425,2))-1</f>
        <v/>
      </c>
    </row>
    <row r="426">
      <c r="A426" t="inlineStr">
        <is>
          <t>Chihuido de la Sierra Negra</t>
        </is>
      </c>
      <c r="B426" t="inlineStr">
        <is>
          <t>Neuquina</t>
        </is>
      </c>
      <c r="C426" t="inlineStr">
        <is>
          <t>YPF S.A.</t>
        </is>
      </c>
      <c r="D426" t="inlineStr">
        <is>
          <t>no convencional</t>
        </is>
      </c>
      <c r="E426" t="inlineStr">
        <is>
          <t>2015-10</t>
        </is>
      </c>
      <c r="F426" t="n">
        <v>0</v>
      </c>
      <c r="G426" t="n">
        <v>0</v>
      </c>
      <c r="H426" t="n">
        <v>0</v>
      </c>
      <c r="I426">
        <f>DAY(EOMONTH(DATE(VALUE(LEFT(E426,4)),VALUE(RIGHT(E426,2)),1),0))</f>
        <v/>
      </c>
      <c r="J426">
        <f>VALUE(LEFT(E426,4))*12+VALUE(RIGHT(E426,2))-1</f>
        <v/>
      </c>
    </row>
    <row r="427">
      <c r="A427" t="inlineStr">
        <is>
          <t>Chihuido de la Sierra Negra</t>
        </is>
      </c>
      <c r="B427" t="inlineStr">
        <is>
          <t>Neuquina</t>
        </is>
      </c>
      <c r="C427" t="inlineStr">
        <is>
          <t>YPF S.A.</t>
        </is>
      </c>
      <c r="D427" t="inlineStr">
        <is>
          <t>convencional</t>
        </is>
      </c>
      <c r="E427" t="inlineStr">
        <is>
          <t>2015-11</t>
        </is>
      </c>
      <c r="F427" t="n">
        <v>34507.6</v>
      </c>
      <c r="G427" t="n">
        <v>925302.8</v>
      </c>
      <c r="H427" t="n">
        <v>1140834.4</v>
      </c>
      <c r="I427">
        <f>DAY(EOMONTH(DATE(VALUE(LEFT(E427,4)),VALUE(RIGHT(E427,2)),1),0))</f>
        <v/>
      </c>
      <c r="J427">
        <f>VALUE(LEFT(E427,4))*12+VALUE(RIGHT(E427,2))-1</f>
        <v/>
      </c>
    </row>
    <row r="428">
      <c r="A428" t="inlineStr">
        <is>
          <t>Chihuido de la Sierra Negra</t>
        </is>
      </c>
      <c r="B428" t="inlineStr">
        <is>
          <t>Neuquina</t>
        </is>
      </c>
      <c r="C428" t="inlineStr">
        <is>
          <t>YPF S.A.</t>
        </is>
      </c>
      <c r="D428" t="inlineStr">
        <is>
          <t>no convencional</t>
        </is>
      </c>
      <c r="E428" t="inlineStr">
        <is>
          <t>2015-11</t>
        </is>
      </c>
      <c r="F428" t="n">
        <v>0</v>
      </c>
      <c r="G428" t="n">
        <v>0</v>
      </c>
      <c r="H428" t="n">
        <v>0</v>
      </c>
      <c r="I428">
        <f>DAY(EOMONTH(DATE(VALUE(LEFT(E428,4)),VALUE(RIGHT(E428,2)),1),0))</f>
        <v/>
      </c>
      <c r="J428">
        <f>VALUE(LEFT(E428,4))*12+VALUE(RIGHT(E428,2))-1</f>
        <v/>
      </c>
    </row>
    <row r="429">
      <c r="A429" t="inlineStr">
        <is>
          <t>Chihuido de la Sierra Negra</t>
        </is>
      </c>
      <c r="B429" t="inlineStr">
        <is>
          <t>Neuquina</t>
        </is>
      </c>
      <c r="C429" t="inlineStr">
        <is>
          <t>YPF S.A.</t>
        </is>
      </c>
      <c r="D429" t="inlineStr">
        <is>
          <t>convencional</t>
        </is>
      </c>
      <c r="E429" t="inlineStr">
        <is>
          <t>2015-12</t>
        </is>
      </c>
      <c r="F429" t="n">
        <v>37036.5</v>
      </c>
      <c r="G429" t="n">
        <v>1001419.3</v>
      </c>
      <c r="H429" t="n">
        <v>1224303.3</v>
      </c>
      <c r="I429">
        <f>DAY(EOMONTH(DATE(VALUE(LEFT(E429,4)),VALUE(RIGHT(E429,2)),1),0))</f>
        <v/>
      </c>
      <c r="J429">
        <f>VALUE(LEFT(E429,4))*12+VALUE(RIGHT(E429,2))-1</f>
        <v/>
      </c>
    </row>
    <row r="430">
      <c r="A430" t="inlineStr">
        <is>
          <t>Chihuido de la Sierra Negra</t>
        </is>
      </c>
      <c r="B430" t="inlineStr">
        <is>
          <t>Neuquina</t>
        </is>
      </c>
      <c r="C430" t="inlineStr">
        <is>
          <t>YPF S.A.</t>
        </is>
      </c>
      <c r="D430" t="inlineStr">
        <is>
          <t>no convencional</t>
        </is>
      </c>
      <c r="E430" t="inlineStr">
        <is>
          <t>2015-12</t>
        </is>
      </c>
      <c r="F430" t="n">
        <v>0</v>
      </c>
      <c r="G430" t="n">
        <v>0</v>
      </c>
      <c r="H430" t="n">
        <v>0</v>
      </c>
      <c r="I430">
        <f>DAY(EOMONTH(DATE(VALUE(LEFT(E430,4)),VALUE(RIGHT(E430,2)),1),0))</f>
        <v/>
      </c>
      <c r="J430">
        <f>VALUE(LEFT(E430,4))*12+VALUE(RIGHT(E430,2))-1</f>
        <v/>
      </c>
    </row>
    <row r="431">
      <c r="A431" t="inlineStr">
        <is>
          <t>Chihuido de la Sierra Negra</t>
        </is>
      </c>
      <c r="B431" t="inlineStr">
        <is>
          <t>Neuquina</t>
        </is>
      </c>
      <c r="C431" t="inlineStr">
        <is>
          <t>YPF S.A.</t>
        </is>
      </c>
      <c r="D431" t="inlineStr">
        <is>
          <t>convencional</t>
        </is>
      </c>
      <c r="E431" t="inlineStr">
        <is>
          <t>2016-01</t>
        </is>
      </c>
      <c r="F431" t="n">
        <v>36475.7</v>
      </c>
      <c r="G431" t="n">
        <v>992711.9</v>
      </c>
      <c r="H431" t="n">
        <v>1191619.5</v>
      </c>
      <c r="I431">
        <f>DAY(EOMONTH(DATE(VALUE(LEFT(E431,4)),VALUE(RIGHT(E431,2)),1),0))</f>
        <v/>
      </c>
      <c r="J431">
        <f>VALUE(LEFT(E431,4))*12+VALUE(RIGHT(E431,2))-1</f>
        <v/>
      </c>
    </row>
    <row r="432">
      <c r="A432" t="inlineStr">
        <is>
          <t>Chihuido de la Sierra Negra</t>
        </is>
      </c>
      <c r="B432" t="inlineStr">
        <is>
          <t>Neuquina</t>
        </is>
      </c>
      <c r="C432" t="inlineStr">
        <is>
          <t>YPF S.A.</t>
        </is>
      </c>
      <c r="D432" t="inlineStr">
        <is>
          <t>no convencional</t>
        </is>
      </c>
      <c r="E432" t="inlineStr">
        <is>
          <t>2016-01</t>
        </is>
      </c>
      <c r="F432" t="n">
        <v>0</v>
      </c>
      <c r="G432" t="n">
        <v>0</v>
      </c>
      <c r="H432" t="n">
        <v>0</v>
      </c>
      <c r="I432">
        <f>DAY(EOMONTH(DATE(VALUE(LEFT(E432,4)),VALUE(RIGHT(E432,2)),1),0))</f>
        <v/>
      </c>
      <c r="J432">
        <f>VALUE(LEFT(E432,4))*12+VALUE(RIGHT(E432,2))-1</f>
        <v/>
      </c>
    </row>
    <row r="433">
      <c r="A433" t="inlineStr">
        <is>
          <t>Chihuido de la Sierra Negra</t>
        </is>
      </c>
      <c r="B433" t="inlineStr">
        <is>
          <t>Neuquina</t>
        </is>
      </c>
      <c r="C433" t="inlineStr">
        <is>
          <t>YPF S.A.</t>
        </is>
      </c>
      <c r="D433" t="inlineStr">
        <is>
          <t>convencional</t>
        </is>
      </c>
      <c r="E433" t="inlineStr">
        <is>
          <t>2016-02</t>
        </is>
      </c>
      <c r="F433" t="n">
        <v>33188.7</v>
      </c>
      <c r="G433" t="n">
        <v>910320.4</v>
      </c>
      <c r="H433" t="n">
        <v>1101265.4</v>
      </c>
      <c r="I433">
        <f>DAY(EOMONTH(DATE(VALUE(LEFT(E433,4)),VALUE(RIGHT(E433,2)),1),0))</f>
        <v/>
      </c>
      <c r="J433">
        <f>VALUE(LEFT(E433,4))*12+VALUE(RIGHT(E433,2))-1</f>
        <v/>
      </c>
    </row>
    <row r="434">
      <c r="A434" t="inlineStr">
        <is>
          <t>Chihuido de la Sierra Negra</t>
        </is>
      </c>
      <c r="B434" t="inlineStr">
        <is>
          <t>Neuquina</t>
        </is>
      </c>
      <c r="C434" t="inlineStr">
        <is>
          <t>YPF S.A.</t>
        </is>
      </c>
      <c r="D434" t="inlineStr">
        <is>
          <t>no convencional</t>
        </is>
      </c>
      <c r="E434" t="inlineStr">
        <is>
          <t>2016-02</t>
        </is>
      </c>
      <c r="F434" t="n">
        <v>0</v>
      </c>
      <c r="G434" t="n">
        <v>0</v>
      </c>
      <c r="H434" t="n">
        <v>0</v>
      </c>
      <c r="I434">
        <f>DAY(EOMONTH(DATE(VALUE(LEFT(E434,4)),VALUE(RIGHT(E434,2)),1),0))</f>
        <v/>
      </c>
      <c r="J434">
        <f>VALUE(LEFT(E434,4))*12+VALUE(RIGHT(E434,2))-1</f>
        <v/>
      </c>
    </row>
    <row r="435">
      <c r="A435" t="inlineStr">
        <is>
          <t>Chihuido de la Sierra Negra</t>
        </is>
      </c>
      <c r="B435" t="inlineStr">
        <is>
          <t>Neuquina</t>
        </is>
      </c>
      <c r="C435" t="inlineStr">
        <is>
          <t>YPF S.A.</t>
        </is>
      </c>
      <c r="D435" t="inlineStr">
        <is>
          <t>convencional</t>
        </is>
      </c>
      <c r="E435" t="inlineStr">
        <is>
          <t>2016-03</t>
        </is>
      </c>
      <c r="F435" t="n">
        <v>37218.9</v>
      </c>
      <c r="G435" t="n">
        <v>1017398.9</v>
      </c>
      <c r="H435" t="n">
        <v>1252257.2</v>
      </c>
      <c r="I435">
        <f>DAY(EOMONTH(DATE(VALUE(LEFT(E435,4)),VALUE(RIGHT(E435,2)),1),0))</f>
        <v/>
      </c>
      <c r="J435">
        <f>VALUE(LEFT(E435,4))*12+VALUE(RIGHT(E435,2))-1</f>
        <v/>
      </c>
    </row>
    <row r="436">
      <c r="A436" t="inlineStr">
        <is>
          <t>Chihuido de la Sierra Negra</t>
        </is>
      </c>
      <c r="B436" t="inlineStr">
        <is>
          <t>Neuquina</t>
        </is>
      </c>
      <c r="C436" t="inlineStr">
        <is>
          <t>YPF S.A.</t>
        </is>
      </c>
      <c r="D436" t="inlineStr">
        <is>
          <t>no convencional</t>
        </is>
      </c>
      <c r="E436" t="inlineStr">
        <is>
          <t>2016-03</t>
        </is>
      </c>
      <c r="F436" t="n">
        <v>0</v>
      </c>
      <c r="G436" t="n">
        <v>0</v>
      </c>
      <c r="H436" t="n">
        <v>0</v>
      </c>
      <c r="I436">
        <f>DAY(EOMONTH(DATE(VALUE(LEFT(E436,4)),VALUE(RIGHT(E436,2)),1),0))</f>
        <v/>
      </c>
      <c r="J436">
        <f>VALUE(LEFT(E436,4))*12+VALUE(RIGHT(E436,2))-1</f>
        <v/>
      </c>
    </row>
    <row r="437">
      <c r="A437" t="inlineStr">
        <is>
          <t>Chihuido de la Sierra Negra</t>
        </is>
      </c>
      <c r="B437" t="inlineStr">
        <is>
          <t>Neuquina</t>
        </is>
      </c>
      <c r="C437" t="inlineStr">
        <is>
          <t>YPF S.A.</t>
        </is>
      </c>
      <c r="D437" t="inlineStr">
        <is>
          <t>convencional</t>
        </is>
      </c>
      <c r="E437" t="inlineStr">
        <is>
          <t>2016-04</t>
        </is>
      </c>
      <c r="F437" t="n">
        <v>34895.6</v>
      </c>
      <c r="G437" t="n">
        <v>961655.4</v>
      </c>
      <c r="H437" t="n">
        <v>1176680.2</v>
      </c>
      <c r="I437">
        <f>DAY(EOMONTH(DATE(VALUE(LEFT(E437,4)),VALUE(RIGHT(E437,2)),1),0))</f>
        <v/>
      </c>
      <c r="J437">
        <f>VALUE(LEFT(E437,4))*12+VALUE(RIGHT(E437,2))-1</f>
        <v/>
      </c>
    </row>
    <row r="438">
      <c r="A438" t="inlineStr">
        <is>
          <t>Chihuido de la Sierra Negra</t>
        </is>
      </c>
      <c r="B438" t="inlineStr">
        <is>
          <t>Neuquina</t>
        </is>
      </c>
      <c r="C438" t="inlineStr">
        <is>
          <t>YPF S.A.</t>
        </is>
      </c>
      <c r="D438" t="inlineStr">
        <is>
          <t>no convencional</t>
        </is>
      </c>
      <c r="E438" t="inlineStr">
        <is>
          <t>2016-04</t>
        </is>
      </c>
      <c r="F438" t="n">
        <v>0</v>
      </c>
      <c r="G438" t="n">
        <v>0</v>
      </c>
      <c r="H438" t="n">
        <v>0</v>
      </c>
      <c r="I438">
        <f>DAY(EOMONTH(DATE(VALUE(LEFT(E438,4)),VALUE(RIGHT(E438,2)),1),0))</f>
        <v/>
      </c>
      <c r="J438">
        <f>VALUE(LEFT(E438,4))*12+VALUE(RIGHT(E438,2))-1</f>
        <v/>
      </c>
    </row>
    <row r="439">
      <c r="A439" t="inlineStr">
        <is>
          <t>Chihuido de la Sierra Negra</t>
        </is>
      </c>
      <c r="B439" t="inlineStr">
        <is>
          <t>Neuquina</t>
        </is>
      </c>
      <c r="C439" t="inlineStr">
        <is>
          <t>YPF S.A.</t>
        </is>
      </c>
      <c r="D439" t="inlineStr">
        <is>
          <t>convencional</t>
        </is>
      </c>
      <c r="E439" t="inlineStr">
        <is>
          <t>2016-05</t>
        </is>
      </c>
      <c r="F439" t="n">
        <v>35400.6</v>
      </c>
      <c r="G439" t="n">
        <v>979393</v>
      </c>
      <c r="H439" t="n">
        <v>1190109.4</v>
      </c>
      <c r="I439">
        <f>DAY(EOMONTH(DATE(VALUE(LEFT(E439,4)),VALUE(RIGHT(E439,2)),1),0))</f>
        <v/>
      </c>
      <c r="J439">
        <f>VALUE(LEFT(E439,4))*12+VALUE(RIGHT(E439,2))-1</f>
        <v/>
      </c>
    </row>
    <row r="440">
      <c r="A440" t="inlineStr">
        <is>
          <t>Chihuido de la Sierra Negra</t>
        </is>
      </c>
      <c r="B440" t="inlineStr">
        <is>
          <t>Neuquina</t>
        </is>
      </c>
      <c r="C440" t="inlineStr">
        <is>
          <t>YPF S.A.</t>
        </is>
      </c>
      <c r="D440" t="inlineStr">
        <is>
          <t>no convencional</t>
        </is>
      </c>
      <c r="E440" t="inlineStr">
        <is>
          <t>2016-05</t>
        </is>
      </c>
      <c r="F440" t="n">
        <v>0</v>
      </c>
      <c r="G440" t="n">
        <v>0</v>
      </c>
      <c r="H440" t="n">
        <v>0</v>
      </c>
      <c r="I440">
        <f>DAY(EOMONTH(DATE(VALUE(LEFT(E440,4)),VALUE(RIGHT(E440,2)),1),0))</f>
        <v/>
      </c>
      <c r="J440">
        <f>VALUE(LEFT(E440,4))*12+VALUE(RIGHT(E440,2))-1</f>
        <v/>
      </c>
    </row>
    <row r="441">
      <c r="A441" t="inlineStr">
        <is>
          <t>Chihuido de la Sierra Negra</t>
        </is>
      </c>
      <c r="B441" t="inlineStr">
        <is>
          <t>Neuquina</t>
        </is>
      </c>
      <c r="C441" t="inlineStr">
        <is>
          <t>YPF S.A.</t>
        </is>
      </c>
      <c r="D441" t="inlineStr">
        <is>
          <t>convencional</t>
        </is>
      </c>
      <c r="E441" t="inlineStr">
        <is>
          <t>2016-06</t>
        </is>
      </c>
      <c r="F441" t="n">
        <v>32063</v>
      </c>
      <c r="G441" t="n">
        <v>911210.2</v>
      </c>
      <c r="H441" t="n">
        <v>1099702.4</v>
      </c>
      <c r="I441">
        <f>DAY(EOMONTH(DATE(VALUE(LEFT(E441,4)),VALUE(RIGHT(E441,2)),1),0))</f>
        <v/>
      </c>
      <c r="J441">
        <f>VALUE(LEFT(E441,4))*12+VALUE(RIGHT(E441,2))-1</f>
        <v/>
      </c>
    </row>
    <row r="442">
      <c r="A442" t="inlineStr">
        <is>
          <t>Chihuido de la Sierra Negra</t>
        </is>
      </c>
      <c r="B442" t="inlineStr">
        <is>
          <t>Neuquina</t>
        </is>
      </c>
      <c r="C442" t="inlineStr">
        <is>
          <t>YPF S.A.</t>
        </is>
      </c>
      <c r="D442" t="inlineStr">
        <is>
          <t>no convencional</t>
        </is>
      </c>
      <c r="E442" t="inlineStr">
        <is>
          <t>2016-06</t>
        </is>
      </c>
      <c r="F442" t="n">
        <v>0</v>
      </c>
      <c r="G442" t="n">
        <v>0</v>
      </c>
      <c r="H442" t="n">
        <v>0</v>
      </c>
      <c r="I442">
        <f>DAY(EOMONTH(DATE(VALUE(LEFT(E442,4)),VALUE(RIGHT(E442,2)),1),0))</f>
        <v/>
      </c>
      <c r="J442">
        <f>VALUE(LEFT(E442,4))*12+VALUE(RIGHT(E442,2))-1</f>
        <v/>
      </c>
    </row>
    <row r="443">
      <c r="A443" t="inlineStr">
        <is>
          <t>Chihuido de la Sierra Negra</t>
        </is>
      </c>
      <c r="B443" t="inlineStr">
        <is>
          <t>Neuquina</t>
        </is>
      </c>
      <c r="C443" t="inlineStr">
        <is>
          <t>YPF S.A.</t>
        </is>
      </c>
      <c r="D443" t="inlineStr">
        <is>
          <t>convencional</t>
        </is>
      </c>
      <c r="E443" t="inlineStr">
        <is>
          <t>2016-07</t>
        </is>
      </c>
      <c r="F443" t="n">
        <v>34225.7</v>
      </c>
      <c r="G443" t="n">
        <v>984593.1</v>
      </c>
      <c r="H443" t="n">
        <v>1191048.8</v>
      </c>
      <c r="I443">
        <f>DAY(EOMONTH(DATE(VALUE(LEFT(E443,4)),VALUE(RIGHT(E443,2)),1),0))</f>
        <v/>
      </c>
      <c r="J443">
        <f>VALUE(LEFT(E443,4))*12+VALUE(RIGHT(E443,2))-1</f>
        <v/>
      </c>
    </row>
    <row r="444">
      <c r="A444" t="inlineStr">
        <is>
          <t>Chihuido de la Sierra Negra</t>
        </is>
      </c>
      <c r="B444" t="inlineStr">
        <is>
          <t>Neuquina</t>
        </is>
      </c>
      <c r="C444" t="inlineStr">
        <is>
          <t>YPF S.A.</t>
        </is>
      </c>
      <c r="D444" t="inlineStr">
        <is>
          <t>no convencional</t>
        </is>
      </c>
      <c r="E444" t="inlineStr">
        <is>
          <t>2016-07</t>
        </is>
      </c>
      <c r="F444" t="n">
        <v>0</v>
      </c>
      <c r="G444" t="n">
        <v>0</v>
      </c>
      <c r="H444" t="n">
        <v>0</v>
      </c>
      <c r="I444">
        <f>DAY(EOMONTH(DATE(VALUE(LEFT(E444,4)),VALUE(RIGHT(E444,2)),1),0))</f>
        <v/>
      </c>
      <c r="J444">
        <f>VALUE(LEFT(E444,4))*12+VALUE(RIGHT(E444,2))-1</f>
        <v/>
      </c>
    </row>
    <row r="445">
      <c r="A445" t="inlineStr">
        <is>
          <t>Chihuido de la Sierra Negra</t>
        </is>
      </c>
      <c r="B445" t="inlineStr">
        <is>
          <t>Neuquina</t>
        </is>
      </c>
      <c r="C445" t="inlineStr">
        <is>
          <t>YPF S.A.</t>
        </is>
      </c>
      <c r="D445" t="inlineStr">
        <is>
          <t>convencional</t>
        </is>
      </c>
      <c r="E445" t="inlineStr">
        <is>
          <t>2016-08</t>
        </is>
      </c>
      <c r="F445" t="n">
        <v>33330.1</v>
      </c>
      <c r="G445" t="n">
        <v>940364.1</v>
      </c>
      <c r="H445" t="n">
        <v>1167059</v>
      </c>
      <c r="I445">
        <f>DAY(EOMONTH(DATE(VALUE(LEFT(E445,4)),VALUE(RIGHT(E445,2)),1),0))</f>
        <v/>
      </c>
      <c r="J445">
        <f>VALUE(LEFT(E445,4))*12+VALUE(RIGHT(E445,2))-1</f>
        <v/>
      </c>
    </row>
    <row r="446">
      <c r="A446" t="inlineStr">
        <is>
          <t>Chihuido de la Sierra Negra</t>
        </is>
      </c>
      <c r="B446" t="inlineStr">
        <is>
          <t>Neuquina</t>
        </is>
      </c>
      <c r="C446" t="inlineStr">
        <is>
          <t>YPF S.A.</t>
        </is>
      </c>
      <c r="D446" t="inlineStr">
        <is>
          <t>no convencional</t>
        </is>
      </c>
      <c r="E446" t="inlineStr">
        <is>
          <t>2016-08</t>
        </is>
      </c>
      <c r="F446" t="n">
        <v>0</v>
      </c>
      <c r="G446" t="n">
        <v>0</v>
      </c>
      <c r="H446" t="n">
        <v>0</v>
      </c>
      <c r="I446">
        <f>DAY(EOMONTH(DATE(VALUE(LEFT(E446,4)),VALUE(RIGHT(E446,2)),1),0))</f>
        <v/>
      </c>
      <c r="J446">
        <f>VALUE(LEFT(E446,4))*12+VALUE(RIGHT(E446,2))-1</f>
        <v/>
      </c>
    </row>
    <row r="447">
      <c r="A447" t="inlineStr">
        <is>
          <t>Chihuido de la Sierra Negra</t>
        </is>
      </c>
      <c r="B447" t="inlineStr">
        <is>
          <t>Neuquina</t>
        </is>
      </c>
      <c r="C447" t="inlineStr">
        <is>
          <t>YPF S.A.</t>
        </is>
      </c>
      <c r="D447" t="inlineStr">
        <is>
          <t>convencional</t>
        </is>
      </c>
      <c r="E447" t="inlineStr">
        <is>
          <t>2016-09</t>
        </is>
      </c>
      <c r="F447" t="n">
        <v>31276.8</v>
      </c>
      <c r="G447" t="n">
        <v>834861.2</v>
      </c>
      <c r="H447" t="n">
        <v>1027023.9</v>
      </c>
      <c r="I447">
        <f>DAY(EOMONTH(DATE(VALUE(LEFT(E447,4)),VALUE(RIGHT(E447,2)),1),0))</f>
        <v/>
      </c>
      <c r="J447">
        <f>VALUE(LEFT(E447,4))*12+VALUE(RIGHT(E447,2))-1</f>
        <v/>
      </c>
    </row>
    <row r="448">
      <c r="A448" t="inlineStr">
        <is>
          <t>Chihuido de la Sierra Negra</t>
        </is>
      </c>
      <c r="B448" t="inlineStr">
        <is>
          <t>Neuquina</t>
        </is>
      </c>
      <c r="C448" t="inlineStr">
        <is>
          <t>YPF S.A.</t>
        </is>
      </c>
      <c r="D448" t="inlineStr">
        <is>
          <t>no convencional</t>
        </is>
      </c>
      <c r="E448" t="inlineStr">
        <is>
          <t>2016-09</t>
        </is>
      </c>
      <c r="F448" t="n">
        <v>0</v>
      </c>
      <c r="G448" t="n">
        <v>0</v>
      </c>
      <c r="H448" t="n">
        <v>0</v>
      </c>
      <c r="I448">
        <f>DAY(EOMONTH(DATE(VALUE(LEFT(E448,4)),VALUE(RIGHT(E448,2)),1),0))</f>
        <v/>
      </c>
      <c r="J448">
        <f>VALUE(LEFT(E448,4))*12+VALUE(RIGHT(E448,2))-1</f>
        <v/>
      </c>
    </row>
    <row r="449">
      <c r="A449" t="inlineStr">
        <is>
          <t>Chihuido de la Sierra Negra</t>
        </is>
      </c>
      <c r="B449" t="inlineStr">
        <is>
          <t>Neuquina</t>
        </is>
      </c>
      <c r="C449" t="inlineStr">
        <is>
          <t>YPF S.A.</t>
        </is>
      </c>
      <c r="D449" t="inlineStr">
        <is>
          <t>convencional</t>
        </is>
      </c>
      <c r="E449" t="inlineStr">
        <is>
          <t>2016-10</t>
        </is>
      </c>
      <c r="F449" t="n">
        <v>32350.3</v>
      </c>
      <c r="G449" t="n">
        <v>853654.9</v>
      </c>
      <c r="H449" t="n">
        <v>1053076.6</v>
      </c>
      <c r="I449">
        <f>DAY(EOMONTH(DATE(VALUE(LEFT(E449,4)),VALUE(RIGHT(E449,2)),1),0))</f>
        <v/>
      </c>
      <c r="J449">
        <f>VALUE(LEFT(E449,4))*12+VALUE(RIGHT(E449,2))-1</f>
        <v/>
      </c>
    </row>
    <row r="450">
      <c r="A450" t="inlineStr">
        <is>
          <t>Chihuido de la Sierra Negra</t>
        </is>
      </c>
      <c r="B450" t="inlineStr">
        <is>
          <t>Neuquina</t>
        </is>
      </c>
      <c r="C450" t="inlineStr">
        <is>
          <t>YPF S.A.</t>
        </is>
      </c>
      <c r="D450" t="inlineStr">
        <is>
          <t>no convencional</t>
        </is>
      </c>
      <c r="E450" t="inlineStr">
        <is>
          <t>2016-10</t>
        </is>
      </c>
      <c r="F450" t="n">
        <v>0</v>
      </c>
      <c r="G450" t="n">
        <v>0</v>
      </c>
      <c r="H450" t="n">
        <v>0</v>
      </c>
      <c r="I450">
        <f>DAY(EOMONTH(DATE(VALUE(LEFT(E450,4)),VALUE(RIGHT(E450,2)),1),0))</f>
        <v/>
      </c>
      <c r="J450">
        <f>VALUE(LEFT(E450,4))*12+VALUE(RIGHT(E450,2))-1</f>
        <v/>
      </c>
    </row>
    <row r="451">
      <c r="A451" t="inlineStr">
        <is>
          <t>Chihuido de la Sierra Negra</t>
        </is>
      </c>
      <c r="B451" t="inlineStr">
        <is>
          <t>Neuquina</t>
        </is>
      </c>
      <c r="C451" t="inlineStr">
        <is>
          <t>YPF S.A.</t>
        </is>
      </c>
      <c r="D451" t="inlineStr">
        <is>
          <t>convencional</t>
        </is>
      </c>
      <c r="E451" t="inlineStr">
        <is>
          <t>2016-11</t>
        </is>
      </c>
      <c r="F451" t="n">
        <v>30614.6</v>
      </c>
      <c r="G451" t="n">
        <v>803540.9</v>
      </c>
      <c r="H451" t="n">
        <v>1104599</v>
      </c>
      <c r="I451">
        <f>DAY(EOMONTH(DATE(VALUE(LEFT(E451,4)),VALUE(RIGHT(E451,2)),1),0))</f>
        <v/>
      </c>
      <c r="J451">
        <f>VALUE(LEFT(E451,4))*12+VALUE(RIGHT(E451,2))-1</f>
        <v/>
      </c>
    </row>
    <row r="452">
      <c r="A452" t="inlineStr">
        <is>
          <t>Chihuido de la Sierra Negra</t>
        </is>
      </c>
      <c r="B452" t="inlineStr">
        <is>
          <t>Neuquina</t>
        </is>
      </c>
      <c r="C452" t="inlineStr">
        <is>
          <t>YPF S.A.</t>
        </is>
      </c>
      <c r="D452" t="inlineStr">
        <is>
          <t>no convencional</t>
        </is>
      </c>
      <c r="E452" t="inlineStr">
        <is>
          <t>2016-11</t>
        </is>
      </c>
      <c r="F452" t="n">
        <v>0</v>
      </c>
      <c r="G452" t="n">
        <v>0</v>
      </c>
      <c r="H452" t="n">
        <v>0</v>
      </c>
      <c r="I452">
        <f>DAY(EOMONTH(DATE(VALUE(LEFT(E452,4)),VALUE(RIGHT(E452,2)),1),0))</f>
        <v/>
      </c>
      <c r="J452">
        <f>VALUE(LEFT(E452,4))*12+VALUE(RIGHT(E452,2))-1</f>
        <v/>
      </c>
    </row>
    <row r="453">
      <c r="A453" t="inlineStr">
        <is>
          <t>Chihuido de la Sierra Negra</t>
        </is>
      </c>
      <c r="B453" t="inlineStr">
        <is>
          <t>Neuquina</t>
        </is>
      </c>
      <c r="C453" t="inlineStr">
        <is>
          <t>YPF S.A.</t>
        </is>
      </c>
      <c r="D453" t="inlineStr">
        <is>
          <t>convencional</t>
        </is>
      </c>
      <c r="E453" t="inlineStr">
        <is>
          <t>2016-12</t>
        </is>
      </c>
      <c r="F453" t="n">
        <v>29030.4</v>
      </c>
      <c r="G453" t="n">
        <v>750244</v>
      </c>
      <c r="H453" t="n">
        <v>1011778.4</v>
      </c>
      <c r="I453">
        <f>DAY(EOMONTH(DATE(VALUE(LEFT(E453,4)),VALUE(RIGHT(E453,2)),1),0))</f>
        <v/>
      </c>
      <c r="J453">
        <f>VALUE(LEFT(E453,4))*12+VALUE(RIGHT(E453,2))-1</f>
        <v/>
      </c>
    </row>
    <row r="454">
      <c r="A454" t="inlineStr">
        <is>
          <t>Chihuido de la Sierra Negra</t>
        </is>
      </c>
      <c r="B454" t="inlineStr">
        <is>
          <t>Neuquina</t>
        </is>
      </c>
      <c r="C454" t="inlineStr">
        <is>
          <t>YPF S.A.</t>
        </is>
      </c>
      <c r="D454" t="inlineStr">
        <is>
          <t>no convencional</t>
        </is>
      </c>
      <c r="E454" t="inlineStr">
        <is>
          <t>2016-12</t>
        </is>
      </c>
      <c r="F454" t="n">
        <v>0</v>
      </c>
      <c r="G454" t="n">
        <v>0</v>
      </c>
      <c r="H454" t="n">
        <v>0</v>
      </c>
      <c r="I454">
        <f>DAY(EOMONTH(DATE(VALUE(LEFT(E454,4)),VALUE(RIGHT(E454,2)),1),0))</f>
        <v/>
      </c>
      <c r="J454">
        <f>VALUE(LEFT(E454,4))*12+VALUE(RIGHT(E454,2))-1</f>
        <v/>
      </c>
    </row>
    <row r="455">
      <c r="A455" t="inlineStr">
        <is>
          <t>Chihuido de la Sierra Negra</t>
        </is>
      </c>
      <c r="B455" t="inlineStr">
        <is>
          <t>Neuquina</t>
        </is>
      </c>
      <c r="C455" t="inlineStr">
        <is>
          <t>YPF S.A.</t>
        </is>
      </c>
      <c r="D455" t="inlineStr">
        <is>
          <t>convencional</t>
        </is>
      </c>
      <c r="E455" t="inlineStr">
        <is>
          <t>2017-01</t>
        </is>
      </c>
      <c r="F455" t="n">
        <v>29030.2</v>
      </c>
      <c r="G455" t="n">
        <v>762019.4</v>
      </c>
      <c r="H455" t="n">
        <v>1032654.9</v>
      </c>
      <c r="I455">
        <f>DAY(EOMONTH(DATE(VALUE(LEFT(E455,4)),VALUE(RIGHT(E455,2)),1),0))</f>
        <v/>
      </c>
      <c r="J455">
        <f>VALUE(LEFT(E455,4))*12+VALUE(RIGHT(E455,2))-1</f>
        <v/>
      </c>
    </row>
    <row r="456">
      <c r="A456" t="inlineStr">
        <is>
          <t>Chihuido de la Sierra Negra</t>
        </is>
      </c>
      <c r="B456" t="inlineStr">
        <is>
          <t>Neuquina</t>
        </is>
      </c>
      <c r="C456" t="inlineStr">
        <is>
          <t>YPF S.A.</t>
        </is>
      </c>
      <c r="D456" t="inlineStr">
        <is>
          <t>no convencional</t>
        </is>
      </c>
      <c r="E456" t="inlineStr">
        <is>
          <t>2017-01</t>
        </is>
      </c>
      <c r="F456" t="n">
        <v>0</v>
      </c>
      <c r="G456" t="n">
        <v>0</v>
      </c>
      <c r="H456" t="n">
        <v>0</v>
      </c>
      <c r="I456">
        <f>DAY(EOMONTH(DATE(VALUE(LEFT(E456,4)),VALUE(RIGHT(E456,2)),1),0))</f>
        <v/>
      </c>
      <c r="J456">
        <f>VALUE(LEFT(E456,4))*12+VALUE(RIGHT(E456,2))-1</f>
        <v/>
      </c>
    </row>
    <row r="457">
      <c r="A457" t="inlineStr">
        <is>
          <t>Chihuido de la Sierra Negra</t>
        </is>
      </c>
      <c r="B457" t="inlineStr">
        <is>
          <t>Neuquina</t>
        </is>
      </c>
      <c r="C457" t="inlineStr">
        <is>
          <t>YPF S.A.</t>
        </is>
      </c>
      <c r="D457" t="inlineStr">
        <is>
          <t>convencional</t>
        </is>
      </c>
      <c r="E457" t="inlineStr">
        <is>
          <t>2017-02</t>
        </is>
      </c>
      <c r="F457" t="n">
        <v>23559.2</v>
      </c>
      <c r="G457" t="n">
        <v>650921.7</v>
      </c>
      <c r="H457" t="n">
        <v>863088.3</v>
      </c>
      <c r="I457">
        <f>DAY(EOMONTH(DATE(VALUE(LEFT(E457,4)),VALUE(RIGHT(E457,2)),1),0))</f>
        <v/>
      </c>
      <c r="J457">
        <f>VALUE(LEFT(E457,4))*12+VALUE(RIGHT(E457,2))-1</f>
        <v/>
      </c>
    </row>
    <row r="458">
      <c r="A458" t="inlineStr">
        <is>
          <t>Chihuido de la Sierra Negra</t>
        </is>
      </c>
      <c r="B458" t="inlineStr">
        <is>
          <t>Neuquina</t>
        </is>
      </c>
      <c r="C458" t="inlineStr">
        <is>
          <t>YPF S.A.</t>
        </is>
      </c>
      <c r="D458" t="inlineStr">
        <is>
          <t>no convencional</t>
        </is>
      </c>
      <c r="E458" t="inlineStr">
        <is>
          <t>2017-02</t>
        </is>
      </c>
      <c r="F458" t="n">
        <v>0</v>
      </c>
      <c r="G458" t="n">
        <v>0</v>
      </c>
      <c r="H458" t="n">
        <v>0</v>
      </c>
      <c r="I458">
        <f>DAY(EOMONTH(DATE(VALUE(LEFT(E458,4)),VALUE(RIGHT(E458,2)),1),0))</f>
        <v/>
      </c>
      <c r="J458">
        <f>VALUE(LEFT(E458,4))*12+VALUE(RIGHT(E458,2))-1</f>
        <v/>
      </c>
    </row>
    <row r="459">
      <c r="A459" t="inlineStr">
        <is>
          <t>Chihuido de la Sierra Negra</t>
        </is>
      </c>
      <c r="B459" t="inlineStr">
        <is>
          <t>Neuquina</t>
        </is>
      </c>
      <c r="C459" t="inlineStr">
        <is>
          <t>YPF S.A.</t>
        </is>
      </c>
      <c r="D459" t="inlineStr">
        <is>
          <t>convencional</t>
        </is>
      </c>
      <c r="E459" t="inlineStr">
        <is>
          <t>2017-03</t>
        </is>
      </c>
      <c r="F459" t="n">
        <v>27785.9</v>
      </c>
      <c r="G459" t="n">
        <v>773017</v>
      </c>
      <c r="H459" t="n">
        <v>1013778</v>
      </c>
      <c r="I459">
        <f>DAY(EOMONTH(DATE(VALUE(LEFT(E459,4)),VALUE(RIGHT(E459,2)),1),0))</f>
        <v/>
      </c>
      <c r="J459">
        <f>VALUE(LEFT(E459,4))*12+VALUE(RIGHT(E459,2))-1</f>
        <v/>
      </c>
    </row>
    <row r="460">
      <c r="A460" t="inlineStr">
        <is>
          <t>Chihuido de la Sierra Negra</t>
        </is>
      </c>
      <c r="B460" t="inlineStr">
        <is>
          <t>Neuquina</t>
        </is>
      </c>
      <c r="C460" t="inlineStr">
        <is>
          <t>YPF S.A.</t>
        </is>
      </c>
      <c r="D460" t="inlineStr">
        <is>
          <t>no convencional</t>
        </is>
      </c>
      <c r="E460" t="inlineStr">
        <is>
          <t>2017-03</t>
        </is>
      </c>
      <c r="F460" t="n">
        <v>0</v>
      </c>
      <c r="G460" t="n">
        <v>0</v>
      </c>
      <c r="H460" t="n">
        <v>0</v>
      </c>
      <c r="I460">
        <f>DAY(EOMONTH(DATE(VALUE(LEFT(E460,4)),VALUE(RIGHT(E460,2)),1),0))</f>
        <v/>
      </c>
      <c r="J460">
        <f>VALUE(LEFT(E460,4))*12+VALUE(RIGHT(E460,2))-1</f>
        <v/>
      </c>
    </row>
    <row r="461">
      <c r="A461" t="inlineStr">
        <is>
          <t>Chihuido de la Sierra Negra</t>
        </is>
      </c>
      <c r="B461" t="inlineStr">
        <is>
          <t>Neuquina</t>
        </is>
      </c>
      <c r="C461" t="inlineStr">
        <is>
          <t>YPF S.A.</t>
        </is>
      </c>
      <c r="D461" t="inlineStr">
        <is>
          <t>convencional</t>
        </is>
      </c>
      <c r="E461" t="inlineStr">
        <is>
          <t>2017-04</t>
        </is>
      </c>
      <c r="F461" t="n">
        <v>23884</v>
      </c>
      <c r="G461" t="n">
        <v>665501.7</v>
      </c>
      <c r="H461" t="n">
        <v>889155.5</v>
      </c>
      <c r="I461">
        <f>DAY(EOMONTH(DATE(VALUE(LEFT(E461,4)),VALUE(RIGHT(E461,2)),1),0))</f>
        <v/>
      </c>
      <c r="J461">
        <f>VALUE(LEFT(E461,4))*12+VALUE(RIGHT(E461,2))-1</f>
        <v/>
      </c>
    </row>
    <row r="462">
      <c r="A462" t="inlineStr">
        <is>
          <t>Chihuido de la Sierra Negra</t>
        </is>
      </c>
      <c r="B462" t="inlineStr">
        <is>
          <t>Neuquina</t>
        </is>
      </c>
      <c r="C462" t="inlineStr">
        <is>
          <t>YPF S.A.</t>
        </is>
      </c>
      <c r="D462" t="inlineStr">
        <is>
          <t>no convencional</t>
        </is>
      </c>
      <c r="E462" t="inlineStr">
        <is>
          <t>2017-04</t>
        </is>
      </c>
      <c r="F462" t="n">
        <v>0</v>
      </c>
      <c r="G462" t="n">
        <v>0</v>
      </c>
      <c r="H462" t="n">
        <v>0</v>
      </c>
      <c r="I462">
        <f>DAY(EOMONTH(DATE(VALUE(LEFT(E462,4)),VALUE(RIGHT(E462,2)),1),0))</f>
        <v/>
      </c>
      <c r="J462">
        <f>VALUE(LEFT(E462,4))*12+VALUE(RIGHT(E462,2))-1</f>
        <v/>
      </c>
    </row>
    <row r="463">
      <c r="A463" t="inlineStr">
        <is>
          <t>Chihuido de la Sierra Negra</t>
        </is>
      </c>
      <c r="B463" t="inlineStr">
        <is>
          <t>Neuquina</t>
        </is>
      </c>
      <c r="C463" t="inlineStr">
        <is>
          <t>YPF S.A.</t>
        </is>
      </c>
      <c r="D463" t="inlineStr">
        <is>
          <t>convencional</t>
        </is>
      </c>
      <c r="E463" t="inlineStr">
        <is>
          <t>2017-05</t>
        </is>
      </c>
      <c r="F463" t="n">
        <v>24593.5</v>
      </c>
      <c r="G463" t="n">
        <v>701333</v>
      </c>
      <c r="H463" t="n">
        <v>930260.1</v>
      </c>
      <c r="I463">
        <f>DAY(EOMONTH(DATE(VALUE(LEFT(E463,4)),VALUE(RIGHT(E463,2)),1),0))</f>
        <v/>
      </c>
      <c r="J463">
        <f>VALUE(LEFT(E463,4))*12+VALUE(RIGHT(E463,2))-1</f>
        <v/>
      </c>
    </row>
    <row r="464">
      <c r="A464" t="inlineStr">
        <is>
          <t>Chihuido de la Sierra Negra</t>
        </is>
      </c>
      <c r="B464" t="inlineStr">
        <is>
          <t>Neuquina</t>
        </is>
      </c>
      <c r="C464" t="inlineStr">
        <is>
          <t>YPF S.A.</t>
        </is>
      </c>
      <c r="D464" t="inlineStr">
        <is>
          <t>no convencional</t>
        </is>
      </c>
      <c r="E464" t="inlineStr">
        <is>
          <t>2017-05</t>
        </is>
      </c>
      <c r="F464" t="n">
        <v>0</v>
      </c>
      <c r="G464" t="n">
        <v>0</v>
      </c>
      <c r="H464" t="n">
        <v>0</v>
      </c>
      <c r="I464">
        <f>DAY(EOMONTH(DATE(VALUE(LEFT(E464,4)),VALUE(RIGHT(E464,2)),1),0))</f>
        <v/>
      </c>
      <c r="J464">
        <f>VALUE(LEFT(E464,4))*12+VALUE(RIGHT(E464,2))-1</f>
        <v/>
      </c>
    </row>
    <row r="465">
      <c r="A465" t="inlineStr">
        <is>
          <t>Chihuido de la Sierra Negra</t>
        </is>
      </c>
      <c r="B465" t="inlineStr">
        <is>
          <t>Neuquina</t>
        </is>
      </c>
      <c r="C465" t="inlineStr">
        <is>
          <t>YPF S.A.</t>
        </is>
      </c>
      <c r="D465" t="inlineStr">
        <is>
          <t>convencional</t>
        </is>
      </c>
      <c r="E465" t="inlineStr">
        <is>
          <t>2017-06</t>
        </is>
      </c>
      <c r="F465" t="n">
        <v>27192</v>
      </c>
      <c r="G465" t="n">
        <v>749351.9</v>
      </c>
      <c r="H465" t="n">
        <v>999461</v>
      </c>
      <c r="I465">
        <f>DAY(EOMONTH(DATE(VALUE(LEFT(E465,4)),VALUE(RIGHT(E465,2)),1),0))</f>
        <v/>
      </c>
      <c r="J465">
        <f>VALUE(LEFT(E465,4))*12+VALUE(RIGHT(E465,2))-1</f>
        <v/>
      </c>
    </row>
    <row r="466">
      <c r="A466" t="inlineStr">
        <is>
          <t>Chihuido de la Sierra Negra</t>
        </is>
      </c>
      <c r="B466" t="inlineStr">
        <is>
          <t>Neuquina</t>
        </is>
      </c>
      <c r="C466" t="inlineStr">
        <is>
          <t>YPF S.A.</t>
        </is>
      </c>
      <c r="D466" t="inlineStr">
        <is>
          <t>no convencional</t>
        </is>
      </c>
      <c r="E466" t="inlineStr">
        <is>
          <t>2017-06</t>
        </is>
      </c>
      <c r="F466" t="n">
        <v>0</v>
      </c>
      <c r="G466" t="n">
        <v>0</v>
      </c>
      <c r="H466" t="n">
        <v>0</v>
      </c>
      <c r="I466">
        <f>DAY(EOMONTH(DATE(VALUE(LEFT(E466,4)),VALUE(RIGHT(E466,2)),1),0))</f>
        <v/>
      </c>
      <c r="J466">
        <f>VALUE(LEFT(E466,4))*12+VALUE(RIGHT(E466,2))-1</f>
        <v/>
      </c>
    </row>
    <row r="467">
      <c r="A467" t="inlineStr">
        <is>
          <t>Chihuido de la Sierra Negra</t>
        </is>
      </c>
      <c r="B467" t="inlineStr">
        <is>
          <t>Neuquina</t>
        </is>
      </c>
      <c r="C467" t="inlineStr">
        <is>
          <t>YPF S.A.</t>
        </is>
      </c>
      <c r="D467" t="inlineStr">
        <is>
          <t>convencional</t>
        </is>
      </c>
      <c r="E467" t="inlineStr">
        <is>
          <t>2017-07</t>
        </is>
      </c>
      <c r="F467" t="n">
        <v>28083.4</v>
      </c>
      <c r="G467" t="n">
        <v>764030.3</v>
      </c>
      <c r="H467" t="n">
        <v>1034581</v>
      </c>
      <c r="I467">
        <f>DAY(EOMONTH(DATE(VALUE(LEFT(E467,4)),VALUE(RIGHT(E467,2)),1),0))</f>
        <v/>
      </c>
      <c r="J467">
        <f>VALUE(LEFT(E467,4))*12+VALUE(RIGHT(E467,2))-1</f>
        <v/>
      </c>
    </row>
    <row r="468">
      <c r="A468" t="inlineStr">
        <is>
          <t>Chihuido de la Sierra Negra</t>
        </is>
      </c>
      <c r="B468" t="inlineStr">
        <is>
          <t>Neuquina</t>
        </is>
      </c>
      <c r="C468" t="inlineStr">
        <is>
          <t>YPF S.A.</t>
        </is>
      </c>
      <c r="D468" t="inlineStr">
        <is>
          <t>no convencional</t>
        </is>
      </c>
      <c r="E468" t="inlineStr">
        <is>
          <t>2017-07</t>
        </is>
      </c>
      <c r="F468" t="n">
        <v>0</v>
      </c>
      <c r="G468" t="n">
        <v>0</v>
      </c>
      <c r="H468" t="n">
        <v>0</v>
      </c>
      <c r="I468">
        <f>DAY(EOMONTH(DATE(VALUE(LEFT(E468,4)),VALUE(RIGHT(E468,2)),1),0))</f>
        <v/>
      </c>
      <c r="J468">
        <f>VALUE(LEFT(E468,4))*12+VALUE(RIGHT(E468,2))-1</f>
        <v/>
      </c>
    </row>
    <row r="469">
      <c r="A469" t="inlineStr">
        <is>
          <t>Chihuido de la Sierra Negra</t>
        </is>
      </c>
      <c r="B469" t="inlineStr">
        <is>
          <t>Neuquina</t>
        </is>
      </c>
      <c r="C469" t="inlineStr">
        <is>
          <t>YPF S.A.</t>
        </is>
      </c>
      <c r="D469" t="inlineStr">
        <is>
          <t>convencional</t>
        </is>
      </c>
      <c r="E469" t="inlineStr">
        <is>
          <t>2017-08</t>
        </is>
      </c>
      <c r="F469" t="n">
        <v>27638.3</v>
      </c>
      <c r="G469" t="n">
        <v>732796.3</v>
      </c>
      <c r="H469" t="n">
        <v>1029951.6</v>
      </c>
      <c r="I469">
        <f>DAY(EOMONTH(DATE(VALUE(LEFT(E469,4)),VALUE(RIGHT(E469,2)),1),0))</f>
        <v/>
      </c>
      <c r="J469">
        <f>VALUE(LEFT(E469,4))*12+VALUE(RIGHT(E469,2))-1</f>
        <v/>
      </c>
    </row>
    <row r="470">
      <c r="A470" t="inlineStr">
        <is>
          <t>Chihuido de la Sierra Negra</t>
        </is>
      </c>
      <c r="B470" t="inlineStr">
        <is>
          <t>Neuquina</t>
        </is>
      </c>
      <c r="C470" t="inlineStr">
        <is>
          <t>YPF S.A.</t>
        </is>
      </c>
      <c r="D470" t="inlineStr">
        <is>
          <t>no convencional</t>
        </is>
      </c>
      <c r="E470" t="inlineStr">
        <is>
          <t>2017-08</t>
        </is>
      </c>
      <c r="F470" t="n">
        <v>0</v>
      </c>
      <c r="G470" t="n">
        <v>0</v>
      </c>
      <c r="H470" t="n">
        <v>0</v>
      </c>
      <c r="I470">
        <f>DAY(EOMONTH(DATE(VALUE(LEFT(E470,4)),VALUE(RIGHT(E470,2)),1),0))</f>
        <v/>
      </c>
      <c r="J470">
        <f>VALUE(LEFT(E470,4))*12+VALUE(RIGHT(E470,2))-1</f>
        <v/>
      </c>
    </row>
    <row r="471">
      <c r="A471" t="inlineStr">
        <is>
          <t>Chihuido de la Sierra Negra</t>
        </is>
      </c>
      <c r="B471" t="inlineStr">
        <is>
          <t>Neuquina</t>
        </is>
      </c>
      <c r="C471" t="inlineStr">
        <is>
          <t>YPF S.A.</t>
        </is>
      </c>
      <c r="D471" t="inlineStr">
        <is>
          <t>convencional</t>
        </is>
      </c>
      <c r="E471" t="inlineStr">
        <is>
          <t>2017-09</t>
        </is>
      </c>
      <c r="F471" t="n">
        <v>27239.8</v>
      </c>
      <c r="G471" t="n">
        <v>711919.1</v>
      </c>
      <c r="H471" t="n">
        <v>988805.9</v>
      </c>
      <c r="I471">
        <f>DAY(EOMONTH(DATE(VALUE(LEFT(E471,4)),VALUE(RIGHT(E471,2)),1),0))</f>
        <v/>
      </c>
      <c r="J471">
        <f>VALUE(LEFT(E471,4))*12+VALUE(RIGHT(E471,2))-1</f>
        <v/>
      </c>
    </row>
    <row r="472">
      <c r="A472" t="inlineStr">
        <is>
          <t>Chihuido de la Sierra Negra</t>
        </is>
      </c>
      <c r="B472" t="inlineStr">
        <is>
          <t>Neuquina</t>
        </is>
      </c>
      <c r="C472" t="inlineStr">
        <is>
          <t>YPF S.A.</t>
        </is>
      </c>
      <c r="D472" t="inlineStr">
        <is>
          <t>no convencional</t>
        </is>
      </c>
      <c r="E472" t="inlineStr">
        <is>
          <t>2017-09</t>
        </is>
      </c>
      <c r="F472" t="n">
        <v>0</v>
      </c>
      <c r="G472" t="n">
        <v>0</v>
      </c>
      <c r="H472" t="n">
        <v>0</v>
      </c>
      <c r="I472">
        <f>DAY(EOMONTH(DATE(VALUE(LEFT(E472,4)),VALUE(RIGHT(E472,2)),1),0))</f>
        <v/>
      </c>
      <c r="J472">
        <f>VALUE(LEFT(E472,4))*12+VALUE(RIGHT(E472,2))-1</f>
        <v/>
      </c>
    </row>
    <row r="473">
      <c r="A473" t="inlineStr">
        <is>
          <t>Chihuido de la Sierra Negra</t>
        </is>
      </c>
      <c r="B473" t="inlineStr">
        <is>
          <t>Neuquina</t>
        </is>
      </c>
      <c r="C473" t="inlineStr">
        <is>
          <t>YPF S.A.</t>
        </is>
      </c>
      <c r="D473" t="inlineStr">
        <is>
          <t>convencional</t>
        </is>
      </c>
      <c r="E473" t="inlineStr">
        <is>
          <t>2017-10</t>
        </is>
      </c>
      <c r="F473" t="n">
        <v>27201.7</v>
      </c>
      <c r="G473" t="n">
        <v>739988.5</v>
      </c>
      <c r="H473" t="n">
        <v>1049908.2</v>
      </c>
      <c r="I473">
        <f>DAY(EOMONTH(DATE(VALUE(LEFT(E473,4)),VALUE(RIGHT(E473,2)),1),0))</f>
        <v/>
      </c>
      <c r="J473">
        <f>VALUE(LEFT(E473,4))*12+VALUE(RIGHT(E473,2))-1</f>
        <v/>
      </c>
    </row>
    <row r="474">
      <c r="A474" t="inlineStr">
        <is>
          <t>Chihuido de la Sierra Negra</t>
        </is>
      </c>
      <c r="B474" t="inlineStr">
        <is>
          <t>Neuquina</t>
        </is>
      </c>
      <c r="C474" t="inlineStr">
        <is>
          <t>YPF S.A.</t>
        </is>
      </c>
      <c r="D474" t="inlineStr">
        <is>
          <t>no convencional</t>
        </is>
      </c>
      <c r="E474" t="inlineStr">
        <is>
          <t>2017-10</t>
        </is>
      </c>
      <c r="F474" t="n">
        <v>0</v>
      </c>
      <c r="G474" t="n">
        <v>0</v>
      </c>
      <c r="H474" t="n">
        <v>0</v>
      </c>
      <c r="I474">
        <f>DAY(EOMONTH(DATE(VALUE(LEFT(E474,4)),VALUE(RIGHT(E474,2)),1),0))</f>
        <v/>
      </c>
      <c r="J474">
        <f>VALUE(LEFT(E474,4))*12+VALUE(RIGHT(E474,2))-1</f>
        <v/>
      </c>
    </row>
    <row r="475">
      <c r="A475" t="inlineStr">
        <is>
          <t>Chihuido de la Sierra Negra</t>
        </is>
      </c>
      <c r="B475" t="inlineStr">
        <is>
          <t>Neuquina</t>
        </is>
      </c>
      <c r="C475" t="inlineStr">
        <is>
          <t>YPF S.A.</t>
        </is>
      </c>
      <c r="D475" t="inlineStr">
        <is>
          <t>convencional</t>
        </is>
      </c>
      <c r="E475" t="inlineStr">
        <is>
          <t>2017-11</t>
        </is>
      </c>
      <c r="F475" t="n">
        <v>26047.2</v>
      </c>
      <c r="G475" t="n">
        <v>730909.4</v>
      </c>
      <c r="H475" t="n">
        <v>982575.9</v>
      </c>
      <c r="I475">
        <f>DAY(EOMONTH(DATE(VALUE(LEFT(E475,4)),VALUE(RIGHT(E475,2)),1),0))</f>
        <v/>
      </c>
      <c r="J475">
        <f>VALUE(LEFT(E475,4))*12+VALUE(RIGHT(E475,2))-1</f>
        <v/>
      </c>
    </row>
    <row r="476">
      <c r="A476" t="inlineStr">
        <is>
          <t>Chihuido de la Sierra Negra</t>
        </is>
      </c>
      <c r="B476" t="inlineStr">
        <is>
          <t>Neuquina</t>
        </is>
      </c>
      <c r="C476" t="inlineStr">
        <is>
          <t>YPF S.A.</t>
        </is>
      </c>
      <c r="D476" t="inlineStr">
        <is>
          <t>no convencional</t>
        </is>
      </c>
      <c r="E476" t="inlineStr">
        <is>
          <t>2017-11</t>
        </is>
      </c>
      <c r="F476" t="n">
        <v>0</v>
      </c>
      <c r="G476" t="n">
        <v>0</v>
      </c>
      <c r="H476" t="n">
        <v>0</v>
      </c>
      <c r="I476">
        <f>DAY(EOMONTH(DATE(VALUE(LEFT(E476,4)),VALUE(RIGHT(E476,2)),1),0))</f>
        <v/>
      </c>
      <c r="J476">
        <f>VALUE(LEFT(E476,4))*12+VALUE(RIGHT(E476,2))-1</f>
        <v/>
      </c>
    </row>
    <row r="477">
      <c r="A477" t="inlineStr">
        <is>
          <t>Chihuido de la Sierra Negra</t>
        </is>
      </c>
      <c r="B477" t="inlineStr">
        <is>
          <t>Neuquina</t>
        </is>
      </c>
      <c r="C477" t="inlineStr">
        <is>
          <t>YPF S.A.</t>
        </is>
      </c>
      <c r="D477" t="inlineStr">
        <is>
          <t>convencional</t>
        </is>
      </c>
      <c r="E477" t="inlineStr">
        <is>
          <t>2017-12</t>
        </is>
      </c>
      <c r="F477" t="n">
        <v>25533.2</v>
      </c>
      <c r="G477" t="n">
        <v>747219.3</v>
      </c>
      <c r="H477" t="n">
        <v>1004228.7</v>
      </c>
      <c r="I477">
        <f>DAY(EOMONTH(DATE(VALUE(LEFT(E477,4)),VALUE(RIGHT(E477,2)),1),0))</f>
        <v/>
      </c>
      <c r="J477">
        <f>VALUE(LEFT(E477,4))*12+VALUE(RIGHT(E477,2))-1</f>
        <v/>
      </c>
    </row>
    <row r="478">
      <c r="A478" t="inlineStr">
        <is>
          <t>Chihuido de la Sierra Negra</t>
        </is>
      </c>
      <c r="B478" t="inlineStr">
        <is>
          <t>Neuquina</t>
        </is>
      </c>
      <c r="C478" t="inlineStr">
        <is>
          <t>YPF S.A.</t>
        </is>
      </c>
      <c r="D478" t="inlineStr">
        <is>
          <t>no convencional</t>
        </is>
      </c>
      <c r="E478" t="inlineStr">
        <is>
          <t>2017-12</t>
        </is>
      </c>
      <c r="F478" t="n">
        <v>0</v>
      </c>
      <c r="G478" t="n">
        <v>0</v>
      </c>
      <c r="H478" t="n">
        <v>0</v>
      </c>
      <c r="I478">
        <f>DAY(EOMONTH(DATE(VALUE(LEFT(E478,4)),VALUE(RIGHT(E478,2)),1),0))</f>
        <v/>
      </c>
      <c r="J478">
        <f>VALUE(LEFT(E478,4))*12+VALUE(RIGHT(E478,2))-1</f>
        <v/>
      </c>
    </row>
    <row r="479">
      <c r="A479" t="inlineStr">
        <is>
          <t>Chihuido de la Sierra Negra</t>
        </is>
      </c>
      <c r="B479" t="inlineStr">
        <is>
          <t>Neuquina</t>
        </is>
      </c>
      <c r="C479" t="inlineStr">
        <is>
          <t>YPF S.A.</t>
        </is>
      </c>
      <c r="D479" t="inlineStr">
        <is>
          <t>convencional</t>
        </is>
      </c>
      <c r="E479" t="inlineStr">
        <is>
          <t>2018-01</t>
        </is>
      </c>
      <c r="F479" t="n">
        <v>26505.5</v>
      </c>
      <c r="G479" t="n">
        <v>814059.2</v>
      </c>
      <c r="H479" t="n">
        <v>1094613.2</v>
      </c>
      <c r="I479">
        <f>DAY(EOMONTH(DATE(VALUE(LEFT(E479,4)),VALUE(RIGHT(E479,2)),1),0))</f>
        <v/>
      </c>
      <c r="J479">
        <f>VALUE(LEFT(E479,4))*12+VALUE(RIGHT(E479,2))-1</f>
        <v/>
      </c>
    </row>
    <row r="480">
      <c r="A480" t="inlineStr">
        <is>
          <t>Chihuido de la Sierra Negra</t>
        </is>
      </c>
      <c r="B480" t="inlineStr">
        <is>
          <t>Neuquina</t>
        </is>
      </c>
      <c r="C480" t="inlineStr">
        <is>
          <t>YPF S.A.</t>
        </is>
      </c>
      <c r="D480" t="inlineStr">
        <is>
          <t>no convencional</t>
        </is>
      </c>
      <c r="E480" t="inlineStr">
        <is>
          <t>2018-01</t>
        </is>
      </c>
      <c r="F480" t="n">
        <v>0</v>
      </c>
      <c r="G480" t="n">
        <v>0</v>
      </c>
      <c r="H480" t="n">
        <v>0</v>
      </c>
      <c r="I480">
        <f>DAY(EOMONTH(DATE(VALUE(LEFT(E480,4)),VALUE(RIGHT(E480,2)),1),0))</f>
        <v/>
      </c>
      <c r="J480">
        <f>VALUE(LEFT(E480,4))*12+VALUE(RIGHT(E480,2))-1</f>
        <v/>
      </c>
    </row>
    <row r="481">
      <c r="A481" t="inlineStr">
        <is>
          <t>Chihuido de la Sierra Negra</t>
        </is>
      </c>
      <c r="B481" t="inlineStr">
        <is>
          <t>Neuquina</t>
        </is>
      </c>
      <c r="C481" t="inlineStr">
        <is>
          <t>YPF S.A.</t>
        </is>
      </c>
      <c r="D481" t="inlineStr">
        <is>
          <t>convencional</t>
        </is>
      </c>
      <c r="E481" t="inlineStr">
        <is>
          <t>2018-02</t>
        </is>
      </c>
      <c r="F481" t="n">
        <v>24204.3</v>
      </c>
      <c r="G481" t="n">
        <v>748106.8</v>
      </c>
      <c r="H481" t="n">
        <v>968059.6</v>
      </c>
      <c r="I481">
        <f>DAY(EOMONTH(DATE(VALUE(LEFT(E481,4)),VALUE(RIGHT(E481,2)),1),0))</f>
        <v/>
      </c>
      <c r="J481">
        <f>VALUE(LEFT(E481,4))*12+VALUE(RIGHT(E481,2))-1</f>
        <v/>
      </c>
    </row>
    <row r="482">
      <c r="A482" t="inlineStr">
        <is>
          <t>Chihuido de la Sierra Negra</t>
        </is>
      </c>
      <c r="B482" t="inlineStr">
        <is>
          <t>Neuquina</t>
        </is>
      </c>
      <c r="C482" t="inlineStr">
        <is>
          <t>YPF S.A.</t>
        </is>
      </c>
      <c r="D482" t="inlineStr">
        <is>
          <t>no convencional</t>
        </is>
      </c>
      <c r="E482" t="inlineStr">
        <is>
          <t>2018-02</t>
        </is>
      </c>
      <c r="F482" t="n">
        <v>0</v>
      </c>
      <c r="G482" t="n">
        <v>0</v>
      </c>
      <c r="H482" t="n">
        <v>0</v>
      </c>
      <c r="I482">
        <f>DAY(EOMONTH(DATE(VALUE(LEFT(E482,4)),VALUE(RIGHT(E482,2)),1),0))</f>
        <v/>
      </c>
      <c r="J482">
        <f>VALUE(LEFT(E482,4))*12+VALUE(RIGHT(E482,2))-1</f>
        <v/>
      </c>
    </row>
    <row r="483">
      <c r="A483" t="inlineStr">
        <is>
          <t>Chihuido de la Sierra Negra</t>
        </is>
      </c>
      <c r="B483" t="inlineStr">
        <is>
          <t>Neuquina</t>
        </is>
      </c>
      <c r="C483" t="inlineStr">
        <is>
          <t>YPF S.A.</t>
        </is>
      </c>
      <c r="D483" t="inlineStr">
        <is>
          <t>convencional</t>
        </is>
      </c>
      <c r="E483" t="inlineStr">
        <is>
          <t>2018-03</t>
        </is>
      </c>
      <c r="F483" t="n">
        <v>26934.2</v>
      </c>
      <c r="G483" t="n">
        <v>819701</v>
      </c>
      <c r="H483" t="n">
        <v>1050430.6</v>
      </c>
      <c r="I483">
        <f>DAY(EOMONTH(DATE(VALUE(LEFT(E483,4)),VALUE(RIGHT(E483,2)),1),0))</f>
        <v/>
      </c>
      <c r="J483">
        <f>VALUE(LEFT(E483,4))*12+VALUE(RIGHT(E483,2))-1</f>
        <v/>
      </c>
    </row>
    <row r="484">
      <c r="A484" t="inlineStr">
        <is>
          <t>Chihuido de la Sierra Negra</t>
        </is>
      </c>
      <c r="B484" t="inlineStr">
        <is>
          <t>Neuquina</t>
        </is>
      </c>
      <c r="C484" t="inlineStr">
        <is>
          <t>YPF S.A.</t>
        </is>
      </c>
      <c r="D484" t="inlineStr">
        <is>
          <t>no convencional</t>
        </is>
      </c>
      <c r="E484" t="inlineStr">
        <is>
          <t>2018-03</t>
        </is>
      </c>
      <c r="F484" t="n">
        <v>0</v>
      </c>
      <c r="G484" t="n">
        <v>0</v>
      </c>
      <c r="H484" t="n">
        <v>0</v>
      </c>
      <c r="I484">
        <f>DAY(EOMONTH(DATE(VALUE(LEFT(E484,4)),VALUE(RIGHT(E484,2)),1),0))</f>
        <v/>
      </c>
      <c r="J484">
        <f>VALUE(LEFT(E484,4))*12+VALUE(RIGHT(E484,2))-1</f>
        <v/>
      </c>
    </row>
    <row r="485">
      <c r="A485" t="inlineStr">
        <is>
          <t>Chihuido de la Sierra Negra</t>
        </is>
      </c>
      <c r="B485" t="inlineStr">
        <is>
          <t>Neuquina</t>
        </is>
      </c>
      <c r="C485" t="inlineStr">
        <is>
          <t>YPF S.A.</t>
        </is>
      </c>
      <c r="D485" t="inlineStr">
        <is>
          <t>convencional</t>
        </is>
      </c>
      <c r="E485" t="inlineStr">
        <is>
          <t>2018-04</t>
        </is>
      </c>
      <c r="F485" t="n">
        <v>26083.7</v>
      </c>
      <c r="G485" t="n">
        <v>779837.2</v>
      </c>
      <c r="H485" t="n">
        <v>1020938.4</v>
      </c>
      <c r="I485">
        <f>DAY(EOMONTH(DATE(VALUE(LEFT(E485,4)),VALUE(RIGHT(E485,2)),1),0))</f>
        <v/>
      </c>
      <c r="J485">
        <f>VALUE(LEFT(E485,4))*12+VALUE(RIGHT(E485,2))-1</f>
        <v/>
      </c>
    </row>
    <row r="486">
      <c r="A486" t="inlineStr">
        <is>
          <t>Chihuido de la Sierra Negra</t>
        </is>
      </c>
      <c r="B486" t="inlineStr">
        <is>
          <t>Neuquina</t>
        </is>
      </c>
      <c r="C486" t="inlineStr">
        <is>
          <t>YPF S.A.</t>
        </is>
      </c>
      <c r="D486" t="inlineStr">
        <is>
          <t>no convencional</t>
        </is>
      </c>
      <c r="E486" t="inlineStr">
        <is>
          <t>2018-04</t>
        </is>
      </c>
      <c r="F486" t="n">
        <v>0</v>
      </c>
      <c r="G486" t="n">
        <v>0</v>
      </c>
      <c r="H486" t="n">
        <v>0</v>
      </c>
      <c r="I486">
        <f>DAY(EOMONTH(DATE(VALUE(LEFT(E486,4)),VALUE(RIGHT(E486,2)),1),0))</f>
        <v/>
      </c>
      <c r="J486">
        <f>VALUE(LEFT(E486,4))*12+VALUE(RIGHT(E486,2))-1</f>
        <v/>
      </c>
    </row>
    <row r="487">
      <c r="A487" t="inlineStr">
        <is>
          <t>Chihuido de la Sierra Negra</t>
        </is>
      </c>
      <c r="B487" t="inlineStr">
        <is>
          <t>Neuquina</t>
        </is>
      </c>
      <c r="C487" t="inlineStr">
        <is>
          <t>YPF S.A.</t>
        </is>
      </c>
      <c r="D487" t="inlineStr">
        <is>
          <t>convencional</t>
        </is>
      </c>
      <c r="E487" t="inlineStr">
        <is>
          <t>2018-05</t>
        </is>
      </c>
      <c r="F487" t="n">
        <v>26906.1</v>
      </c>
      <c r="G487" t="n">
        <v>818720.1</v>
      </c>
      <c r="H487" t="n">
        <v>1064333.5</v>
      </c>
      <c r="I487">
        <f>DAY(EOMONTH(DATE(VALUE(LEFT(E487,4)),VALUE(RIGHT(E487,2)),1),0))</f>
        <v/>
      </c>
      <c r="J487">
        <f>VALUE(LEFT(E487,4))*12+VALUE(RIGHT(E487,2))-1</f>
        <v/>
      </c>
    </row>
    <row r="488">
      <c r="A488" t="inlineStr">
        <is>
          <t>Chihuido de la Sierra Negra</t>
        </is>
      </c>
      <c r="B488" t="inlineStr">
        <is>
          <t>Neuquina</t>
        </is>
      </c>
      <c r="C488" t="inlineStr">
        <is>
          <t>YPF S.A.</t>
        </is>
      </c>
      <c r="D488" t="inlineStr">
        <is>
          <t>no convencional</t>
        </is>
      </c>
      <c r="E488" t="inlineStr">
        <is>
          <t>2018-05</t>
        </is>
      </c>
      <c r="F488" t="n">
        <v>0</v>
      </c>
      <c r="G488" t="n">
        <v>0</v>
      </c>
      <c r="H488" t="n">
        <v>0</v>
      </c>
      <c r="I488">
        <f>DAY(EOMONTH(DATE(VALUE(LEFT(E488,4)),VALUE(RIGHT(E488,2)),1),0))</f>
        <v/>
      </c>
      <c r="J488">
        <f>VALUE(LEFT(E488,4))*12+VALUE(RIGHT(E488,2))-1</f>
        <v/>
      </c>
    </row>
    <row r="489">
      <c r="A489" t="inlineStr">
        <is>
          <t>Chihuido de la Sierra Negra</t>
        </is>
      </c>
      <c r="B489" t="inlineStr">
        <is>
          <t>Neuquina</t>
        </is>
      </c>
      <c r="C489" t="inlineStr">
        <is>
          <t>YPF S.A.</t>
        </is>
      </c>
      <c r="D489" t="inlineStr">
        <is>
          <t>convencional</t>
        </is>
      </c>
      <c r="E489" t="inlineStr">
        <is>
          <t>2018-06</t>
        </is>
      </c>
      <c r="F489" t="n">
        <v>25499.1</v>
      </c>
      <c r="G489" t="n">
        <v>783706</v>
      </c>
      <c r="H489" t="n">
        <v>1006929.7</v>
      </c>
      <c r="I489">
        <f>DAY(EOMONTH(DATE(VALUE(LEFT(E489,4)),VALUE(RIGHT(E489,2)),1),0))</f>
        <v/>
      </c>
      <c r="J489">
        <f>VALUE(LEFT(E489,4))*12+VALUE(RIGHT(E489,2))-1</f>
        <v/>
      </c>
    </row>
    <row r="490">
      <c r="A490" t="inlineStr">
        <is>
          <t>Chihuido de la Sierra Negra</t>
        </is>
      </c>
      <c r="B490" t="inlineStr">
        <is>
          <t>Neuquina</t>
        </is>
      </c>
      <c r="C490" t="inlineStr">
        <is>
          <t>YPF S.A.</t>
        </is>
      </c>
      <c r="D490" t="inlineStr">
        <is>
          <t>no convencional</t>
        </is>
      </c>
      <c r="E490" t="inlineStr">
        <is>
          <t>2018-06</t>
        </is>
      </c>
      <c r="F490" t="n">
        <v>0</v>
      </c>
      <c r="G490" t="n">
        <v>0</v>
      </c>
      <c r="H490" t="n">
        <v>0</v>
      </c>
      <c r="I490">
        <f>DAY(EOMONTH(DATE(VALUE(LEFT(E490,4)),VALUE(RIGHT(E490,2)),1),0))</f>
        <v/>
      </c>
      <c r="J490">
        <f>VALUE(LEFT(E490,4))*12+VALUE(RIGHT(E490,2))-1</f>
        <v/>
      </c>
    </row>
    <row r="491">
      <c r="A491" t="inlineStr">
        <is>
          <t>Chihuido de la Sierra Negra</t>
        </is>
      </c>
      <c r="B491" t="inlineStr">
        <is>
          <t>Neuquina</t>
        </is>
      </c>
      <c r="C491" t="inlineStr">
        <is>
          <t>YPF S.A.</t>
        </is>
      </c>
      <c r="D491" t="inlineStr">
        <is>
          <t>convencional</t>
        </is>
      </c>
      <c r="E491" t="inlineStr">
        <is>
          <t>2018-07</t>
        </is>
      </c>
      <c r="F491" t="n">
        <v>25069.4</v>
      </c>
      <c r="G491" t="n">
        <v>820641.7</v>
      </c>
      <c r="H491" t="n">
        <v>1091859.5</v>
      </c>
      <c r="I491">
        <f>DAY(EOMONTH(DATE(VALUE(LEFT(E491,4)),VALUE(RIGHT(E491,2)),1),0))</f>
        <v/>
      </c>
      <c r="J491">
        <f>VALUE(LEFT(E491,4))*12+VALUE(RIGHT(E491,2))-1</f>
        <v/>
      </c>
    </row>
    <row r="492">
      <c r="A492" t="inlineStr">
        <is>
          <t>Chihuido de la Sierra Negra</t>
        </is>
      </c>
      <c r="B492" t="inlineStr">
        <is>
          <t>Neuquina</t>
        </is>
      </c>
      <c r="C492" t="inlineStr">
        <is>
          <t>YPF S.A.</t>
        </is>
      </c>
      <c r="D492" t="inlineStr">
        <is>
          <t>no convencional</t>
        </is>
      </c>
      <c r="E492" t="inlineStr">
        <is>
          <t>2018-07</t>
        </is>
      </c>
      <c r="F492" t="n">
        <v>0</v>
      </c>
      <c r="G492" t="n">
        <v>0</v>
      </c>
      <c r="H492" t="n">
        <v>0</v>
      </c>
      <c r="I492">
        <f>DAY(EOMONTH(DATE(VALUE(LEFT(E492,4)),VALUE(RIGHT(E492,2)),1),0))</f>
        <v/>
      </c>
      <c r="J492">
        <f>VALUE(LEFT(E492,4))*12+VALUE(RIGHT(E492,2))-1</f>
        <v/>
      </c>
    </row>
    <row r="493">
      <c r="A493" t="inlineStr">
        <is>
          <t>Chihuido de la Sierra Negra</t>
        </is>
      </c>
      <c r="B493" t="inlineStr">
        <is>
          <t>Neuquina</t>
        </is>
      </c>
      <c r="C493" t="inlineStr">
        <is>
          <t>YPF S.A.</t>
        </is>
      </c>
      <c r="D493" t="inlineStr">
        <is>
          <t>convencional</t>
        </is>
      </c>
      <c r="E493" t="inlineStr">
        <is>
          <t>2018-08</t>
        </is>
      </c>
      <c r="F493" t="n">
        <v>25165.2</v>
      </c>
      <c r="G493" t="n">
        <v>801788.5</v>
      </c>
      <c r="H493" t="n">
        <v>1065046.8</v>
      </c>
      <c r="I493">
        <f>DAY(EOMONTH(DATE(VALUE(LEFT(E493,4)),VALUE(RIGHT(E493,2)),1),0))</f>
        <v/>
      </c>
      <c r="J493">
        <f>VALUE(LEFT(E493,4))*12+VALUE(RIGHT(E493,2))-1</f>
        <v/>
      </c>
    </row>
    <row r="494">
      <c r="A494" t="inlineStr">
        <is>
          <t>Chihuido de la Sierra Negra</t>
        </is>
      </c>
      <c r="B494" t="inlineStr">
        <is>
          <t>Neuquina</t>
        </is>
      </c>
      <c r="C494" t="inlineStr">
        <is>
          <t>YPF S.A.</t>
        </is>
      </c>
      <c r="D494" t="inlineStr">
        <is>
          <t>no convencional</t>
        </is>
      </c>
      <c r="E494" t="inlineStr">
        <is>
          <t>2018-08</t>
        </is>
      </c>
      <c r="F494" t="n">
        <v>0</v>
      </c>
      <c r="G494" t="n">
        <v>0</v>
      </c>
      <c r="H494" t="n">
        <v>0</v>
      </c>
      <c r="I494">
        <f>DAY(EOMONTH(DATE(VALUE(LEFT(E494,4)),VALUE(RIGHT(E494,2)),1),0))</f>
        <v/>
      </c>
      <c r="J494">
        <f>VALUE(LEFT(E494,4))*12+VALUE(RIGHT(E494,2))-1</f>
        <v/>
      </c>
    </row>
    <row r="495">
      <c r="A495" t="inlineStr">
        <is>
          <t>Chihuido de la Sierra Negra</t>
        </is>
      </c>
      <c r="B495" t="inlineStr">
        <is>
          <t>Neuquina</t>
        </is>
      </c>
      <c r="C495" t="inlineStr">
        <is>
          <t>YPF S.A.</t>
        </is>
      </c>
      <c r="D495" t="inlineStr">
        <is>
          <t>convencional</t>
        </is>
      </c>
      <c r="E495" t="inlineStr">
        <is>
          <t>2018-09</t>
        </is>
      </c>
      <c r="F495" t="n">
        <v>24141.9</v>
      </c>
      <c r="G495" t="n">
        <v>759883.3</v>
      </c>
      <c r="H495" t="n">
        <v>1013719.7</v>
      </c>
      <c r="I495">
        <f>DAY(EOMONTH(DATE(VALUE(LEFT(E495,4)),VALUE(RIGHT(E495,2)),1),0))</f>
        <v/>
      </c>
      <c r="J495">
        <f>VALUE(LEFT(E495,4))*12+VALUE(RIGHT(E495,2))-1</f>
        <v/>
      </c>
    </row>
    <row r="496">
      <c r="A496" t="inlineStr">
        <is>
          <t>Chihuido de la Sierra Negra</t>
        </is>
      </c>
      <c r="B496" t="inlineStr">
        <is>
          <t>Neuquina</t>
        </is>
      </c>
      <c r="C496" t="inlineStr">
        <is>
          <t>YPF S.A.</t>
        </is>
      </c>
      <c r="D496" t="inlineStr">
        <is>
          <t>no convencional</t>
        </is>
      </c>
      <c r="E496" t="inlineStr">
        <is>
          <t>2018-09</t>
        </is>
      </c>
      <c r="F496" t="n">
        <v>0</v>
      </c>
      <c r="G496" t="n">
        <v>0</v>
      </c>
      <c r="H496" t="n">
        <v>0</v>
      </c>
      <c r="I496">
        <f>DAY(EOMONTH(DATE(VALUE(LEFT(E496,4)),VALUE(RIGHT(E496,2)),1),0))</f>
        <v/>
      </c>
      <c r="J496">
        <f>VALUE(LEFT(E496,4))*12+VALUE(RIGHT(E496,2))-1</f>
        <v/>
      </c>
    </row>
    <row r="497">
      <c r="A497" t="inlineStr">
        <is>
          <t>Chihuido de la Sierra Negra</t>
        </is>
      </c>
      <c r="B497" t="inlineStr">
        <is>
          <t>Neuquina</t>
        </is>
      </c>
      <c r="C497" t="inlineStr">
        <is>
          <t>YPF S.A.</t>
        </is>
      </c>
      <c r="D497" t="inlineStr">
        <is>
          <t>convencional</t>
        </is>
      </c>
      <c r="E497" t="inlineStr">
        <is>
          <t>2018-10</t>
        </is>
      </c>
      <c r="F497" t="n">
        <v>24477.6</v>
      </c>
      <c r="G497" t="n">
        <v>788282.5</v>
      </c>
      <c r="H497" t="n">
        <v>1061972.6</v>
      </c>
      <c r="I497">
        <f>DAY(EOMONTH(DATE(VALUE(LEFT(E497,4)),VALUE(RIGHT(E497,2)),1),0))</f>
        <v/>
      </c>
      <c r="J497">
        <f>VALUE(LEFT(E497,4))*12+VALUE(RIGHT(E497,2))-1</f>
        <v/>
      </c>
    </row>
    <row r="498">
      <c r="A498" t="inlineStr">
        <is>
          <t>Chihuido de la Sierra Negra</t>
        </is>
      </c>
      <c r="B498" t="inlineStr">
        <is>
          <t>Neuquina</t>
        </is>
      </c>
      <c r="C498" t="inlineStr">
        <is>
          <t>YPF S.A.</t>
        </is>
      </c>
      <c r="D498" t="inlineStr">
        <is>
          <t>no convencional</t>
        </is>
      </c>
      <c r="E498" t="inlineStr">
        <is>
          <t>2018-10</t>
        </is>
      </c>
      <c r="F498" t="n">
        <v>0</v>
      </c>
      <c r="G498" t="n">
        <v>0</v>
      </c>
      <c r="H498" t="n">
        <v>0</v>
      </c>
      <c r="I498">
        <f>DAY(EOMONTH(DATE(VALUE(LEFT(E498,4)),VALUE(RIGHT(E498,2)),1),0))</f>
        <v/>
      </c>
      <c r="J498">
        <f>VALUE(LEFT(E498,4))*12+VALUE(RIGHT(E498,2))-1</f>
        <v/>
      </c>
    </row>
    <row r="499">
      <c r="A499" t="inlineStr">
        <is>
          <t>Chihuido de la Sierra Negra</t>
        </is>
      </c>
      <c r="B499" t="inlineStr">
        <is>
          <t>Neuquina</t>
        </is>
      </c>
      <c r="C499" t="inlineStr">
        <is>
          <t>YPF S.A.</t>
        </is>
      </c>
      <c r="D499" t="inlineStr">
        <is>
          <t>convencional</t>
        </is>
      </c>
      <c r="E499" t="inlineStr">
        <is>
          <t>2018-11</t>
        </is>
      </c>
      <c r="F499" t="n">
        <v>22749.7</v>
      </c>
      <c r="G499" t="n">
        <v>765814</v>
      </c>
      <c r="H499" t="n">
        <v>1009504</v>
      </c>
      <c r="I499">
        <f>DAY(EOMONTH(DATE(VALUE(LEFT(E499,4)),VALUE(RIGHT(E499,2)),1),0))</f>
        <v/>
      </c>
      <c r="J499">
        <f>VALUE(LEFT(E499,4))*12+VALUE(RIGHT(E499,2))-1</f>
        <v/>
      </c>
    </row>
    <row r="500">
      <c r="A500" t="inlineStr">
        <is>
          <t>Chihuido de la Sierra Negra</t>
        </is>
      </c>
      <c r="B500" t="inlineStr">
        <is>
          <t>Neuquina</t>
        </is>
      </c>
      <c r="C500" t="inlineStr">
        <is>
          <t>YPF S.A.</t>
        </is>
      </c>
      <c r="D500" t="inlineStr">
        <is>
          <t>no convencional</t>
        </is>
      </c>
      <c r="E500" t="inlineStr">
        <is>
          <t>2018-11</t>
        </is>
      </c>
      <c r="F500" t="n">
        <v>0</v>
      </c>
      <c r="G500" t="n">
        <v>0</v>
      </c>
      <c r="H500" t="n">
        <v>0</v>
      </c>
      <c r="I500">
        <f>DAY(EOMONTH(DATE(VALUE(LEFT(E500,4)),VALUE(RIGHT(E500,2)),1),0))</f>
        <v/>
      </c>
      <c r="J500">
        <f>VALUE(LEFT(E500,4))*12+VALUE(RIGHT(E500,2))-1</f>
        <v/>
      </c>
    </row>
    <row r="501">
      <c r="A501" t="inlineStr">
        <is>
          <t>Chihuido de la Sierra Negra</t>
        </is>
      </c>
      <c r="B501" t="inlineStr">
        <is>
          <t>Neuquina</t>
        </is>
      </c>
      <c r="C501" t="inlineStr">
        <is>
          <t>YPF S.A.</t>
        </is>
      </c>
      <c r="D501" t="inlineStr">
        <is>
          <t>convencional</t>
        </is>
      </c>
      <c r="E501" t="inlineStr">
        <is>
          <t>2018-12</t>
        </is>
      </c>
      <c r="F501" t="n">
        <v>23570.9</v>
      </c>
      <c r="G501" t="n">
        <v>782140.4</v>
      </c>
      <c r="H501" t="n">
        <v>1039864.1</v>
      </c>
      <c r="I501">
        <f>DAY(EOMONTH(DATE(VALUE(LEFT(E501,4)),VALUE(RIGHT(E501,2)),1),0))</f>
        <v/>
      </c>
      <c r="J501">
        <f>VALUE(LEFT(E501,4))*12+VALUE(RIGHT(E501,2))-1</f>
        <v/>
      </c>
    </row>
    <row r="502">
      <c r="A502" t="inlineStr">
        <is>
          <t>Chihuido de la Sierra Negra</t>
        </is>
      </c>
      <c r="B502" t="inlineStr">
        <is>
          <t>Neuquina</t>
        </is>
      </c>
      <c r="C502" t="inlineStr">
        <is>
          <t>YPF S.A.</t>
        </is>
      </c>
      <c r="D502" t="inlineStr">
        <is>
          <t>no convencional</t>
        </is>
      </c>
      <c r="E502" t="inlineStr">
        <is>
          <t>2018-12</t>
        </is>
      </c>
      <c r="F502" t="n">
        <v>0</v>
      </c>
      <c r="G502" t="n">
        <v>0</v>
      </c>
      <c r="H502" t="n">
        <v>0</v>
      </c>
      <c r="I502">
        <f>DAY(EOMONTH(DATE(VALUE(LEFT(E502,4)),VALUE(RIGHT(E502,2)),1),0))</f>
        <v/>
      </c>
      <c r="J502">
        <f>VALUE(LEFT(E502,4))*12+VALUE(RIGHT(E502,2))-1</f>
        <v/>
      </c>
    </row>
    <row r="503">
      <c r="A503" t="inlineStr">
        <is>
          <t>Chihuido de la Sierra Negra</t>
        </is>
      </c>
      <c r="B503" t="inlineStr">
        <is>
          <t>Neuquina</t>
        </is>
      </c>
      <c r="C503" t="inlineStr">
        <is>
          <t>YPF S.A.</t>
        </is>
      </c>
      <c r="D503" t="inlineStr">
        <is>
          <t>convencional</t>
        </is>
      </c>
      <c r="E503" t="inlineStr">
        <is>
          <t>2019-01</t>
        </is>
      </c>
      <c r="F503" t="n">
        <v>23448.9</v>
      </c>
      <c r="G503" t="n">
        <v>786544.4</v>
      </c>
      <c r="H503" t="n">
        <v>1031682.4</v>
      </c>
      <c r="I503">
        <f>DAY(EOMONTH(DATE(VALUE(LEFT(E503,4)),VALUE(RIGHT(E503,2)),1),0))</f>
        <v/>
      </c>
      <c r="J503">
        <f>VALUE(LEFT(E503,4))*12+VALUE(RIGHT(E503,2))-1</f>
        <v/>
      </c>
    </row>
    <row r="504">
      <c r="A504" t="inlineStr">
        <is>
          <t>Chihuido de la Sierra Negra</t>
        </is>
      </c>
      <c r="B504" t="inlineStr">
        <is>
          <t>Neuquina</t>
        </is>
      </c>
      <c r="C504" t="inlineStr">
        <is>
          <t>YPF S.A.</t>
        </is>
      </c>
      <c r="D504" t="inlineStr">
        <is>
          <t>no convencional</t>
        </is>
      </c>
      <c r="E504" t="inlineStr">
        <is>
          <t>2019-01</t>
        </is>
      </c>
      <c r="F504" t="n">
        <v>0</v>
      </c>
      <c r="G504" t="n">
        <v>0</v>
      </c>
      <c r="H504" t="n">
        <v>0</v>
      </c>
      <c r="I504">
        <f>DAY(EOMONTH(DATE(VALUE(LEFT(E504,4)),VALUE(RIGHT(E504,2)),1),0))</f>
        <v/>
      </c>
      <c r="J504">
        <f>VALUE(LEFT(E504,4))*12+VALUE(RIGHT(E504,2))-1</f>
        <v/>
      </c>
    </row>
    <row r="505">
      <c r="A505" t="inlineStr">
        <is>
          <t>Chihuido de la Sierra Negra</t>
        </is>
      </c>
      <c r="B505" t="inlineStr">
        <is>
          <t>Neuquina</t>
        </is>
      </c>
      <c r="C505" t="inlineStr">
        <is>
          <t>YPF S.A.</t>
        </is>
      </c>
      <c r="D505" t="inlineStr">
        <is>
          <t>convencional</t>
        </is>
      </c>
      <c r="E505" t="inlineStr">
        <is>
          <t>2019-02</t>
        </is>
      </c>
      <c r="F505" t="n">
        <v>21764.6</v>
      </c>
      <c r="G505" t="n">
        <v>721583.1</v>
      </c>
      <c r="H505" t="n">
        <v>935223.7</v>
      </c>
      <c r="I505">
        <f>DAY(EOMONTH(DATE(VALUE(LEFT(E505,4)),VALUE(RIGHT(E505,2)),1),0))</f>
        <v/>
      </c>
      <c r="J505">
        <f>VALUE(LEFT(E505,4))*12+VALUE(RIGHT(E505,2))-1</f>
        <v/>
      </c>
    </row>
    <row r="506">
      <c r="A506" t="inlineStr">
        <is>
          <t>Chihuido de la Sierra Negra</t>
        </is>
      </c>
      <c r="B506" t="inlineStr">
        <is>
          <t>Neuquina</t>
        </is>
      </c>
      <c r="C506" t="inlineStr">
        <is>
          <t>YPF S.A.</t>
        </is>
      </c>
      <c r="D506" t="inlineStr">
        <is>
          <t>no convencional</t>
        </is>
      </c>
      <c r="E506" t="inlineStr">
        <is>
          <t>2019-02</t>
        </is>
      </c>
      <c r="F506" t="n">
        <v>0</v>
      </c>
      <c r="G506" t="n">
        <v>0</v>
      </c>
      <c r="H506" t="n">
        <v>0</v>
      </c>
      <c r="I506">
        <f>DAY(EOMONTH(DATE(VALUE(LEFT(E506,4)),VALUE(RIGHT(E506,2)),1),0))</f>
        <v/>
      </c>
      <c r="J506">
        <f>VALUE(LEFT(E506,4))*12+VALUE(RIGHT(E506,2))-1</f>
        <v/>
      </c>
    </row>
    <row r="507">
      <c r="A507" t="inlineStr">
        <is>
          <t>Chihuido de la Sierra Negra</t>
        </is>
      </c>
      <c r="B507" t="inlineStr">
        <is>
          <t>Neuquina</t>
        </is>
      </c>
      <c r="C507" t="inlineStr">
        <is>
          <t>YPF S.A.</t>
        </is>
      </c>
      <c r="D507" t="inlineStr">
        <is>
          <t>convencional</t>
        </is>
      </c>
      <c r="E507" t="inlineStr">
        <is>
          <t>2019-03</t>
        </is>
      </c>
      <c r="F507" t="n">
        <v>23348.6</v>
      </c>
      <c r="G507" t="n">
        <v>778428.6</v>
      </c>
      <c r="H507" t="n">
        <v>1030527.5</v>
      </c>
      <c r="I507">
        <f>DAY(EOMONTH(DATE(VALUE(LEFT(E507,4)),VALUE(RIGHT(E507,2)),1),0))</f>
        <v/>
      </c>
      <c r="J507">
        <f>VALUE(LEFT(E507,4))*12+VALUE(RIGHT(E507,2))-1</f>
        <v/>
      </c>
    </row>
    <row r="508">
      <c r="A508" t="inlineStr">
        <is>
          <t>Chihuido de la Sierra Negra</t>
        </is>
      </c>
      <c r="B508" t="inlineStr">
        <is>
          <t>Neuquina</t>
        </is>
      </c>
      <c r="C508" t="inlineStr">
        <is>
          <t>YPF S.A.</t>
        </is>
      </c>
      <c r="D508" t="inlineStr">
        <is>
          <t>no convencional</t>
        </is>
      </c>
      <c r="E508" t="inlineStr">
        <is>
          <t>2019-03</t>
        </is>
      </c>
      <c r="F508" t="n">
        <v>0</v>
      </c>
      <c r="G508" t="n">
        <v>0</v>
      </c>
      <c r="H508" t="n">
        <v>0</v>
      </c>
      <c r="I508">
        <f>DAY(EOMONTH(DATE(VALUE(LEFT(E508,4)),VALUE(RIGHT(E508,2)),1),0))</f>
        <v/>
      </c>
      <c r="J508">
        <f>VALUE(LEFT(E508,4))*12+VALUE(RIGHT(E508,2))-1</f>
        <v/>
      </c>
    </row>
    <row r="509">
      <c r="A509" t="inlineStr">
        <is>
          <t>Chihuido de la Sierra Negra</t>
        </is>
      </c>
      <c r="B509" t="inlineStr">
        <is>
          <t>Neuquina</t>
        </is>
      </c>
      <c r="C509" t="inlineStr">
        <is>
          <t>YPF S.A.</t>
        </is>
      </c>
      <c r="D509" t="inlineStr">
        <is>
          <t>convencional</t>
        </is>
      </c>
      <c r="E509" t="inlineStr">
        <is>
          <t>2019-04</t>
        </is>
      </c>
      <c r="F509" t="n">
        <v>22142.7</v>
      </c>
      <c r="G509" t="n">
        <v>759691.3</v>
      </c>
      <c r="H509" t="n">
        <v>972725.4</v>
      </c>
      <c r="I509">
        <f>DAY(EOMONTH(DATE(VALUE(LEFT(E509,4)),VALUE(RIGHT(E509,2)),1),0))</f>
        <v/>
      </c>
      <c r="J509">
        <f>VALUE(LEFT(E509,4))*12+VALUE(RIGHT(E509,2))-1</f>
        <v/>
      </c>
    </row>
    <row r="510">
      <c r="A510" t="inlineStr">
        <is>
          <t>Chihuido de la Sierra Negra</t>
        </is>
      </c>
      <c r="B510" t="inlineStr">
        <is>
          <t>Neuquina</t>
        </is>
      </c>
      <c r="C510" t="inlineStr">
        <is>
          <t>YPF S.A.</t>
        </is>
      </c>
      <c r="D510" t="inlineStr">
        <is>
          <t>no convencional</t>
        </is>
      </c>
      <c r="E510" t="inlineStr">
        <is>
          <t>2019-04</t>
        </is>
      </c>
      <c r="F510" t="n">
        <v>0</v>
      </c>
      <c r="G510" t="n">
        <v>0</v>
      </c>
      <c r="H510" t="n">
        <v>0</v>
      </c>
      <c r="I510">
        <f>DAY(EOMONTH(DATE(VALUE(LEFT(E510,4)),VALUE(RIGHT(E510,2)),1),0))</f>
        <v/>
      </c>
      <c r="J510">
        <f>VALUE(LEFT(E510,4))*12+VALUE(RIGHT(E510,2))-1</f>
        <v/>
      </c>
    </row>
    <row r="511">
      <c r="A511" t="inlineStr">
        <is>
          <t>Chihuido de la Sierra Negra</t>
        </is>
      </c>
      <c r="B511" t="inlineStr">
        <is>
          <t>Neuquina</t>
        </is>
      </c>
      <c r="C511" t="inlineStr">
        <is>
          <t>YPF S.A.</t>
        </is>
      </c>
      <c r="D511" t="inlineStr">
        <is>
          <t>convencional</t>
        </is>
      </c>
      <c r="E511" t="inlineStr">
        <is>
          <t>2019-05</t>
        </is>
      </c>
      <c r="F511" t="n">
        <v>23368.7</v>
      </c>
      <c r="G511" t="n">
        <v>787291.3</v>
      </c>
      <c r="H511" t="n">
        <v>1026563.7</v>
      </c>
      <c r="I511">
        <f>DAY(EOMONTH(DATE(VALUE(LEFT(E511,4)),VALUE(RIGHT(E511,2)),1),0))</f>
        <v/>
      </c>
      <c r="J511">
        <f>VALUE(LEFT(E511,4))*12+VALUE(RIGHT(E511,2))-1</f>
        <v/>
      </c>
    </row>
    <row r="512">
      <c r="A512" t="inlineStr">
        <is>
          <t>Chihuido de la Sierra Negra</t>
        </is>
      </c>
      <c r="B512" t="inlineStr">
        <is>
          <t>Neuquina</t>
        </is>
      </c>
      <c r="C512" t="inlineStr">
        <is>
          <t>YPF S.A.</t>
        </is>
      </c>
      <c r="D512" t="inlineStr">
        <is>
          <t>no convencional</t>
        </is>
      </c>
      <c r="E512" t="inlineStr">
        <is>
          <t>2019-05</t>
        </is>
      </c>
      <c r="F512" t="n">
        <v>0</v>
      </c>
      <c r="G512" t="n">
        <v>0</v>
      </c>
      <c r="H512" t="n">
        <v>0</v>
      </c>
      <c r="I512">
        <f>DAY(EOMONTH(DATE(VALUE(LEFT(E512,4)),VALUE(RIGHT(E512,2)),1),0))</f>
        <v/>
      </c>
      <c r="J512">
        <f>VALUE(LEFT(E512,4))*12+VALUE(RIGHT(E512,2))-1</f>
        <v/>
      </c>
    </row>
    <row r="513">
      <c r="A513" t="inlineStr">
        <is>
          <t>Chihuido de la Sierra Negra</t>
        </is>
      </c>
      <c r="B513" t="inlineStr">
        <is>
          <t>Neuquina</t>
        </is>
      </c>
      <c r="C513" t="inlineStr">
        <is>
          <t>YPF S.A.</t>
        </is>
      </c>
      <c r="D513" t="inlineStr">
        <is>
          <t>convencional</t>
        </is>
      </c>
      <c r="E513" t="inlineStr">
        <is>
          <t>2019-06</t>
        </is>
      </c>
      <c r="F513" t="n">
        <v>21699.4</v>
      </c>
      <c r="G513" t="n">
        <v>734436</v>
      </c>
      <c r="H513" t="n">
        <v>1001448.8</v>
      </c>
      <c r="I513">
        <f>DAY(EOMONTH(DATE(VALUE(LEFT(E513,4)),VALUE(RIGHT(E513,2)),1),0))</f>
        <v/>
      </c>
      <c r="J513">
        <f>VALUE(LEFT(E513,4))*12+VALUE(RIGHT(E513,2))-1</f>
        <v/>
      </c>
    </row>
    <row r="514">
      <c r="A514" t="inlineStr">
        <is>
          <t>Chihuido de la Sierra Negra</t>
        </is>
      </c>
      <c r="B514" t="inlineStr">
        <is>
          <t>Neuquina</t>
        </is>
      </c>
      <c r="C514" t="inlineStr">
        <is>
          <t>YPF S.A.</t>
        </is>
      </c>
      <c r="D514" t="inlineStr">
        <is>
          <t>no convencional</t>
        </is>
      </c>
      <c r="E514" t="inlineStr">
        <is>
          <t>2019-06</t>
        </is>
      </c>
      <c r="F514" t="n">
        <v>0</v>
      </c>
      <c r="G514" t="n">
        <v>0</v>
      </c>
      <c r="H514" t="n">
        <v>0</v>
      </c>
      <c r="I514">
        <f>DAY(EOMONTH(DATE(VALUE(LEFT(E514,4)),VALUE(RIGHT(E514,2)),1),0))</f>
        <v/>
      </c>
      <c r="J514">
        <f>VALUE(LEFT(E514,4))*12+VALUE(RIGHT(E514,2))-1</f>
        <v/>
      </c>
    </row>
    <row r="515">
      <c r="A515" t="inlineStr">
        <is>
          <t>Chihuido de la Sierra Negra</t>
        </is>
      </c>
      <c r="B515" t="inlineStr">
        <is>
          <t>Neuquina</t>
        </is>
      </c>
      <c r="C515" t="inlineStr">
        <is>
          <t>YPF S.A.</t>
        </is>
      </c>
      <c r="D515" t="inlineStr">
        <is>
          <t>convencional</t>
        </is>
      </c>
      <c r="E515" t="inlineStr">
        <is>
          <t>2019-07</t>
        </is>
      </c>
      <c r="F515" t="n">
        <v>22703.5</v>
      </c>
      <c r="G515" t="n">
        <v>793943.2</v>
      </c>
      <c r="H515" t="n">
        <v>1077750.1</v>
      </c>
      <c r="I515">
        <f>DAY(EOMONTH(DATE(VALUE(LEFT(E515,4)),VALUE(RIGHT(E515,2)),1),0))</f>
        <v/>
      </c>
      <c r="J515">
        <f>VALUE(LEFT(E515,4))*12+VALUE(RIGHT(E515,2))-1</f>
        <v/>
      </c>
    </row>
    <row r="516">
      <c r="A516" t="inlineStr">
        <is>
          <t>Chihuido de la Sierra Negra</t>
        </is>
      </c>
      <c r="B516" t="inlineStr">
        <is>
          <t>Neuquina</t>
        </is>
      </c>
      <c r="C516" t="inlineStr">
        <is>
          <t>YPF S.A.</t>
        </is>
      </c>
      <c r="D516" t="inlineStr">
        <is>
          <t>no convencional</t>
        </is>
      </c>
      <c r="E516" t="inlineStr">
        <is>
          <t>2019-07</t>
        </is>
      </c>
      <c r="F516" t="n">
        <v>0</v>
      </c>
      <c r="G516" t="n">
        <v>0</v>
      </c>
      <c r="H516" t="n">
        <v>0</v>
      </c>
      <c r="I516">
        <f>DAY(EOMONTH(DATE(VALUE(LEFT(E516,4)),VALUE(RIGHT(E516,2)),1),0))</f>
        <v/>
      </c>
      <c r="J516">
        <f>VALUE(LEFT(E516,4))*12+VALUE(RIGHT(E516,2))-1</f>
        <v/>
      </c>
    </row>
    <row r="517">
      <c r="A517" t="inlineStr">
        <is>
          <t>Chihuido de la Sierra Negra</t>
        </is>
      </c>
      <c r="B517" t="inlineStr">
        <is>
          <t>Neuquina</t>
        </is>
      </c>
      <c r="C517" t="inlineStr">
        <is>
          <t>YPF S.A.</t>
        </is>
      </c>
      <c r="D517" t="inlineStr">
        <is>
          <t>convencional</t>
        </is>
      </c>
      <c r="E517" t="inlineStr">
        <is>
          <t>2019-08</t>
        </is>
      </c>
      <c r="F517" t="n">
        <v>22755.1</v>
      </c>
      <c r="G517" t="n">
        <v>784609.3</v>
      </c>
      <c r="H517" t="n">
        <v>1085128.2</v>
      </c>
      <c r="I517">
        <f>DAY(EOMONTH(DATE(VALUE(LEFT(E517,4)),VALUE(RIGHT(E517,2)),1),0))</f>
        <v/>
      </c>
      <c r="J517">
        <f>VALUE(LEFT(E517,4))*12+VALUE(RIGHT(E517,2))-1</f>
        <v/>
      </c>
    </row>
    <row r="518">
      <c r="A518" t="inlineStr">
        <is>
          <t>Chihuido de la Sierra Negra</t>
        </is>
      </c>
      <c r="B518" t="inlineStr">
        <is>
          <t>Neuquina</t>
        </is>
      </c>
      <c r="C518" t="inlineStr">
        <is>
          <t>YPF S.A.</t>
        </is>
      </c>
      <c r="D518" t="inlineStr">
        <is>
          <t>no convencional</t>
        </is>
      </c>
      <c r="E518" t="inlineStr">
        <is>
          <t>2019-08</t>
        </is>
      </c>
      <c r="F518" t="n">
        <v>0</v>
      </c>
      <c r="G518" t="n">
        <v>0</v>
      </c>
      <c r="H518" t="n">
        <v>0</v>
      </c>
      <c r="I518">
        <f>DAY(EOMONTH(DATE(VALUE(LEFT(E518,4)),VALUE(RIGHT(E518,2)),1),0))</f>
        <v/>
      </c>
      <c r="J518">
        <f>VALUE(LEFT(E518,4))*12+VALUE(RIGHT(E518,2))-1</f>
        <v/>
      </c>
    </row>
    <row r="519">
      <c r="A519" t="inlineStr">
        <is>
          <t>Chihuido de la Sierra Negra</t>
        </is>
      </c>
      <c r="B519" t="inlineStr">
        <is>
          <t>Neuquina</t>
        </is>
      </c>
      <c r="C519" t="inlineStr">
        <is>
          <t>YPF S.A.</t>
        </is>
      </c>
      <c r="D519" t="inlineStr">
        <is>
          <t>convencional</t>
        </is>
      </c>
      <c r="E519" t="inlineStr">
        <is>
          <t>2019-09</t>
        </is>
      </c>
      <c r="F519" t="n">
        <v>21708.4</v>
      </c>
      <c r="G519" t="n">
        <v>762210.5</v>
      </c>
      <c r="H519" t="n">
        <v>1043205.4</v>
      </c>
      <c r="I519">
        <f>DAY(EOMONTH(DATE(VALUE(LEFT(E519,4)),VALUE(RIGHT(E519,2)),1),0))</f>
        <v/>
      </c>
      <c r="J519">
        <f>VALUE(LEFT(E519,4))*12+VALUE(RIGHT(E519,2))-1</f>
        <v/>
      </c>
    </row>
    <row r="520">
      <c r="A520" t="inlineStr">
        <is>
          <t>Chihuido de la Sierra Negra</t>
        </is>
      </c>
      <c r="B520" t="inlineStr">
        <is>
          <t>Neuquina</t>
        </is>
      </c>
      <c r="C520" t="inlineStr">
        <is>
          <t>YPF S.A.</t>
        </is>
      </c>
      <c r="D520" t="inlineStr">
        <is>
          <t>no convencional</t>
        </is>
      </c>
      <c r="E520" t="inlineStr">
        <is>
          <t>2019-09</t>
        </is>
      </c>
      <c r="F520" t="n">
        <v>0</v>
      </c>
      <c r="G520" t="n">
        <v>0</v>
      </c>
      <c r="H520" t="n">
        <v>0</v>
      </c>
      <c r="I520">
        <f>DAY(EOMONTH(DATE(VALUE(LEFT(E520,4)),VALUE(RIGHT(E520,2)),1),0))</f>
        <v/>
      </c>
      <c r="J520">
        <f>VALUE(LEFT(E520,4))*12+VALUE(RIGHT(E520,2))-1</f>
        <v/>
      </c>
    </row>
    <row r="521">
      <c r="A521" t="inlineStr">
        <is>
          <t>Chihuido de la Sierra Negra</t>
        </is>
      </c>
      <c r="B521" t="inlineStr">
        <is>
          <t>Neuquina</t>
        </is>
      </c>
      <c r="C521" t="inlineStr">
        <is>
          <t>YPF S.A.</t>
        </is>
      </c>
      <c r="D521" t="inlineStr">
        <is>
          <t>convencional</t>
        </is>
      </c>
      <c r="E521" t="inlineStr">
        <is>
          <t>2019-10</t>
        </is>
      </c>
      <c r="F521" t="n">
        <v>21551.8</v>
      </c>
      <c r="G521" t="n">
        <v>754036.3</v>
      </c>
      <c r="H521" t="n">
        <v>991809.5</v>
      </c>
      <c r="I521">
        <f>DAY(EOMONTH(DATE(VALUE(LEFT(E521,4)),VALUE(RIGHT(E521,2)),1),0))</f>
        <v/>
      </c>
      <c r="J521">
        <f>VALUE(LEFT(E521,4))*12+VALUE(RIGHT(E521,2))-1</f>
        <v/>
      </c>
    </row>
    <row r="522">
      <c r="A522" t="inlineStr">
        <is>
          <t>Chihuido de la Sierra Negra</t>
        </is>
      </c>
      <c r="B522" t="inlineStr">
        <is>
          <t>Neuquina</t>
        </is>
      </c>
      <c r="C522" t="inlineStr">
        <is>
          <t>YPF S.A.</t>
        </is>
      </c>
      <c r="D522" t="inlineStr">
        <is>
          <t>no convencional</t>
        </is>
      </c>
      <c r="E522" t="inlineStr">
        <is>
          <t>2019-10</t>
        </is>
      </c>
      <c r="F522" t="n">
        <v>0</v>
      </c>
      <c r="G522" t="n">
        <v>0</v>
      </c>
      <c r="H522" t="n">
        <v>0</v>
      </c>
      <c r="I522">
        <f>DAY(EOMONTH(DATE(VALUE(LEFT(E522,4)),VALUE(RIGHT(E522,2)),1),0))</f>
        <v/>
      </c>
      <c r="J522">
        <f>VALUE(LEFT(E522,4))*12+VALUE(RIGHT(E522,2))-1</f>
        <v/>
      </c>
    </row>
    <row r="523">
      <c r="A523" t="inlineStr">
        <is>
          <t>Chihuido de la Sierra Negra</t>
        </is>
      </c>
      <c r="B523" t="inlineStr">
        <is>
          <t>Neuquina</t>
        </is>
      </c>
      <c r="C523" t="inlineStr">
        <is>
          <t>YPF S.A.</t>
        </is>
      </c>
      <c r="D523" t="inlineStr">
        <is>
          <t>convencional</t>
        </is>
      </c>
      <c r="E523" t="inlineStr">
        <is>
          <t>2019-11</t>
        </is>
      </c>
      <c r="F523" t="n">
        <v>20336</v>
      </c>
      <c r="G523" t="n">
        <v>732265.4</v>
      </c>
      <c r="H523" t="n">
        <v>1036610.3</v>
      </c>
      <c r="I523">
        <f>DAY(EOMONTH(DATE(VALUE(LEFT(E523,4)),VALUE(RIGHT(E523,2)),1),0))</f>
        <v/>
      </c>
      <c r="J523">
        <f>VALUE(LEFT(E523,4))*12+VALUE(RIGHT(E523,2))-1</f>
        <v/>
      </c>
    </row>
    <row r="524">
      <c r="A524" t="inlineStr">
        <is>
          <t>Chihuido de la Sierra Negra</t>
        </is>
      </c>
      <c r="B524" t="inlineStr">
        <is>
          <t>Neuquina</t>
        </is>
      </c>
      <c r="C524" t="inlineStr">
        <is>
          <t>YPF S.A.</t>
        </is>
      </c>
      <c r="D524" t="inlineStr">
        <is>
          <t>no convencional</t>
        </is>
      </c>
      <c r="E524" t="inlineStr">
        <is>
          <t>2019-11</t>
        </is>
      </c>
      <c r="F524" t="n">
        <v>0</v>
      </c>
      <c r="G524" t="n">
        <v>0</v>
      </c>
      <c r="H524" t="n">
        <v>0</v>
      </c>
      <c r="I524">
        <f>DAY(EOMONTH(DATE(VALUE(LEFT(E524,4)),VALUE(RIGHT(E524,2)),1),0))</f>
        <v/>
      </c>
      <c r="J524">
        <f>VALUE(LEFT(E524,4))*12+VALUE(RIGHT(E524,2))-1</f>
        <v/>
      </c>
    </row>
    <row r="525">
      <c r="A525" t="inlineStr">
        <is>
          <t>Chihuido de la Sierra Negra</t>
        </is>
      </c>
      <c r="B525" t="inlineStr">
        <is>
          <t>Neuquina</t>
        </is>
      </c>
      <c r="C525" t="inlineStr">
        <is>
          <t>YPF S.A.</t>
        </is>
      </c>
      <c r="D525" t="inlineStr">
        <is>
          <t>convencional</t>
        </is>
      </c>
      <c r="E525" t="inlineStr">
        <is>
          <t>2019-12</t>
        </is>
      </c>
      <c r="F525" t="n">
        <v>20131.5</v>
      </c>
      <c r="G525" t="n">
        <v>731736.7</v>
      </c>
      <c r="H525" t="n">
        <v>1005567.3</v>
      </c>
      <c r="I525">
        <f>DAY(EOMONTH(DATE(VALUE(LEFT(E525,4)),VALUE(RIGHT(E525,2)),1),0))</f>
        <v/>
      </c>
      <c r="J525">
        <f>VALUE(LEFT(E525,4))*12+VALUE(RIGHT(E525,2))-1</f>
        <v/>
      </c>
    </row>
    <row r="526">
      <c r="A526" t="inlineStr">
        <is>
          <t>Chihuido de la Sierra Negra</t>
        </is>
      </c>
      <c r="B526" t="inlineStr">
        <is>
          <t>Neuquina</t>
        </is>
      </c>
      <c r="C526" t="inlineStr">
        <is>
          <t>YPF S.A.</t>
        </is>
      </c>
      <c r="D526" t="inlineStr">
        <is>
          <t>no convencional</t>
        </is>
      </c>
      <c r="E526" t="inlineStr">
        <is>
          <t>2019-12</t>
        </is>
      </c>
      <c r="F526" t="n">
        <v>0</v>
      </c>
      <c r="G526" t="n">
        <v>0</v>
      </c>
      <c r="H526" t="n">
        <v>0</v>
      </c>
      <c r="I526">
        <f>DAY(EOMONTH(DATE(VALUE(LEFT(E526,4)),VALUE(RIGHT(E526,2)),1),0))</f>
        <v/>
      </c>
      <c r="J526">
        <f>VALUE(LEFT(E526,4))*12+VALUE(RIGHT(E526,2))-1</f>
        <v/>
      </c>
    </row>
    <row r="527">
      <c r="A527" t="inlineStr">
        <is>
          <t>Chihuido de la Sierra Negra</t>
        </is>
      </c>
      <c r="B527" t="inlineStr">
        <is>
          <t>Neuquina</t>
        </is>
      </c>
      <c r="C527" t="inlineStr">
        <is>
          <t>YPF S.A.</t>
        </is>
      </c>
      <c r="D527" t="inlineStr">
        <is>
          <t>convencional</t>
        </is>
      </c>
      <c r="E527" t="inlineStr">
        <is>
          <t>2020-01</t>
        </is>
      </c>
      <c r="F527" t="n">
        <v>21732.3</v>
      </c>
      <c r="G527" t="n">
        <v>790048.7</v>
      </c>
      <c r="H527" t="n">
        <v>1066735.9</v>
      </c>
      <c r="I527">
        <f>DAY(EOMONTH(DATE(VALUE(LEFT(E527,4)),VALUE(RIGHT(E527,2)),1),0))</f>
        <v/>
      </c>
      <c r="J527">
        <f>VALUE(LEFT(E527,4))*12+VALUE(RIGHT(E527,2))-1</f>
        <v/>
      </c>
    </row>
    <row r="528">
      <c r="A528" t="inlineStr">
        <is>
          <t>Chihuido de la Sierra Negra</t>
        </is>
      </c>
      <c r="B528" t="inlineStr">
        <is>
          <t>Neuquina</t>
        </is>
      </c>
      <c r="C528" t="inlineStr">
        <is>
          <t>YPF S.A.</t>
        </is>
      </c>
      <c r="D528" t="inlineStr">
        <is>
          <t>no convencional</t>
        </is>
      </c>
      <c r="E528" t="inlineStr">
        <is>
          <t>2020-01</t>
        </is>
      </c>
      <c r="F528" t="n">
        <v>353</v>
      </c>
      <c r="G528" t="n">
        <v>1123.4</v>
      </c>
      <c r="H528" t="n">
        <v>0</v>
      </c>
      <c r="I528">
        <f>DAY(EOMONTH(DATE(VALUE(LEFT(E528,4)),VALUE(RIGHT(E528,2)),1),0))</f>
        <v/>
      </c>
      <c r="J528">
        <f>VALUE(LEFT(E528,4))*12+VALUE(RIGHT(E528,2))-1</f>
        <v/>
      </c>
    </row>
    <row r="529">
      <c r="A529" t="inlineStr">
        <is>
          <t>Chihuido de la Sierra Negra</t>
        </is>
      </c>
      <c r="B529" t="inlineStr">
        <is>
          <t>Neuquina</t>
        </is>
      </c>
      <c r="C529" t="inlineStr">
        <is>
          <t>YPF S.A.</t>
        </is>
      </c>
      <c r="D529" t="inlineStr">
        <is>
          <t>convencional</t>
        </is>
      </c>
      <c r="E529" t="inlineStr">
        <is>
          <t>2020-02</t>
        </is>
      </c>
      <c r="F529" t="n">
        <v>20170</v>
      </c>
      <c r="G529" t="n">
        <v>676322.4</v>
      </c>
      <c r="H529" t="n">
        <v>924788.7</v>
      </c>
      <c r="I529">
        <f>DAY(EOMONTH(DATE(VALUE(LEFT(E529,4)),VALUE(RIGHT(E529,2)),1),0))</f>
        <v/>
      </c>
      <c r="J529">
        <f>VALUE(LEFT(E529,4))*12+VALUE(RIGHT(E529,2))-1</f>
        <v/>
      </c>
    </row>
    <row r="530">
      <c r="A530" t="inlineStr">
        <is>
          <t>Chihuido de la Sierra Negra</t>
        </is>
      </c>
      <c r="B530" t="inlineStr">
        <is>
          <t>Neuquina</t>
        </is>
      </c>
      <c r="C530" t="inlineStr">
        <is>
          <t>YPF S.A.</t>
        </is>
      </c>
      <c r="D530" t="inlineStr">
        <is>
          <t>no convencional</t>
        </is>
      </c>
      <c r="E530" t="inlineStr">
        <is>
          <t>2020-02</t>
        </is>
      </c>
      <c r="F530" t="n">
        <v>2239.8</v>
      </c>
      <c r="G530" t="n">
        <v>3357.8</v>
      </c>
      <c r="H530" t="n">
        <v>0</v>
      </c>
      <c r="I530">
        <f>DAY(EOMONTH(DATE(VALUE(LEFT(E530,4)),VALUE(RIGHT(E530,2)),1),0))</f>
        <v/>
      </c>
      <c r="J530">
        <f>VALUE(LEFT(E530,4))*12+VALUE(RIGHT(E530,2))-1</f>
        <v/>
      </c>
    </row>
    <row r="531">
      <c r="A531" t="inlineStr">
        <is>
          <t>Chihuido de la Sierra Negra</t>
        </is>
      </c>
      <c r="B531" t="inlineStr">
        <is>
          <t>Neuquina</t>
        </is>
      </c>
      <c r="C531" t="inlineStr">
        <is>
          <t>YPF S.A.</t>
        </is>
      </c>
      <c r="D531" t="inlineStr">
        <is>
          <t>convencional</t>
        </is>
      </c>
      <c r="E531" t="inlineStr">
        <is>
          <t>2020-03</t>
        </is>
      </c>
      <c r="F531" t="n">
        <v>19874.2</v>
      </c>
      <c r="G531" t="n">
        <v>657453</v>
      </c>
      <c r="H531" t="n">
        <v>931093.7</v>
      </c>
      <c r="I531">
        <f>DAY(EOMONTH(DATE(VALUE(LEFT(E531,4)),VALUE(RIGHT(E531,2)),1),0))</f>
        <v/>
      </c>
      <c r="J531">
        <f>VALUE(LEFT(E531,4))*12+VALUE(RIGHT(E531,2))-1</f>
        <v/>
      </c>
    </row>
    <row r="532">
      <c r="A532" t="inlineStr">
        <is>
          <t>Chihuido de la Sierra Negra</t>
        </is>
      </c>
      <c r="B532" t="inlineStr">
        <is>
          <t>Neuquina</t>
        </is>
      </c>
      <c r="C532" t="inlineStr">
        <is>
          <t>YPF S.A.</t>
        </is>
      </c>
      <c r="D532" t="inlineStr">
        <is>
          <t>no convencional</t>
        </is>
      </c>
      <c r="E532" t="inlineStr">
        <is>
          <t>2020-03</t>
        </is>
      </c>
      <c r="F532" t="n">
        <v>4587.2</v>
      </c>
      <c r="G532" t="n">
        <v>5297.9</v>
      </c>
      <c r="H532" t="n">
        <v>0</v>
      </c>
      <c r="I532">
        <f>DAY(EOMONTH(DATE(VALUE(LEFT(E532,4)),VALUE(RIGHT(E532,2)),1),0))</f>
        <v/>
      </c>
      <c r="J532">
        <f>VALUE(LEFT(E532,4))*12+VALUE(RIGHT(E532,2))-1</f>
        <v/>
      </c>
    </row>
    <row r="533">
      <c r="A533" t="inlineStr">
        <is>
          <t>Chihuido de la Sierra Negra</t>
        </is>
      </c>
      <c r="B533" t="inlineStr">
        <is>
          <t>Neuquina</t>
        </is>
      </c>
      <c r="C533" t="inlineStr">
        <is>
          <t>YPF S.A.</t>
        </is>
      </c>
      <c r="D533" t="inlineStr">
        <is>
          <t>convencional</t>
        </is>
      </c>
      <c r="E533" t="inlineStr">
        <is>
          <t>2020-04</t>
        </is>
      </c>
      <c r="F533" t="n">
        <v>18547</v>
      </c>
      <c r="G533" t="n">
        <v>633251.3</v>
      </c>
      <c r="H533" t="n">
        <v>895325.3</v>
      </c>
      <c r="I533">
        <f>DAY(EOMONTH(DATE(VALUE(LEFT(E533,4)),VALUE(RIGHT(E533,2)),1),0))</f>
        <v/>
      </c>
      <c r="J533">
        <f>VALUE(LEFT(E533,4))*12+VALUE(RIGHT(E533,2))-1</f>
        <v/>
      </c>
    </row>
    <row r="534">
      <c r="A534" t="inlineStr">
        <is>
          <t>Chihuido de la Sierra Negra</t>
        </is>
      </c>
      <c r="B534" t="inlineStr">
        <is>
          <t>Neuquina</t>
        </is>
      </c>
      <c r="C534" t="inlineStr">
        <is>
          <t>YPF S.A.</t>
        </is>
      </c>
      <c r="D534" t="inlineStr">
        <is>
          <t>no convencional</t>
        </is>
      </c>
      <c r="E534" t="inlineStr">
        <is>
          <t>2020-04</t>
        </is>
      </c>
      <c r="F534" t="n">
        <v>5001.8</v>
      </c>
      <c r="G534" t="n">
        <v>4779.8</v>
      </c>
      <c r="H534" t="n">
        <v>0</v>
      </c>
      <c r="I534">
        <f>DAY(EOMONTH(DATE(VALUE(LEFT(E534,4)),VALUE(RIGHT(E534,2)),1),0))</f>
        <v/>
      </c>
      <c r="J534">
        <f>VALUE(LEFT(E534,4))*12+VALUE(RIGHT(E534,2))-1</f>
        <v/>
      </c>
    </row>
    <row r="535">
      <c r="A535" t="inlineStr">
        <is>
          <t>Chihuido de la Sierra Negra</t>
        </is>
      </c>
      <c r="B535" t="inlineStr">
        <is>
          <t>Neuquina</t>
        </is>
      </c>
      <c r="C535" t="inlineStr">
        <is>
          <t>YPF S.A.</t>
        </is>
      </c>
      <c r="D535" t="inlineStr">
        <is>
          <t>convencional</t>
        </is>
      </c>
      <c r="E535" t="inlineStr">
        <is>
          <t>2020-05</t>
        </is>
      </c>
      <c r="F535" t="n">
        <v>17747.4</v>
      </c>
      <c r="G535" t="n">
        <v>645025.6</v>
      </c>
      <c r="H535" t="n">
        <v>916726.4</v>
      </c>
      <c r="I535">
        <f>DAY(EOMONTH(DATE(VALUE(LEFT(E535,4)),VALUE(RIGHT(E535,2)),1),0))</f>
        <v/>
      </c>
      <c r="J535">
        <f>VALUE(LEFT(E535,4))*12+VALUE(RIGHT(E535,2))-1</f>
        <v/>
      </c>
    </row>
    <row r="536">
      <c r="A536" t="inlineStr">
        <is>
          <t>Chihuido de la Sierra Negra</t>
        </is>
      </c>
      <c r="B536" t="inlineStr">
        <is>
          <t>Neuquina</t>
        </is>
      </c>
      <c r="C536" t="inlineStr">
        <is>
          <t>YPF S.A.</t>
        </is>
      </c>
      <c r="D536" t="inlineStr">
        <is>
          <t>no convencional</t>
        </is>
      </c>
      <c r="E536" t="inlineStr">
        <is>
          <t>2020-05</t>
        </is>
      </c>
      <c r="F536" t="n">
        <v>4842.1</v>
      </c>
      <c r="G536" t="n">
        <v>4245.5</v>
      </c>
      <c r="H536" t="n">
        <v>0</v>
      </c>
      <c r="I536">
        <f>DAY(EOMONTH(DATE(VALUE(LEFT(E536,4)),VALUE(RIGHT(E536,2)),1),0))</f>
        <v/>
      </c>
      <c r="J536">
        <f>VALUE(LEFT(E536,4))*12+VALUE(RIGHT(E536,2))-1</f>
        <v/>
      </c>
    </row>
    <row r="537">
      <c r="A537" t="inlineStr">
        <is>
          <t>Chihuido de la Sierra Negra</t>
        </is>
      </c>
      <c r="B537" t="inlineStr">
        <is>
          <t>Neuquina</t>
        </is>
      </c>
      <c r="C537" t="inlineStr">
        <is>
          <t>YPF S.A.</t>
        </is>
      </c>
      <c r="D537" t="inlineStr">
        <is>
          <t>convencional</t>
        </is>
      </c>
      <c r="E537" t="inlineStr">
        <is>
          <t>2020-06</t>
        </is>
      </c>
      <c r="F537" t="n">
        <v>16659</v>
      </c>
      <c r="G537" t="n">
        <v>620130.9</v>
      </c>
      <c r="H537" t="n">
        <v>886357.1</v>
      </c>
      <c r="I537">
        <f>DAY(EOMONTH(DATE(VALUE(LEFT(E537,4)),VALUE(RIGHT(E537,2)),1),0))</f>
        <v/>
      </c>
      <c r="J537">
        <f>VALUE(LEFT(E537,4))*12+VALUE(RIGHT(E537,2))-1</f>
        <v/>
      </c>
    </row>
    <row r="538">
      <c r="A538" t="inlineStr">
        <is>
          <t>Chihuido de la Sierra Negra</t>
        </is>
      </c>
      <c r="B538" t="inlineStr">
        <is>
          <t>Neuquina</t>
        </is>
      </c>
      <c r="C538" t="inlineStr">
        <is>
          <t>YPF S.A.</t>
        </is>
      </c>
      <c r="D538" t="inlineStr">
        <is>
          <t>no convencional</t>
        </is>
      </c>
      <c r="E538" t="inlineStr">
        <is>
          <t>2020-06</t>
        </is>
      </c>
      <c r="F538" t="n">
        <v>3188.9</v>
      </c>
      <c r="G538" t="n">
        <v>2333.5</v>
      </c>
      <c r="H538" t="n">
        <v>0</v>
      </c>
      <c r="I538">
        <f>DAY(EOMONTH(DATE(VALUE(LEFT(E538,4)),VALUE(RIGHT(E538,2)),1),0))</f>
        <v/>
      </c>
      <c r="J538">
        <f>VALUE(LEFT(E538,4))*12+VALUE(RIGHT(E538,2))-1</f>
        <v/>
      </c>
    </row>
    <row r="539">
      <c r="A539" t="inlineStr">
        <is>
          <t>Chihuido de la Sierra Negra</t>
        </is>
      </c>
      <c r="B539" t="inlineStr">
        <is>
          <t>Neuquina</t>
        </is>
      </c>
      <c r="C539" t="inlineStr">
        <is>
          <t>YPF S.A.</t>
        </is>
      </c>
      <c r="D539" t="inlineStr">
        <is>
          <t>convencional</t>
        </is>
      </c>
      <c r="E539" t="inlineStr">
        <is>
          <t>2020-07</t>
        </is>
      </c>
      <c r="F539" t="n">
        <v>16037</v>
      </c>
      <c r="G539" t="n">
        <v>555872.5</v>
      </c>
      <c r="H539" t="n">
        <v>810354.4</v>
      </c>
      <c r="I539">
        <f>DAY(EOMONTH(DATE(VALUE(LEFT(E539,4)),VALUE(RIGHT(E539,2)),1),0))</f>
        <v/>
      </c>
      <c r="J539">
        <f>VALUE(LEFT(E539,4))*12+VALUE(RIGHT(E539,2))-1</f>
        <v/>
      </c>
    </row>
    <row r="540">
      <c r="A540" t="inlineStr">
        <is>
          <t>Chihuido de la Sierra Negra</t>
        </is>
      </c>
      <c r="B540" t="inlineStr">
        <is>
          <t>Neuquina</t>
        </is>
      </c>
      <c r="C540" t="inlineStr">
        <is>
          <t>YPF S.A.</t>
        </is>
      </c>
      <c r="D540" t="inlineStr">
        <is>
          <t>no convencional</t>
        </is>
      </c>
      <c r="E540" t="inlineStr">
        <is>
          <t>2020-07</t>
        </is>
      </c>
      <c r="F540" t="n">
        <v>1167.3</v>
      </c>
      <c r="G540" t="n">
        <v>867.3</v>
      </c>
      <c r="H540" t="n">
        <v>0</v>
      </c>
      <c r="I540">
        <f>DAY(EOMONTH(DATE(VALUE(LEFT(E540,4)),VALUE(RIGHT(E540,2)),1),0))</f>
        <v/>
      </c>
      <c r="J540">
        <f>VALUE(LEFT(E540,4))*12+VALUE(RIGHT(E540,2))-1</f>
        <v/>
      </c>
    </row>
    <row r="541">
      <c r="A541" t="inlineStr">
        <is>
          <t>Chihuido de la Sierra Negra</t>
        </is>
      </c>
      <c r="B541" t="inlineStr">
        <is>
          <t>Neuquina</t>
        </is>
      </c>
      <c r="C541" t="inlineStr">
        <is>
          <t>YPF S.A.</t>
        </is>
      </c>
      <c r="D541" t="inlineStr">
        <is>
          <t>convencional</t>
        </is>
      </c>
      <c r="E541" t="inlineStr">
        <is>
          <t>2020-08</t>
        </is>
      </c>
      <c r="F541" t="n">
        <v>14670.8</v>
      </c>
      <c r="G541" t="n">
        <v>513055</v>
      </c>
      <c r="H541" t="n">
        <v>755570.4</v>
      </c>
      <c r="I541">
        <f>DAY(EOMONTH(DATE(VALUE(LEFT(E541,4)),VALUE(RIGHT(E541,2)),1),0))</f>
        <v/>
      </c>
      <c r="J541">
        <f>VALUE(LEFT(E541,4))*12+VALUE(RIGHT(E541,2))-1</f>
        <v/>
      </c>
    </row>
    <row r="542">
      <c r="A542" t="inlineStr">
        <is>
          <t>Chihuido de la Sierra Negra</t>
        </is>
      </c>
      <c r="B542" t="inlineStr">
        <is>
          <t>Neuquina</t>
        </is>
      </c>
      <c r="C542" t="inlineStr">
        <is>
          <t>YPF S.A.</t>
        </is>
      </c>
      <c r="D542" t="inlineStr">
        <is>
          <t>no convencional</t>
        </is>
      </c>
      <c r="E542" t="inlineStr">
        <is>
          <t>2020-08</t>
        </is>
      </c>
      <c r="F542" t="n">
        <v>0</v>
      </c>
      <c r="G542" t="n">
        <v>0</v>
      </c>
      <c r="H542" t="n">
        <v>0</v>
      </c>
      <c r="I542">
        <f>DAY(EOMONTH(DATE(VALUE(LEFT(E542,4)),VALUE(RIGHT(E542,2)),1),0))</f>
        <v/>
      </c>
      <c r="J542">
        <f>VALUE(LEFT(E542,4))*12+VALUE(RIGHT(E542,2))-1</f>
        <v/>
      </c>
    </row>
    <row r="543">
      <c r="A543" t="inlineStr">
        <is>
          <t>Chihuido de la Sierra Negra</t>
        </is>
      </c>
      <c r="B543" t="inlineStr">
        <is>
          <t>Neuquina</t>
        </is>
      </c>
      <c r="C543" t="inlineStr">
        <is>
          <t>YPF S.A.</t>
        </is>
      </c>
      <c r="D543" t="inlineStr">
        <is>
          <t>convencional</t>
        </is>
      </c>
      <c r="E543" t="inlineStr">
        <is>
          <t>2020-09</t>
        </is>
      </c>
      <c r="F543" t="n">
        <v>13896.1</v>
      </c>
      <c r="G543" t="n">
        <v>451315.8</v>
      </c>
      <c r="H543" t="n">
        <v>629064.3</v>
      </c>
      <c r="I543">
        <f>DAY(EOMONTH(DATE(VALUE(LEFT(E543,4)),VALUE(RIGHT(E543,2)),1),0))</f>
        <v/>
      </c>
      <c r="J543">
        <f>VALUE(LEFT(E543,4))*12+VALUE(RIGHT(E543,2))-1</f>
        <v/>
      </c>
    </row>
    <row r="544">
      <c r="A544" t="inlineStr">
        <is>
          <t>Chihuido de la Sierra Negra</t>
        </is>
      </c>
      <c r="B544" t="inlineStr">
        <is>
          <t>Neuquina</t>
        </is>
      </c>
      <c r="C544" t="inlineStr">
        <is>
          <t>YPF S.A.</t>
        </is>
      </c>
      <c r="D544" t="inlineStr">
        <is>
          <t>no convencional</t>
        </is>
      </c>
      <c r="E544" t="inlineStr">
        <is>
          <t>2020-09</t>
        </is>
      </c>
      <c r="F544" t="n">
        <v>0</v>
      </c>
      <c r="G544" t="n">
        <v>0</v>
      </c>
      <c r="H544" t="n">
        <v>0</v>
      </c>
      <c r="I544">
        <f>DAY(EOMONTH(DATE(VALUE(LEFT(E544,4)),VALUE(RIGHT(E544,2)),1),0))</f>
        <v/>
      </c>
      <c r="J544">
        <f>VALUE(LEFT(E544,4))*12+VALUE(RIGHT(E544,2))-1</f>
        <v/>
      </c>
    </row>
    <row r="545">
      <c r="A545" t="inlineStr">
        <is>
          <t>Chihuido de la Sierra Negra</t>
        </is>
      </c>
      <c r="B545" t="inlineStr">
        <is>
          <t>Neuquina</t>
        </is>
      </c>
      <c r="C545" t="inlineStr">
        <is>
          <t>YPF S.A.</t>
        </is>
      </c>
      <c r="D545" t="inlineStr">
        <is>
          <t>convencional</t>
        </is>
      </c>
      <c r="E545" t="inlineStr">
        <is>
          <t>2020-10</t>
        </is>
      </c>
      <c r="F545" t="n">
        <v>14099.7</v>
      </c>
      <c r="G545" t="n">
        <v>495593.4</v>
      </c>
      <c r="H545" t="n">
        <v>670390.8</v>
      </c>
      <c r="I545">
        <f>DAY(EOMONTH(DATE(VALUE(LEFT(E545,4)),VALUE(RIGHT(E545,2)),1),0))</f>
        <v/>
      </c>
      <c r="J545">
        <f>VALUE(LEFT(E545,4))*12+VALUE(RIGHT(E545,2))-1</f>
        <v/>
      </c>
    </row>
    <row r="546">
      <c r="A546" t="inlineStr">
        <is>
          <t>Chihuido de la Sierra Negra</t>
        </is>
      </c>
      <c r="B546" t="inlineStr">
        <is>
          <t>Neuquina</t>
        </is>
      </c>
      <c r="C546" t="inlineStr">
        <is>
          <t>YPF S.A.</t>
        </is>
      </c>
      <c r="D546" t="inlineStr">
        <is>
          <t>no convencional</t>
        </is>
      </c>
      <c r="E546" t="inlineStr">
        <is>
          <t>2020-10</t>
        </is>
      </c>
      <c r="F546" t="n">
        <v>0</v>
      </c>
      <c r="G546" t="n">
        <v>0</v>
      </c>
      <c r="H546" t="n">
        <v>0</v>
      </c>
      <c r="I546">
        <f>DAY(EOMONTH(DATE(VALUE(LEFT(E546,4)),VALUE(RIGHT(E546,2)),1),0))</f>
        <v/>
      </c>
      <c r="J546">
        <f>VALUE(LEFT(E546,4))*12+VALUE(RIGHT(E546,2))-1</f>
        <v/>
      </c>
    </row>
    <row r="547">
      <c r="A547" t="inlineStr">
        <is>
          <t>Chihuido de la Sierra Negra</t>
        </is>
      </c>
      <c r="B547" t="inlineStr">
        <is>
          <t>Neuquina</t>
        </is>
      </c>
      <c r="C547" t="inlineStr">
        <is>
          <t>YPF S.A.</t>
        </is>
      </c>
      <c r="D547" t="inlineStr">
        <is>
          <t>convencional</t>
        </is>
      </c>
      <c r="E547" t="inlineStr">
        <is>
          <t>2020-11</t>
        </is>
      </c>
      <c r="F547" t="n">
        <v>13462.8</v>
      </c>
      <c r="G547" t="n">
        <v>524603.4</v>
      </c>
      <c r="H547" t="n">
        <v>735354.1</v>
      </c>
      <c r="I547">
        <f>DAY(EOMONTH(DATE(VALUE(LEFT(E547,4)),VALUE(RIGHT(E547,2)),1),0))</f>
        <v/>
      </c>
      <c r="J547">
        <f>VALUE(LEFT(E547,4))*12+VALUE(RIGHT(E547,2))-1</f>
        <v/>
      </c>
    </row>
    <row r="548">
      <c r="A548" t="inlineStr">
        <is>
          <t>Chihuido de la Sierra Negra</t>
        </is>
      </c>
      <c r="B548" t="inlineStr">
        <is>
          <t>Neuquina</t>
        </is>
      </c>
      <c r="C548" t="inlineStr">
        <is>
          <t>YPF S.A.</t>
        </is>
      </c>
      <c r="D548" t="inlineStr">
        <is>
          <t>no convencional</t>
        </is>
      </c>
      <c r="E548" t="inlineStr">
        <is>
          <t>2020-11</t>
        </is>
      </c>
      <c r="F548" t="n">
        <v>0</v>
      </c>
      <c r="G548" t="n">
        <v>0</v>
      </c>
      <c r="H548" t="n">
        <v>0</v>
      </c>
      <c r="I548">
        <f>DAY(EOMONTH(DATE(VALUE(LEFT(E548,4)),VALUE(RIGHT(E548,2)),1),0))</f>
        <v/>
      </c>
      <c r="J548">
        <f>VALUE(LEFT(E548,4))*12+VALUE(RIGHT(E548,2))-1</f>
        <v/>
      </c>
    </row>
    <row r="549">
      <c r="A549" t="inlineStr">
        <is>
          <t>Chihuido de la Sierra Negra</t>
        </is>
      </c>
      <c r="B549" t="inlineStr">
        <is>
          <t>Neuquina</t>
        </is>
      </c>
      <c r="C549" t="inlineStr">
        <is>
          <t>YPF S.A.</t>
        </is>
      </c>
      <c r="D549" t="inlineStr">
        <is>
          <t>convencional</t>
        </is>
      </c>
      <c r="E549" t="inlineStr">
        <is>
          <t>2020-12</t>
        </is>
      </c>
      <c r="F549" t="n">
        <v>14567.7</v>
      </c>
      <c r="G549" t="n">
        <v>568177.3</v>
      </c>
      <c r="H549" t="n">
        <v>779751.2</v>
      </c>
      <c r="I549">
        <f>DAY(EOMONTH(DATE(VALUE(LEFT(E549,4)),VALUE(RIGHT(E549,2)),1),0))</f>
        <v/>
      </c>
      <c r="J549">
        <f>VALUE(LEFT(E549,4))*12+VALUE(RIGHT(E549,2))-1</f>
        <v/>
      </c>
    </row>
    <row r="550">
      <c r="A550" t="inlineStr">
        <is>
          <t>Chihuido de la Sierra Negra</t>
        </is>
      </c>
      <c r="B550" t="inlineStr">
        <is>
          <t>Neuquina</t>
        </is>
      </c>
      <c r="C550" t="inlineStr">
        <is>
          <t>YPF S.A.</t>
        </is>
      </c>
      <c r="D550" t="inlineStr">
        <is>
          <t>no convencional</t>
        </is>
      </c>
      <c r="E550" t="inlineStr">
        <is>
          <t>2020-12</t>
        </is>
      </c>
      <c r="F550" t="n">
        <v>2142.6</v>
      </c>
      <c r="G550" t="n">
        <v>1175.5</v>
      </c>
      <c r="H550" t="n">
        <v>0</v>
      </c>
      <c r="I550">
        <f>DAY(EOMONTH(DATE(VALUE(LEFT(E550,4)),VALUE(RIGHT(E550,2)),1),0))</f>
        <v/>
      </c>
      <c r="J550">
        <f>VALUE(LEFT(E550,4))*12+VALUE(RIGHT(E550,2))-1</f>
        <v/>
      </c>
    </row>
    <row r="551">
      <c r="A551" t="inlineStr">
        <is>
          <t>Chihuido de la Sierra Negra</t>
        </is>
      </c>
      <c r="B551" t="inlineStr">
        <is>
          <t>Neuquina</t>
        </is>
      </c>
      <c r="C551" t="inlineStr">
        <is>
          <t>YPF S.A.</t>
        </is>
      </c>
      <c r="D551" t="inlineStr">
        <is>
          <t>convencional</t>
        </is>
      </c>
      <c r="E551" t="inlineStr">
        <is>
          <t>2021-01</t>
        </is>
      </c>
      <c r="F551" t="n">
        <v>14790</v>
      </c>
      <c r="G551" t="n">
        <v>572397.6</v>
      </c>
      <c r="H551" t="n">
        <v>792991.1</v>
      </c>
      <c r="I551">
        <f>DAY(EOMONTH(DATE(VALUE(LEFT(E551,4)),VALUE(RIGHT(E551,2)),1),0))</f>
        <v/>
      </c>
      <c r="J551">
        <f>VALUE(LEFT(E551,4))*12+VALUE(RIGHT(E551,2))-1</f>
        <v/>
      </c>
    </row>
    <row r="552">
      <c r="A552" t="inlineStr">
        <is>
          <t>Chihuido de la Sierra Negra</t>
        </is>
      </c>
      <c r="B552" t="inlineStr">
        <is>
          <t>Neuquina</t>
        </is>
      </c>
      <c r="C552" t="inlineStr">
        <is>
          <t>YPF S.A.</t>
        </is>
      </c>
      <c r="D552" t="inlineStr">
        <is>
          <t>no convencional</t>
        </is>
      </c>
      <c r="E552" t="inlineStr">
        <is>
          <t>2021-01</t>
        </is>
      </c>
      <c r="F552" t="n">
        <v>3904.6</v>
      </c>
      <c r="G552" t="n">
        <v>1392.6</v>
      </c>
      <c r="H552" t="n">
        <v>0</v>
      </c>
      <c r="I552">
        <f>DAY(EOMONTH(DATE(VALUE(LEFT(E552,4)),VALUE(RIGHT(E552,2)),1),0))</f>
        <v/>
      </c>
      <c r="J552">
        <f>VALUE(LEFT(E552,4))*12+VALUE(RIGHT(E552,2))-1</f>
        <v/>
      </c>
    </row>
    <row r="553">
      <c r="A553" t="inlineStr">
        <is>
          <t>Chihuido de la Sierra Negra</t>
        </is>
      </c>
      <c r="B553" t="inlineStr">
        <is>
          <t>Neuquina</t>
        </is>
      </c>
      <c r="C553" t="inlineStr">
        <is>
          <t>YPF S.A.</t>
        </is>
      </c>
      <c r="D553" t="inlineStr">
        <is>
          <t>convencional</t>
        </is>
      </c>
      <c r="E553" t="inlineStr">
        <is>
          <t>2021-02</t>
        </is>
      </c>
      <c r="F553" t="n">
        <v>14027.6</v>
      </c>
      <c r="G553" t="n">
        <v>529387.4</v>
      </c>
      <c r="H553" t="n">
        <v>727643.9</v>
      </c>
      <c r="I553">
        <f>DAY(EOMONTH(DATE(VALUE(LEFT(E553,4)),VALUE(RIGHT(E553,2)),1),0))</f>
        <v/>
      </c>
      <c r="J553">
        <f>VALUE(LEFT(E553,4))*12+VALUE(RIGHT(E553,2))-1</f>
        <v/>
      </c>
    </row>
    <row r="554">
      <c r="A554" t="inlineStr">
        <is>
          <t>Chihuido de la Sierra Negra</t>
        </is>
      </c>
      <c r="B554" t="inlineStr">
        <is>
          <t>Neuquina</t>
        </is>
      </c>
      <c r="C554" t="inlineStr">
        <is>
          <t>YPF S.A.</t>
        </is>
      </c>
      <c r="D554" t="inlineStr">
        <is>
          <t>no convencional</t>
        </is>
      </c>
      <c r="E554" t="inlineStr">
        <is>
          <t>2021-02</t>
        </is>
      </c>
      <c r="F554" t="n">
        <v>2907.6</v>
      </c>
      <c r="G554" t="n">
        <v>1136.5</v>
      </c>
      <c r="H554" t="n">
        <v>0</v>
      </c>
      <c r="I554">
        <f>DAY(EOMONTH(DATE(VALUE(LEFT(E554,4)),VALUE(RIGHT(E554,2)),1),0))</f>
        <v/>
      </c>
      <c r="J554">
        <f>VALUE(LEFT(E554,4))*12+VALUE(RIGHT(E554,2))-1</f>
        <v/>
      </c>
    </row>
    <row r="555">
      <c r="A555" t="inlineStr">
        <is>
          <t>Chihuido de la Sierra Negra</t>
        </is>
      </c>
      <c r="B555" t="inlineStr">
        <is>
          <t>Neuquina</t>
        </is>
      </c>
      <c r="C555" t="inlineStr">
        <is>
          <t>YPF S.A.</t>
        </is>
      </c>
      <c r="D555" t="inlineStr">
        <is>
          <t>convencional</t>
        </is>
      </c>
      <c r="E555" t="inlineStr">
        <is>
          <t>2021-03</t>
        </is>
      </c>
      <c r="F555" t="n">
        <v>14232.7</v>
      </c>
      <c r="G555" t="n">
        <v>555228.9</v>
      </c>
      <c r="H555" t="n">
        <v>765959.8</v>
      </c>
      <c r="I555">
        <f>DAY(EOMONTH(DATE(VALUE(LEFT(E555,4)),VALUE(RIGHT(E555,2)),1),0))</f>
        <v/>
      </c>
      <c r="J555">
        <f>VALUE(LEFT(E555,4))*12+VALUE(RIGHT(E555,2))-1</f>
        <v/>
      </c>
    </row>
    <row r="556">
      <c r="A556" t="inlineStr">
        <is>
          <t>Chihuido de la Sierra Negra</t>
        </is>
      </c>
      <c r="B556" t="inlineStr">
        <is>
          <t>Neuquina</t>
        </is>
      </c>
      <c r="C556" t="inlineStr">
        <is>
          <t>YPF S.A.</t>
        </is>
      </c>
      <c r="D556" t="inlineStr">
        <is>
          <t>no convencional</t>
        </is>
      </c>
      <c r="E556" t="inlineStr">
        <is>
          <t>2021-03</t>
        </is>
      </c>
      <c r="F556" t="n">
        <v>2658.5</v>
      </c>
      <c r="G556" t="n">
        <v>1871.3</v>
      </c>
      <c r="H556" t="n">
        <v>0</v>
      </c>
      <c r="I556">
        <f>DAY(EOMONTH(DATE(VALUE(LEFT(E556,4)),VALUE(RIGHT(E556,2)),1),0))</f>
        <v/>
      </c>
      <c r="J556">
        <f>VALUE(LEFT(E556,4))*12+VALUE(RIGHT(E556,2))-1</f>
        <v/>
      </c>
    </row>
    <row r="557">
      <c r="A557" t="inlineStr">
        <is>
          <t>Chihuido de la Sierra Negra</t>
        </is>
      </c>
      <c r="B557" t="inlineStr">
        <is>
          <t>Neuquina</t>
        </is>
      </c>
      <c r="C557" t="inlineStr">
        <is>
          <t>YPF S.A.</t>
        </is>
      </c>
      <c r="D557" t="inlineStr">
        <is>
          <t>convencional</t>
        </is>
      </c>
      <c r="E557" t="inlineStr">
        <is>
          <t>2021-04</t>
        </is>
      </c>
      <c r="F557" t="n">
        <v>14598.8</v>
      </c>
      <c r="G557" t="n">
        <v>552953.3</v>
      </c>
      <c r="H557" t="n">
        <v>790023.9</v>
      </c>
      <c r="I557">
        <f>DAY(EOMONTH(DATE(VALUE(LEFT(E557,4)),VALUE(RIGHT(E557,2)),1),0))</f>
        <v/>
      </c>
      <c r="J557">
        <f>VALUE(LEFT(E557,4))*12+VALUE(RIGHT(E557,2))-1</f>
        <v/>
      </c>
    </row>
    <row r="558">
      <c r="A558" t="inlineStr">
        <is>
          <t>Chihuido de la Sierra Negra</t>
        </is>
      </c>
      <c r="B558" t="inlineStr">
        <is>
          <t>Neuquina</t>
        </is>
      </c>
      <c r="C558" t="inlineStr">
        <is>
          <t>YPF S.A.</t>
        </is>
      </c>
      <c r="D558" t="inlineStr">
        <is>
          <t>no convencional</t>
        </is>
      </c>
      <c r="E558" t="inlineStr">
        <is>
          <t>2021-04</t>
        </is>
      </c>
      <c r="F558" t="n">
        <v>2338.9</v>
      </c>
      <c r="G558" t="n">
        <v>2629.3</v>
      </c>
      <c r="H558" t="n">
        <v>0</v>
      </c>
      <c r="I558">
        <f>DAY(EOMONTH(DATE(VALUE(LEFT(E558,4)),VALUE(RIGHT(E558,2)),1),0))</f>
        <v/>
      </c>
      <c r="J558">
        <f>VALUE(LEFT(E558,4))*12+VALUE(RIGHT(E558,2))-1</f>
        <v/>
      </c>
    </row>
    <row r="559">
      <c r="A559" t="inlineStr">
        <is>
          <t>Chihuido de la Sierra Negra</t>
        </is>
      </c>
      <c r="B559" t="inlineStr">
        <is>
          <t>Neuquina</t>
        </is>
      </c>
      <c r="C559" t="inlineStr">
        <is>
          <t>YPF S.A.</t>
        </is>
      </c>
      <c r="D559" t="inlineStr">
        <is>
          <t>convencional</t>
        </is>
      </c>
      <c r="E559" t="inlineStr">
        <is>
          <t>2021-05</t>
        </is>
      </c>
      <c r="F559" t="n">
        <v>14940.3</v>
      </c>
      <c r="G559" t="n">
        <v>582789.9</v>
      </c>
      <c r="H559" t="n">
        <v>840490.2</v>
      </c>
      <c r="I559">
        <f>DAY(EOMONTH(DATE(VALUE(LEFT(E559,4)),VALUE(RIGHT(E559,2)),1),0))</f>
        <v/>
      </c>
      <c r="J559">
        <f>VALUE(LEFT(E559,4))*12+VALUE(RIGHT(E559,2))-1</f>
        <v/>
      </c>
    </row>
    <row r="560">
      <c r="A560" t="inlineStr">
        <is>
          <t>Chihuido de la Sierra Negra</t>
        </is>
      </c>
      <c r="B560" t="inlineStr">
        <is>
          <t>Neuquina</t>
        </is>
      </c>
      <c r="C560" t="inlineStr">
        <is>
          <t>YPF S.A.</t>
        </is>
      </c>
      <c r="D560" t="inlineStr">
        <is>
          <t>no convencional</t>
        </is>
      </c>
      <c r="E560" t="inlineStr">
        <is>
          <t>2021-05</t>
        </is>
      </c>
      <c r="F560" t="n">
        <v>2336.9</v>
      </c>
      <c r="G560" t="n">
        <v>2866.7</v>
      </c>
      <c r="H560" t="n">
        <v>0</v>
      </c>
      <c r="I560">
        <f>DAY(EOMONTH(DATE(VALUE(LEFT(E560,4)),VALUE(RIGHT(E560,2)),1),0))</f>
        <v/>
      </c>
      <c r="J560">
        <f>VALUE(LEFT(E560,4))*12+VALUE(RIGHT(E560,2))-1</f>
        <v/>
      </c>
    </row>
    <row r="561">
      <c r="A561" t="inlineStr">
        <is>
          <t>Chihuido de la Sierra Negra</t>
        </is>
      </c>
      <c r="B561" t="inlineStr">
        <is>
          <t>Neuquina</t>
        </is>
      </c>
      <c r="C561" t="inlineStr">
        <is>
          <t>YPF S.A.</t>
        </is>
      </c>
      <c r="D561" t="inlineStr">
        <is>
          <t>convencional</t>
        </is>
      </c>
      <c r="E561" t="inlineStr">
        <is>
          <t>2021-06</t>
        </is>
      </c>
      <c r="F561" t="n">
        <v>15056.8</v>
      </c>
      <c r="G561" t="n">
        <v>571933</v>
      </c>
      <c r="H561" t="n">
        <v>824815.9</v>
      </c>
      <c r="I561">
        <f>DAY(EOMONTH(DATE(VALUE(LEFT(E561,4)),VALUE(RIGHT(E561,2)),1),0))</f>
        <v/>
      </c>
      <c r="J561">
        <f>VALUE(LEFT(E561,4))*12+VALUE(RIGHT(E561,2))-1</f>
        <v/>
      </c>
    </row>
    <row r="562">
      <c r="A562" t="inlineStr">
        <is>
          <t>Chihuido de la Sierra Negra</t>
        </is>
      </c>
      <c r="B562" t="inlineStr">
        <is>
          <t>Neuquina</t>
        </is>
      </c>
      <c r="C562" t="inlineStr">
        <is>
          <t>YPF S.A.</t>
        </is>
      </c>
      <c r="D562" t="inlineStr">
        <is>
          <t>no convencional</t>
        </is>
      </c>
      <c r="E562" t="inlineStr">
        <is>
          <t>2021-06</t>
        </is>
      </c>
      <c r="F562" t="n">
        <v>2133.8</v>
      </c>
      <c r="G562" t="n">
        <v>2660.7</v>
      </c>
      <c r="H562" t="n">
        <v>0</v>
      </c>
      <c r="I562">
        <f>DAY(EOMONTH(DATE(VALUE(LEFT(E562,4)),VALUE(RIGHT(E562,2)),1),0))</f>
        <v/>
      </c>
      <c r="J562">
        <f>VALUE(LEFT(E562,4))*12+VALUE(RIGHT(E562,2))-1</f>
        <v/>
      </c>
    </row>
    <row r="563">
      <c r="A563" t="inlineStr">
        <is>
          <t>Chihuido de la Sierra Negra</t>
        </is>
      </c>
      <c r="B563" t="inlineStr">
        <is>
          <t>Neuquina</t>
        </is>
      </c>
      <c r="C563" t="inlineStr">
        <is>
          <t>YPF S.A.</t>
        </is>
      </c>
      <c r="D563" t="inlineStr">
        <is>
          <t>convencional</t>
        </is>
      </c>
      <c r="E563" t="inlineStr">
        <is>
          <t>2021-07</t>
        </is>
      </c>
      <c r="F563" t="n">
        <v>15494.3</v>
      </c>
      <c r="G563" t="n">
        <v>576088</v>
      </c>
      <c r="H563" t="n">
        <v>817224.3</v>
      </c>
      <c r="I563">
        <f>DAY(EOMONTH(DATE(VALUE(LEFT(E563,4)),VALUE(RIGHT(E563,2)),1),0))</f>
        <v/>
      </c>
      <c r="J563">
        <f>VALUE(LEFT(E563,4))*12+VALUE(RIGHT(E563,2))-1</f>
        <v/>
      </c>
    </row>
    <row r="564">
      <c r="A564" t="inlineStr">
        <is>
          <t>Chihuido de la Sierra Negra</t>
        </is>
      </c>
      <c r="B564" t="inlineStr">
        <is>
          <t>Neuquina</t>
        </is>
      </c>
      <c r="C564" t="inlineStr">
        <is>
          <t>YPF S.A.</t>
        </is>
      </c>
      <c r="D564" t="inlineStr">
        <is>
          <t>no convencional</t>
        </is>
      </c>
      <c r="E564" t="inlineStr">
        <is>
          <t>2021-07</t>
        </is>
      </c>
      <c r="F564" t="n">
        <v>1744.5</v>
      </c>
      <c r="G564" t="n">
        <v>2002.8</v>
      </c>
      <c r="H564" t="n">
        <v>0</v>
      </c>
      <c r="I564">
        <f>DAY(EOMONTH(DATE(VALUE(LEFT(E564,4)),VALUE(RIGHT(E564,2)),1),0))</f>
        <v/>
      </c>
      <c r="J564">
        <f>VALUE(LEFT(E564,4))*12+VALUE(RIGHT(E564,2))-1</f>
        <v/>
      </c>
    </row>
    <row r="565">
      <c r="A565" t="inlineStr">
        <is>
          <t>Chihuido de la Sierra Negra</t>
        </is>
      </c>
      <c r="B565" t="inlineStr">
        <is>
          <t>Neuquina</t>
        </is>
      </c>
      <c r="C565" t="inlineStr">
        <is>
          <t>YPF S.A.</t>
        </is>
      </c>
      <c r="D565" t="inlineStr">
        <is>
          <t>convencional</t>
        </is>
      </c>
      <c r="E565" t="inlineStr">
        <is>
          <t>2021-08</t>
        </is>
      </c>
      <c r="F565" t="n">
        <v>15371.2</v>
      </c>
      <c r="G565" t="n">
        <v>580100.8</v>
      </c>
      <c r="H565" t="n">
        <v>818535.3</v>
      </c>
      <c r="I565">
        <f>DAY(EOMONTH(DATE(VALUE(LEFT(E565,4)),VALUE(RIGHT(E565,2)),1),0))</f>
        <v/>
      </c>
      <c r="J565">
        <f>VALUE(LEFT(E565,4))*12+VALUE(RIGHT(E565,2))-1</f>
        <v/>
      </c>
    </row>
    <row r="566">
      <c r="A566" t="inlineStr">
        <is>
          <t>Chihuido de la Sierra Negra</t>
        </is>
      </c>
      <c r="B566" t="inlineStr">
        <is>
          <t>Neuquina</t>
        </is>
      </c>
      <c r="C566" t="inlineStr">
        <is>
          <t>YPF S.A.</t>
        </is>
      </c>
      <c r="D566" t="inlineStr">
        <is>
          <t>no convencional</t>
        </is>
      </c>
      <c r="E566" t="inlineStr">
        <is>
          <t>2021-08</t>
        </is>
      </c>
      <c r="F566" t="n">
        <v>1666.3</v>
      </c>
      <c r="G566" t="n">
        <v>1119.1</v>
      </c>
      <c r="H566" t="n">
        <v>0</v>
      </c>
      <c r="I566">
        <f>DAY(EOMONTH(DATE(VALUE(LEFT(E566,4)),VALUE(RIGHT(E566,2)),1),0))</f>
        <v/>
      </c>
      <c r="J566">
        <f>VALUE(LEFT(E566,4))*12+VALUE(RIGHT(E566,2))-1</f>
        <v/>
      </c>
    </row>
    <row r="567">
      <c r="A567" t="inlineStr">
        <is>
          <t>Chihuido de la Sierra Negra</t>
        </is>
      </c>
      <c r="B567" t="inlineStr">
        <is>
          <t>Neuquina</t>
        </is>
      </c>
      <c r="C567" t="inlineStr">
        <is>
          <t>YPF S.A.</t>
        </is>
      </c>
      <c r="D567" t="inlineStr">
        <is>
          <t>convencional</t>
        </is>
      </c>
      <c r="E567" t="inlineStr">
        <is>
          <t>2021-09</t>
        </is>
      </c>
      <c r="F567" t="n">
        <v>15726.2</v>
      </c>
      <c r="G567" t="n">
        <v>572238.4</v>
      </c>
      <c r="H567" t="n">
        <v>790867.3</v>
      </c>
      <c r="I567">
        <f>DAY(EOMONTH(DATE(VALUE(LEFT(E567,4)),VALUE(RIGHT(E567,2)),1),0))</f>
        <v/>
      </c>
      <c r="J567">
        <f>VALUE(LEFT(E567,4))*12+VALUE(RIGHT(E567,2))-1</f>
        <v/>
      </c>
    </row>
    <row r="568">
      <c r="A568" t="inlineStr">
        <is>
          <t>Chihuido de la Sierra Negra</t>
        </is>
      </c>
      <c r="B568" t="inlineStr">
        <is>
          <t>Neuquina</t>
        </is>
      </c>
      <c r="C568" t="inlineStr">
        <is>
          <t>YPF S.A.</t>
        </is>
      </c>
      <c r="D568" t="inlineStr">
        <is>
          <t>no convencional</t>
        </is>
      </c>
      <c r="E568" t="inlineStr">
        <is>
          <t>2021-09</t>
        </is>
      </c>
      <c r="F568" t="n">
        <v>1508.5</v>
      </c>
      <c r="G568" t="n">
        <v>493.3</v>
      </c>
      <c r="H568" t="n">
        <v>0</v>
      </c>
      <c r="I568">
        <f>DAY(EOMONTH(DATE(VALUE(LEFT(E568,4)),VALUE(RIGHT(E568,2)),1),0))</f>
        <v/>
      </c>
      <c r="J568">
        <f>VALUE(LEFT(E568,4))*12+VALUE(RIGHT(E568,2))-1</f>
        <v/>
      </c>
    </row>
    <row r="569">
      <c r="A569" t="inlineStr">
        <is>
          <t>Chihuido de la Sierra Negra</t>
        </is>
      </c>
      <c r="B569" t="inlineStr">
        <is>
          <t>Neuquina</t>
        </is>
      </c>
      <c r="C569" t="inlineStr">
        <is>
          <t>YPF S.A.</t>
        </is>
      </c>
      <c r="D569" t="inlineStr">
        <is>
          <t>convencional</t>
        </is>
      </c>
      <c r="E569" t="inlineStr">
        <is>
          <t>2021-10</t>
        </is>
      </c>
      <c r="F569" t="n">
        <v>16002.6</v>
      </c>
      <c r="G569" t="n">
        <v>616710.6</v>
      </c>
      <c r="H569" t="n">
        <v>828084.1</v>
      </c>
      <c r="I569">
        <f>DAY(EOMONTH(DATE(VALUE(LEFT(E569,4)),VALUE(RIGHT(E569,2)),1),0))</f>
        <v/>
      </c>
      <c r="J569">
        <f>VALUE(LEFT(E569,4))*12+VALUE(RIGHT(E569,2))-1</f>
        <v/>
      </c>
    </row>
    <row r="570">
      <c r="A570" t="inlineStr">
        <is>
          <t>Chihuido de la Sierra Negra</t>
        </is>
      </c>
      <c r="B570" t="inlineStr">
        <is>
          <t>Neuquina</t>
        </is>
      </c>
      <c r="C570" t="inlineStr">
        <is>
          <t>YPF S.A.</t>
        </is>
      </c>
      <c r="D570" t="inlineStr">
        <is>
          <t>no convencional</t>
        </is>
      </c>
      <c r="E570" t="inlineStr">
        <is>
          <t>2021-10</t>
        </is>
      </c>
      <c r="F570" t="n">
        <v>1517</v>
      </c>
      <c r="G570" t="n">
        <v>288.2</v>
      </c>
      <c r="H570" t="n">
        <v>0</v>
      </c>
      <c r="I570">
        <f>DAY(EOMONTH(DATE(VALUE(LEFT(E570,4)),VALUE(RIGHT(E570,2)),1),0))</f>
        <v/>
      </c>
      <c r="J570">
        <f>VALUE(LEFT(E570,4))*12+VALUE(RIGHT(E570,2))-1</f>
        <v/>
      </c>
    </row>
    <row r="571">
      <c r="A571" t="inlineStr">
        <is>
          <t>Chihuido de la Sierra Negra</t>
        </is>
      </c>
      <c r="B571" t="inlineStr">
        <is>
          <t>Neuquina</t>
        </is>
      </c>
      <c r="C571" t="inlineStr">
        <is>
          <t>YPF S.A.</t>
        </is>
      </c>
      <c r="D571" t="inlineStr">
        <is>
          <t>convencional</t>
        </is>
      </c>
      <c r="E571" t="inlineStr">
        <is>
          <t>2021-11</t>
        </is>
      </c>
      <c r="F571" t="n">
        <v>15594.5</v>
      </c>
      <c r="G571" t="n">
        <v>605082.1</v>
      </c>
      <c r="H571" t="n">
        <v>821797.3</v>
      </c>
      <c r="I571">
        <f>DAY(EOMONTH(DATE(VALUE(LEFT(E571,4)),VALUE(RIGHT(E571,2)),1),0))</f>
        <v/>
      </c>
      <c r="J571">
        <f>VALUE(LEFT(E571,4))*12+VALUE(RIGHT(E571,2))-1</f>
        <v/>
      </c>
    </row>
    <row r="572">
      <c r="A572" t="inlineStr">
        <is>
          <t>Chihuido de la Sierra Negra</t>
        </is>
      </c>
      <c r="B572" t="inlineStr">
        <is>
          <t>Neuquina</t>
        </is>
      </c>
      <c r="C572" t="inlineStr">
        <is>
          <t>YPF S.A.</t>
        </is>
      </c>
      <c r="D572" t="inlineStr">
        <is>
          <t>no convencional</t>
        </is>
      </c>
      <c r="E572" t="inlineStr">
        <is>
          <t>2021-11</t>
        </is>
      </c>
      <c r="F572" t="n">
        <v>1385.8</v>
      </c>
      <c r="G572" t="n">
        <v>195.2</v>
      </c>
      <c r="H572" t="n">
        <v>0</v>
      </c>
      <c r="I572">
        <f>DAY(EOMONTH(DATE(VALUE(LEFT(E572,4)),VALUE(RIGHT(E572,2)),1),0))</f>
        <v/>
      </c>
      <c r="J572">
        <f>VALUE(LEFT(E572,4))*12+VALUE(RIGHT(E572,2))-1</f>
        <v/>
      </c>
    </row>
    <row r="573">
      <c r="A573" t="inlineStr">
        <is>
          <t>Chihuido de la Sierra Negra</t>
        </is>
      </c>
      <c r="B573" t="inlineStr">
        <is>
          <t>Neuquina</t>
        </is>
      </c>
      <c r="C573" t="inlineStr">
        <is>
          <t>YPF S.A.</t>
        </is>
      </c>
      <c r="D573" t="inlineStr">
        <is>
          <t>convencional</t>
        </is>
      </c>
      <c r="E573" t="inlineStr">
        <is>
          <t>2021-12</t>
        </is>
      </c>
      <c r="F573" t="n">
        <v>15519.5</v>
      </c>
      <c r="G573" t="n">
        <v>613004.3</v>
      </c>
      <c r="H573" t="n">
        <v>829130.3</v>
      </c>
      <c r="I573">
        <f>DAY(EOMONTH(DATE(VALUE(LEFT(E573,4)),VALUE(RIGHT(E573,2)),1),0))</f>
        <v/>
      </c>
      <c r="J573">
        <f>VALUE(LEFT(E573,4))*12+VALUE(RIGHT(E573,2))-1</f>
        <v/>
      </c>
    </row>
    <row r="574">
      <c r="A574" t="inlineStr">
        <is>
          <t>Chihuido de la Sierra Negra</t>
        </is>
      </c>
      <c r="B574" t="inlineStr">
        <is>
          <t>Neuquina</t>
        </is>
      </c>
      <c r="C574" t="inlineStr">
        <is>
          <t>YPF S.A.</t>
        </is>
      </c>
      <c r="D574" t="inlineStr">
        <is>
          <t>no convencional</t>
        </is>
      </c>
      <c r="E574" t="inlineStr">
        <is>
          <t>2021-12</t>
        </is>
      </c>
      <c r="F574" t="n">
        <v>1253.2</v>
      </c>
      <c r="G574" t="n">
        <v>151.2</v>
      </c>
      <c r="H574" t="n">
        <v>0</v>
      </c>
      <c r="I574">
        <f>DAY(EOMONTH(DATE(VALUE(LEFT(E574,4)),VALUE(RIGHT(E574,2)),1),0))</f>
        <v/>
      </c>
      <c r="J574">
        <f>VALUE(LEFT(E574,4))*12+VALUE(RIGHT(E574,2))-1</f>
        <v/>
      </c>
    </row>
    <row r="575">
      <c r="A575" t="inlineStr">
        <is>
          <t>Chihuido de la Sierra Negra</t>
        </is>
      </c>
      <c r="B575" t="inlineStr">
        <is>
          <t>Neuquina</t>
        </is>
      </c>
      <c r="C575" t="inlineStr">
        <is>
          <t>YPF S.A.</t>
        </is>
      </c>
      <c r="D575" t="inlineStr">
        <is>
          <t>convencional</t>
        </is>
      </c>
      <c r="E575" t="inlineStr">
        <is>
          <t>2022-01</t>
        </is>
      </c>
      <c r="F575" t="n">
        <v>15760.6</v>
      </c>
      <c r="G575" t="n">
        <v>614257.9</v>
      </c>
      <c r="H575" t="n">
        <v>835802.5</v>
      </c>
      <c r="I575">
        <f>DAY(EOMONTH(DATE(VALUE(LEFT(E575,4)),VALUE(RIGHT(E575,2)),1),0))</f>
        <v/>
      </c>
      <c r="J575">
        <f>VALUE(LEFT(E575,4))*12+VALUE(RIGHT(E575,2))-1</f>
        <v/>
      </c>
    </row>
    <row r="576">
      <c r="A576" t="inlineStr">
        <is>
          <t>Chihuido de la Sierra Negra</t>
        </is>
      </c>
      <c r="B576" t="inlineStr">
        <is>
          <t>Neuquina</t>
        </is>
      </c>
      <c r="C576" t="inlineStr">
        <is>
          <t>YPF S.A.</t>
        </is>
      </c>
      <c r="D576" t="inlineStr">
        <is>
          <t>no convencional</t>
        </is>
      </c>
      <c r="E576" t="inlineStr">
        <is>
          <t>2022-01</t>
        </is>
      </c>
      <c r="F576" t="n">
        <v>1235.5</v>
      </c>
      <c r="G576" t="n">
        <v>144.5</v>
      </c>
      <c r="H576" t="n">
        <v>0</v>
      </c>
      <c r="I576">
        <f>DAY(EOMONTH(DATE(VALUE(LEFT(E576,4)),VALUE(RIGHT(E576,2)),1),0))</f>
        <v/>
      </c>
      <c r="J576">
        <f>VALUE(LEFT(E576,4))*12+VALUE(RIGHT(E576,2))-1</f>
        <v/>
      </c>
    </row>
    <row r="577">
      <c r="A577" t="inlineStr">
        <is>
          <t>Chihuido de la Sierra Negra</t>
        </is>
      </c>
      <c r="B577" t="inlineStr">
        <is>
          <t>Neuquina</t>
        </is>
      </c>
      <c r="C577" t="inlineStr">
        <is>
          <t>YPF S.A.</t>
        </is>
      </c>
      <c r="D577" t="inlineStr">
        <is>
          <t>convencional</t>
        </is>
      </c>
      <c r="E577" t="inlineStr">
        <is>
          <t>2022-02</t>
        </is>
      </c>
      <c r="F577" t="n">
        <v>14508.4</v>
      </c>
      <c r="G577" t="n">
        <v>552910.4</v>
      </c>
      <c r="H577" t="n">
        <v>741536.9</v>
      </c>
      <c r="I577">
        <f>DAY(EOMONTH(DATE(VALUE(LEFT(E577,4)),VALUE(RIGHT(E577,2)),1),0))</f>
        <v/>
      </c>
      <c r="J577">
        <f>VALUE(LEFT(E577,4))*12+VALUE(RIGHT(E577,2))-1</f>
        <v/>
      </c>
    </row>
    <row r="578">
      <c r="A578" t="inlineStr">
        <is>
          <t>Chihuido de la Sierra Negra</t>
        </is>
      </c>
      <c r="B578" t="inlineStr">
        <is>
          <t>Neuquina</t>
        </is>
      </c>
      <c r="C578" t="inlineStr">
        <is>
          <t>YPF S.A.</t>
        </is>
      </c>
      <c r="D578" t="inlineStr">
        <is>
          <t>no convencional</t>
        </is>
      </c>
      <c r="E578" t="inlineStr">
        <is>
          <t>2022-02</t>
        </is>
      </c>
      <c r="F578" t="n">
        <v>1079.5</v>
      </c>
      <c r="G578" t="n">
        <v>120.3</v>
      </c>
      <c r="H578" t="n">
        <v>0</v>
      </c>
      <c r="I578">
        <f>DAY(EOMONTH(DATE(VALUE(LEFT(E578,4)),VALUE(RIGHT(E578,2)),1),0))</f>
        <v/>
      </c>
      <c r="J578">
        <f>VALUE(LEFT(E578,4))*12+VALUE(RIGHT(E578,2))-1</f>
        <v/>
      </c>
    </row>
    <row r="579">
      <c r="A579" t="inlineStr">
        <is>
          <t>Chihuido de la Sierra Negra</t>
        </is>
      </c>
      <c r="B579" t="inlineStr">
        <is>
          <t>Neuquina</t>
        </is>
      </c>
      <c r="C579" t="inlineStr">
        <is>
          <t>YPF S.A.</t>
        </is>
      </c>
      <c r="D579" t="inlineStr">
        <is>
          <t>convencional</t>
        </is>
      </c>
      <c r="E579" t="inlineStr">
        <is>
          <t>2022-03</t>
        </is>
      </c>
      <c r="F579" t="n">
        <v>16279.7</v>
      </c>
      <c r="G579" t="n">
        <v>617383.2</v>
      </c>
      <c r="H579" t="n">
        <v>854939.9</v>
      </c>
      <c r="I579">
        <f>DAY(EOMONTH(DATE(VALUE(LEFT(E579,4)),VALUE(RIGHT(E579,2)),1),0))</f>
        <v/>
      </c>
      <c r="J579">
        <f>VALUE(LEFT(E579,4))*12+VALUE(RIGHT(E579,2))-1</f>
        <v/>
      </c>
    </row>
    <row r="580">
      <c r="A580" t="inlineStr">
        <is>
          <t>Chihuido de la Sierra Negra</t>
        </is>
      </c>
      <c r="B580" t="inlineStr">
        <is>
          <t>Neuquina</t>
        </is>
      </c>
      <c r="C580" t="inlineStr">
        <is>
          <t>YPF S.A.</t>
        </is>
      </c>
      <c r="D580" t="inlineStr">
        <is>
          <t>no convencional</t>
        </is>
      </c>
      <c r="E580" t="inlineStr">
        <is>
          <t>2022-03</t>
        </is>
      </c>
      <c r="F580" t="n">
        <v>1191.5</v>
      </c>
      <c r="G580" t="n">
        <v>156.6</v>
      </c>
      <c r="H580" t="n">
        <v>0</v>
      </c>
      <c r="I580">
        <f>DAY(EOMONTH(DATE(VALUE(LEFT(E580,4)),VALUE(RIGHT(E580,2)),1),0))</f>
        <v/>
      </c>
      <c r="J580">
        <f>VALUE(LEFT(E580,4))*12+VALUE(RIGHT(E580,2))-1</f>
        <v/>
      </c>
    </row>
    <row r="581">
      <c r="A581" t="inlineStr">
        <is>
          <t>Chihuido de la Sierra Negra</t>
        </is>
      </c>
      <c r="B581" t="inlineStr">
        <is>
          <t>Neuquina</t>
        </is>
      </c>
      <c r="C581" t="inlineStr">
        <is>
          <t>YPF S.A.</t>
        </is>
      </c>
      <c r="D581" t="inlineStr">
        <is>
          <t>convencional</t>
        </is>
      </c>
      <c r="E581" t="inlineStr">
        <is>
          <t>2022-04</t>
        </is>
      </c>
      <c r="F581" t="n">
        <v>15679</v>
      </c>
      <c r="G581" t="n">
        <v>579938.7</v>
      </c>
      <c r="H581" t="n">
        <v>813362.3</v>
      </c>
      <c r="I581">
        <f>DAY(EOMONTH(DATE(VALUE(LEFT(E581,4)),VALUE(RIGHT(E581,2)),1),0))</f>
        <v/>
      </c>
      <c r="J581">
        <f>VALUE(LEFT(E581,4))*12+VALUE(RIGHT(E581,2))-1</f>
        <v/>
      </c>
    </row>
    <row r="582">
      <c r="A582" t="inlineStr">
        <is>
          <t>Chihuido de la Sierra Negra</t>
        </is>
      </c>
      <c r="B582" t="inlineStr">
        <is>
          <t>Neuquina</t>
        </is>
      </c>
      <c r="C582" t="inlineStr">
        <is>
          <t>YPF S.A.</t>
        </is>
      </c>
      <c r="D582" t="inlineStr">
        <is>
          <t>no convencional</t>
        </is>
      </c>
      <c r="E582" t="inlineStr">
        <is>
          <t>2022-04</t>
        </is>
      </c>
      <c r="F582" t="n">
        <v>1015.8</v>
      </c>
      <c r="G582" t="n">
        <v>98.40000000000001</v>
      </c>
      <c r="H582" t="n">
        <v>0</v>
      </c>
      <c r="I582">
        <f>DAY(EOMONTH(DATE(VALUE(LEFT(E582,4)),VALUE(RIGHT(E582,2)),1),0))</f>
        <v/>
      </c>
      <c r="J582">
        <f>VALUE(LEFT(E582,4))*12+VALUE(RIGHT(E582,2))-1</f>
        <v/>
      </c>
    </row>
    <row r="583">
      <c r="A583" t="inlineStr">
        <is>
          <t>Chihuido de la Sierra Negra</t>
        </is>
      </c>
      <c r="B583" t="inlineStr">
        <is>
          <t>Neuquina</t>
        </is>
      </c>
      <c r="C583" t="inlineStr">
        <is>
          <t>YPF S.A.</t>
        </is>
      </c>
      <c r="D583" t="inlineStr">
        <is>
          <t>convencional</t>
        </is>
      </c>
      <c r="E583" t="inlineStr">
        <is>
          <t>2022-05</t>
        </is>
      </c>
      <c r="F583" t="n">
        <v>15307.1</v>
      </c>
      <c r="G583" t="n">
        <v>536977.7</v>
      </c>
      <c r="H583" t="n">
        <v>751926.3</v>
      </c>
      <c r="I583">
        <f>DAY(EOMONTH(DATE(VALUE(LEFT(E583,4)),VALUE(RIGHT(E583,2)),1),0))</f>
        <v/>
      </c>
      <c r="J583">
        <f>VALUE(LEFT(E583,4))*12+VALUE(RIGHT(E583,2))-1</f>
        <v/>
      </c>
    </row>
    <row r="584">
      <c r="A584" t="inlineStr">
        <is>
          <t>Chihuido de la Sierra Negra</t>
        </is>
      </c>
      <c r="B584" t="inlineStr">
        <is>
          <t>Neuquina</t>
        </is>
      </c>
      <c r="C584" t="inlineStr">
        <is>
          <t>YPF S.A.</t>
        </is>
      </c>
      <c r="D584" t="inlineStr">
        <is>
          <t>no convencional</t>
        </is>
      </c>
      <c r="E584" t="inlineStr">
        <is>
          <t>2022-05</t>
        </is>
      </c>
      <c r="F584" t="n">
        <v>866.8</v>
      </c>
      <c r="G584" t="n">
        <v>42.2</v>
      </c>
      <c r="H584" t="n">
        <v>0</v>
      </c>
      <c r="I584">
        <f>DAY(EOMONTH(DATE(VALUE(LEFT(E584,4)),VALUE(RIGHT(E584,2)),1),0))</f>
        <v/>
      </c>
      <c r="J584">
        <f>VALUE(LEFT(E584,4))*12+VALUE(RIGHT(E584,2))-1</f>
        <v/>
      </c>
    </row>
    <row r="585">
      <c r="A585" t="inlineStr">
        <is>
          <t>Chihuido de la Sierra Negra</t>
        </is>
      </c>
      <c r="B585" t="inlineStr">
        <is>
          <t>Neuquina</t>
        </is>
      </c>
      <c r="C585" t="inlineStr">
        <is>
          <t>YPF S.A.</t>
        </is>
      </c>
      <c r="D585" t="inlineStr">
        <is>
          <t>convencional</t>
        </is>
      </c>
      <c r="E585" t="inlineStr">
        <is>
          <t>2022-06</t>
        </is>
      </c>
      <c r="F585" t="n">
        <v>13658.4</v>
      </c>
      <c r="G585" t="n">
        <v>482661.1</v>
      </c>
      <c r="H585" t="n">
        <v>670453</v>
      </c>
      <c r="I585">
        <f>DAY(EOMONTH(DATE(VALUE(LEFT(E585,4)),VALUE(RIGHT(E585,2)),1),0))</f>
        <v/>
      </c>
      <c r="J585">
        <f>VALUE(LEFT(E585,4))*12+VALUE(RIGHT(E585,2))-1</f>
        <v/>
      </c>
    </row>
    <row r="586">
      <c r="A586" t="inlineStr">
        <is>
          <t>Chihuido de la Sierra Negra</t>
        </is>
      </c>
      <c r="B586" t="inlineStr">
        <is>
          <t>Neuquina</t>
        </is>
      </c>
      <c r="C586" t="inlineStr">
        <is>
          <t>YPF S.A.</t>
        </is>
      </c>
      <c r="D586" t="inlineStr">
        <is>
          <t>no convencional</t>
        </is>
      </c>
      <c r="E586" t="inlineStr">
        <is>
          <t>2022-06</t>
        </is>
      </c>
      <c r="F586" t="n">
        <v>1373.4</v>
      </c>
      <c r="G586" t="n">
        <v>1211.3</v>
      </c>
      <c r="H586" t="n">
        <v>0</v>
      </c>
      <c r="I586">
        <f>DAY(EOMONTH(DATE(VALUE(LEFT(E586,4)),VALUE(RIGHT(E586,2)),1),0))</f>
        <v/>
      </c>
      <c r="J586">
        <f>VALUE(LEFT(E586,4))*12+VALUE(RIGHT(E586,2))-1</f>
        <v/>
      </c>
    </row>
    <row r="587">
      <c r="A587" t="inlineStr">
        <is>
          <t>Chihuido de la Sierra Negra</t>
        </is>
      </c>
      <c r="B587" t="inlineStr">
        <is>
          <t>Neuquina</t>
        </is>
      </c>
      <c r="C587" t="inlineStr">
        <is>
          <t>YPF S.A.</t>
        </is>
      </c>
      <c r="D587" t="inlineStr">
        <is>
          <t>convencional</t>
        </is>
      </c>
      <c r="E587" t="inlineStr">
        <is>
          <t>2022-07</t>
        </is>
      </c>
      <c r="F587" t="n">
        <v>13960.8</v>
      </c>
      <c r="G587" t="n">
        <v>521251.7</v>
      </c>
      <c r="H587" t="n">
        <v>705162.3</v>
      </c>
      <c r="I587">
        <f>DAY(EOMONTH(DATE(VALUE(LEFT(E587,4)),VALUE(RIGHT(E587,2)),1),0))</f>
        <v/>
      </c>
      <c r="J587">
        <f>VALUE(LEFT(E587,4))*12+VALUE(RIGHT(E587,2))-1</f>
        <v/>
      </c>
    </row>
    <row r="588">
      <c r="A588" t="inlineStr">
        <is>
          <t>Chihuido de la Sierra Negra</t>
        </is>
      </c>
      <c r="B588" t="inlineStr">
        <is>
          <t>Neuquina</t>
        </is>
      </c>
      <c r="C588" t="inlineStr">
        <is>
          <t>YPF S.A.</t>
        </is>
      </c>
      <c r="D588" t="inlineStr">
        <is>
          <t>no convencional</t>
        </is>
      </c>
      <c r="E588" t="inlineStr">
        <is>
          <t>2022-07</t>
        </is>
      </c>
      <c r="F588" t="n">
        <v>2528.9</v>
      </c>
      <c r="G588" t="n">
        <v>2683</v>
      </c>
      <c r="H588" t="n">
        <v>0</v>
      </c>
      <c r="I588">
        <f>DAY(EOMONTH(DATE(VALUE(LEFT(E588,4)),VALUE(RIGHT(E588,2)),1),0))</f>
        <v/>
      </c>
      <c r="J588">
        <f>VALUE(LEFT(E588,4))*12+VALUE(RIGHT(E588,2))-1</f>
        <v/>
      </c>
    </row>
    <row r="589">
      <c r="A589" t="inlineStr">
        <is>
          <t>Chihuido de la Sierra Negra</t>
        </is>
      </c>
      <c r="B589" t="inlineStr">
        <is>
          <t>Neuquina</t>
        </is>
      </c>
      <c r="C589" t="inlineStr">
        <is>
          <t>YPF S.A.</t>
        </is>
      </c>
      <c r="D589" t="inlineStr">
        <is>
          <t>convencional</t>
        </is>
      </c>
      <c r="E589" t="inlineStr">
        <is>
          <t>2022-08</t>
        </is>
      </c>
      <c r="F589" t="n">
        <v>13390.3</v>
      </c>
      <c r="G589" t="n">
        <v>493260.8</v>
      </c>
      <c r="H589" t="n">
        <v>678580.6</v>
      </c>
      <c r="I589">
        <f>DAY(EOMONTH(DATE(VALUE(LEFT(E589,4)),VALUE(RIGHT(E589,2)),1),0))</f>
        <v/>
      </c>
      <c r="J589">
        <f>VALUE(LEFT(E589,4))*12+VALUE(RIGHT(E589,2))-1</f>
        <v/>
      </c>
    </row>
    <row r="590">
      <c r="A590" t="inlineStr">
        <is>
          <t>Chihuido de la Sierra Negra</t>
        </is>
      </c>
      <c r="B590" t="inlineStr">
        <is>
          <t>Neuquina</t>
        </is>
      </c>
      <c r="C590" t="inlineStr">
        <is>
          <t>YPF S.A.</t>
        </is>
      </c>
      <c r="D590" t="inlineStr">
        <is>
          <t>no convencional</t>
        </is>
      </c>
      <c r="E590" t="inlineStr">
        <is>
          <t>2022-08</t>
        </is>
      </c>
      <c r="F590" t="n">
        <v>2175.7</v>
      </c>
      <c r="G590" t="n">
        <v>2977.4</v>
      </c>
      <c r="H590" t="n">
        <v>0</v>
      </c>
      <c r="I590">
        <f>DAY(EOMONTH(DATE(VALUE(LEFT(E590,4)),VALUE(RIGHT(E590,2)),1),0))</f>
        <v/>
      </c>
      <c r="J590">
        <f>VALUE(LEFT(E590,4))*12+VALUE(RIGHT(E590,2))-1</f>
        <v/>
      </c>
    </row>
    <row r="591">
      <c r="A591" t="inlineStr">
        <is>
          <t>Chihuido de la Sierra Negra</t>
        </is>
      </c>
      <c r="B591" t="inlineStr">
        <is>
          <t>Neuquina</t>
        </is>
      </c>
      <c r="C591" t="inlineStr">
        <is>
          <t>YPF S.A.</t>
        </is>
      </c>
      <c r="D591" t="inlineStr">
        <is>
          <t>convencional</t>
        </is>
      </c>
      <c r="E591" t="inlineStr">
        <is>
          <t>2022-09</t>
        </is>
      </c>
      <c r="F591" t="n">
        <v>12362.7</v>
      </c>
      <c r="G591" t="n">
        <v>453991.4</v>
      </c>
      <c r="H591" t="n">
        <v>623995.4</v>
      </c>
      <c r="I591">
        <f>DAY(EOMONTH(DATE(VALUE(LEFT(E591,4)),VALUE(RIGHT(E591,2)),1),0))</f>
        <v/>
      </c>
      <c r="J591">
        <f>VALUE(LEFT(E591,4))*12+VALUE(RIGHT(E591,2))-1</f>
        <v/>
      </c>
    </row>
    <row r="592">
      <c r="A592" t="inlineStr">
        <is>
          <t>Chihuido de la Sierra Negra</t>
        </is>
      </c>
      <c r="B592" t="inlineStr">
        <is>
          <t>Neuquina</t>
        </is>
      </c>
      <c r="C592" t="inlineStr">
        <is>
          <t>YPF S.A.</t>
        </is>
      </c>
      <c r="D592" t="inlineStr">
        <is>
          <t>no convencional</t>
        </is>
      </c>
      <c r="E592" t="inlineStr">
        <is>
          <t>2022-09</t>
        </is>
      </c>
      <c r="F592" t="n">
        <v>1912.8</v>
      </c>
      <c r="G592" t="n">
        <v>2476.6</v>
      </c>
      <c r="H592" t="n">
        <v>0</v>
      </c>
      <c r="I592">
        <f>DAY(EOMONTH(DATE(VALUE(LEFT(E592,4)),VALUE(RIGHT(E592,2)),1),0))</f>
        <v/>
      </c>
      <c r="J592">
        <f>VALUE(LEFT(E592,4))*12+VALUE(RIGHT(E592,2))-1</f>
        <v/>
      </c>
    </row>
    <row r="593">
      <c r="A593" t="inlineStr">
        <is>
          <t>Chihuido de la Sierra Negra</t>
        </is>
      </c>
      <c r="B593" t="inlineStr">
        <is>
          <t>Neuquina</t>
        </is>
      </c>
      <c r="C593" t="inlineStr">
        <is>
          <t>YPF S.A.</t>
        </is>
      </c>
      <c r="D593" t="inlineStr">
        <is>
          <t>convencional</t>
        </is>
      </c>
      <c r="E593" t="inlineStr">
        <is>
          <t>2022-10</t>
        </is>
      </c>
      <c r="F593" t="n">
        <v>12495.6</v>
      </c>
      <c r="G593" t="n">
        <v>464666</v>
      </c>
      <c r="H593" t="n">
        <v>624328.3</v>
      </c>
      <c r="I593">
        <f>DAY(EOMONTH(DATE(VALUE(LEFT(E593,4)),VALUE(RIGHT(E593,2)),1),0))</f>
        <v/>
      </c>
      <c r="J593">
        <f>VALUE(LEFT(E593,4))*12+VALUE(RIGHT(E593,2))-1</f>
        <v/>
      </c>
    </row>
    <row r="594">
      <c r="A594" t="inlineStr">
        <is>
          <t>Chihuido de la Sierra Negra</t>
        </is>
      </c>
      <c r="B594" t="inlineStr">
        <is>
          <t>Neuquina</t>
        </is>
      </c>
      <c r="C594" t="inlineStr">
        <is>
          <t>YPF S.A.</t>
        </is>
      </c>
      <c r="D594" t="inlineStr">
        <is>
          <t>no convencional</t>
        </is>
      </c>
      <c r="E594" t="inlineStr">
        <is>
          <t>2022-10</t>
        </is>
      </c>
      <c r="F594" t="n">
        <v>1800.8</v>
      </c>
      <c r="G594" t="n">
        <v>2498.9</v>
      </c>
      <c r="H594" t="n">
        <v>0</v>
      </c>
      <c r="I594">
        <f>DAY(EOMONTH(DATE(VALUE(LEFT(E594,4)),VALUE(RIGHT(E594,2)),1),0))</f>
        <v/>
      </c>
      <c r="J594">
        <f>VALUE(LEFT(E594,4))*12+VALUE(RIGHT(E594,2))-1</f>
        <v/>
      </c>
    </row>
    <row r="595">
      <c r="A595" t="inlineStr">
        <is>
          <t>Chihuido de la Sierra Negra</t>
        </is>
      </c>
      <c r="B595" t="inlineStr">
        <is>
          <t>Neuquina</t>
        </is>
      </c>
      <c r="C595" t="inlineStr">
        <is>
          <t>YPF S.A.</t>
        </is>
      </c>
      <c r="D595" t="inlineStr">
        <is>
          <t>convencional</t>
        </is>
      </c>
      <c r="E595" t="inlineStr">
        <is>
          <t>2022-11</t>
        </is>
      </c>
      <c r="F595" t="n">
        <v>12114.3</v>
      </c>
      <c r="G595" t="n">
        <v>459772.1</v>
      </c>
      <c r="H595" t="n">
        <v>594659.1</v>
      </c>
      <c r="I595">
        <f>DAY(EOMONTH(DATE(VALUE(LEFT(E595,4)),VALUE(RIGHT(E595,2)),1),0))</f>
        <v/>
      </c>
      <c r="J595">
        <f>VALUE(LEFT(E595,4))*12+VALUE(RIGHT(E595,2))-1</f>
        <v/>
      </c>
    </row>
    <row r="596">
      <c r="A596" t="inlineStr">
        <is>
          <t>Chihuido de la Sierra Negra</t>
        </is>
      </c>
      <c r="B596" t="inlineStr">
        <is>
          <t>Neuquina</t>
        </is>
      </c>
      <c r="C596" t="inlineStr">
        <is>
          <t>YPF S.A.</t>
        </is>
      </c>
      <c r="D596" t="inlineStr">
        <is>
          <t>no convencional</t>
        </is>
      </c>
      <c r="E596" t="inlineStr">
        <is>
          <t>2022-11</t>
        </is>
      </c>
      <c r="F596" t="n">
        <v>1694.7</v>
      </c>
      <c r="G596" t="n">
        <v>2144.9</v>
      </c>
      <c r="H596" t="n">
        <v>0</v>
      </c>
      <c r="I596">
        <f>DAY(EOMONTH(DATE(VALUE(LEFT(E596,4)),VALUE(RIGHT(E596,2)),1),0))</f>
        <v/>
      </c>
      <c r="J596">
        <f>VALUE(LEFT(E596,4))*12+VALUE(RIGHT(E596,2))-1</f>
        <v/>
      </c>
    </row>
    <row r="597">
      <c r="A597" t="inlineStr">
        <is>
          <t>Chihuido de la Sierra Negra</t>
        </is>
      </c>
      <c r="B597" t="inlineStr">
        <is>
          <t>Neuquina</t>
        </is>
      </c>
      <c r="C597" t="inlineStr">
        <is>
          <t>YPF S.A.</t>
        </is>
      </c>
      <c r="D597" t="inlineStr">
        <is>
          <t>convencional</t>
        </is>
      </c>
      <c r="E597" t="inlineStr">
        <is>
          <t>2022-12</t>
        </is>
      </c>
      <c r="F597" t="n">
        <v>12652.8</v>
      </c>
      <c r="G597" t="n">
        <v>488415</v>
      </c>
      <c r="H597" t="n">
        <v>644364</v>
      </c>
      <c r="I597">
        <f>DAY(EOMONTH(DATE(VALUE(LEFT(E597,4)),VALUE(RIGHT(E597,2)),1),0))</f>
        <v/>
      </c>
      <c r="J597">
        <f>VALUE(LEFT(E597,4))*12+VALUE(RIGHT(E597,2))-1</f>
        <v/>
      </c>
    </row>
    <row r="598">
      <c r="A598" t="inlineStr">
        <is>
          <t>Chihuido de la Sierra Negra</t>
        </is>
      </c>
      <c r="B598" t="inlineStr">
        <is>
          <t>Neuquina</t>
        </is>
      </c>
      <c r="C598" t="inlineStr">
        <is>
          <t>YPF S.A.</t>
        </is>
      </c>
      <c r="D598" t="inlineStr">
        <is>
          <t>no convencional</t>
        </is>
      </c>
      <c r="E598" t="inlineStr">
        <is>
          <t>2022-12</t>
        </is>
      </c>
      <c r="F598" t="n">
        <v>1584.3</v>
      </c>
      <c r="G598" t="n">
        <v>2251.7</v>
      </c>
      <c r="H598" t="n">
        <v>0</v>
      </c>
      <c r="I598">
        <f>DAY(EOMONTH(DATE(VALUE(LEFT(E598,4)),VALUE(RIGHT(E598,2)),1),0))</f>
        <v/>
      </c>
      <c r="J598">
        <f>VALUE(LEFT(E598,4))*12+VALUE(RIGHT(E598,2))-1</f>
        <v/>
      </c>
    </row>
    <row r="599">
      <c r="A599" t="inlineStr">
        <is>
          <t>Chihuido de la Sierra Negra</t>
        </is>
      </c>
      <c r="B599" t="inlineStr">
        <is>
          <t>Neuquina</t>
        </is>
      </c>
      <c r="C599" t="inlineStr">
        <is>
          <t>YPF S.A.</t>
        </is>
      </c>
      <c r="D599" t="inlineStr">
        <is>
          <t>convencional</t>
        </is>
      </c>
      <c r="E599" t="inlineStr">
        <is>
          <t>2023-01</t>
        </is>
      </c>
      <c r="F599" t="n">
        <v>12468.3</v>
      </c>
      <c r="G599" t="n">
        <v>503013.7</v>
      </c>
      <c r="H599" t="n">
        <v>610674.8</v>
      </c>
      <c r="I599">
        <f>DAY(EOMONTH(DATE(VALUE(LEFT(E599,4)),VALUE(RIGHT(E599,2)),1),0))</f>
        <v/>
      </c>
      <c r="J599">
        <f>VALUE(LEFT(E599,4))*12+VALUE(RIGHT(E599,2))-1</f>
        <v/>
      </c>
    </row>
    <row r="600">
      <c r="A600" t="inlineStr">
        <is>
          <t>Chihuido de la Sierra Negra</t>
        </is>
      </c>
      <c r="B600" t="inlineStr">
        <is>
          <t>Neuquina</t>
        </is>
      </c>
      <c r="C600" t="inlineStr">
        <is>
          <t>YPF S.A.</t>
        </is>
      </c>
      <c r="D600" t="inlineStr">
        <is>
          <t>no convencional</t>
        </is>
      </c>
      <c r="E600" t="inlineStr">
        <is>
          <t>2023-01</t>
        </is>
      </c>
      <c r="F600" t="n">
        <v>1674.8</v>
      </c>
      <c r="G600" t="n">
        <v>1923.8</v>
      </c>
      <c r="H600" t="n">
        <v>0</v>
      </c>
      <c r="I600">
        <f>DAY(EOMONTH(DATE(VALUE(LEFT(E600,4)),VALUE(RIGHT(E600,2)),1),0))</f>
        <v/>
      </c>
      <c r="J600">
        <f>VALUE(LEFT(E600,4))*12+VALUE(RIGHT(E600,2))-1</f>
        <v/>
      </c>
    </row>
    <row r="601">
      <c r="A601" t="inlineStr">
        <is>
          <t>Chihuido de la Sierra Negra</t>
        </is>
      </c>
      <c r="B601" t="inlineStr">
        <is>
          <t>Neuquina</t>
        </is>
      </c>
      <c r="C601" t="inlineStr">
        <is>
          <t>YPF S.A.</t>
        </is>
      </c>
      <c r="D601" t="inlineStr">
        <is>
          <t>convencional</t>
        </is>
      </c>
      <c r="E601" t="inlineStr">
        <is>
          <t>2023-02</t>
        </is>
      </c>
      <c r="F601" t="n">
        <v>12497.8</v>
      </c>
      <c r="G601" t="n">
        <v>498964.4</v>
      </c>
      <c r="H601" t="n">
        <v>601990.7</v>
      </c>
      <c r="I601">
        <f>DAY(EOMONTH(DATE(VALUE(LEFT(E601,4)),VALUE(RIGHT(E601,2)),1),0))</f>
        <v/>
      </c>
      <c r="J601">
        <f>VALUE(LEFT(E601,4))*12+VALUE(RIGHT(E601,2))-1</f>
        <v/>
      </c>
    </row>
    <row r="602">
      <c r="A602" t="inlineStr">
        <is>
          <t>Chihuido de la Sierra Negra</t>
        </is>
      </c>
      <c r="B602" t="inlineStr">
        <is>
          <t>Neuquina</t>
        </is>
      </c>
      <c r="C602" t="inlineStr">
        <is>
          <t>YPF S.A.</t>
        </is>
      </c>
      <c r="D602" t="inlineStr">
        <is>
          <t>no convencional</t>
        </is>
      </c>
      <c r="E602" t="inlineStr">
        <is>
          <t>2023-02</t>
        </is>
      </c>
      <c r="F602" t="n">
        <v>1321.2</v>
      </c>
      <c r="G602" t="n">
        <v>1964.1</v>
      </c>
      <c r="H602" t="n">
        <v>0</v>
      </c>
      <c r="I602">
        <f>DAY(EOMONTH(DATE(VALUE(LEFT(E602,4)),VALUE(RIGHT(E602,2)),1),0))</f>
        <v/>
      </c>
      <c r="J602">
        <f>VALUE(LEFT(E602,4))*12+VALUE(RIGHT(E602,2))-1</f>
        <v/>
      </c>
    </row>
    <row r="603">
      <c r="A603" t="inlineStr">
        <is>
          <t>Chihuido de la Sierra Negra</t>
        </is>
      </c>
      <c r="B603" t="inlineStr">
        <is>
          <t>Neuquina</t>
        </is>
      </c>
      <c r="C603" t="inlineStr">
        <is>
          <t>YPF S.A.</t>
        </is>
      </c>
      <c r="D603" t="inlineStr">
        <is>
          <t>convencional</t>
        </is>
      </c>
      <c r="E603" t="inlineStr">
        <is>
          <t>2023-03</t>
        </is>
      </c>
      <c r="F603" t="n">
        <v>14315.2</v>
      </c>
      <c r="G603" t="n">
        <v>583057.6</v>
      </c>
      <c r="H603" t="n">
        <v>720811.8</v>
      </c>
      <c r="I603">
        <f>DAY(EOMONTH(DATE(VALUE(LEFT(E603,4)),VALUE(RIGHT(E603,2)),1),0))</f>
        <v/>
      </c>
      <c r="J603">
        <f>VALUE(LEFT(E603,4))*12+VALUE(RIGHT(E603,2))-1</f>
        <v/>
      </c>
    </row>
    <row r="604">
      <c r="A604" t="inlineStr">
        <is>
          <t>Chihuido de la Sierra Negra</t>
        </is>
      </c>
      <c r="B604" t="inlineStr">
        <is>
          <t>Neuquina</t>
        </is>
      </c>
      <c r="C604" t="inlineStr">
        <is>
          <t>YPF S.A.</t>
        </is>
      </c>
      <c r="D604" t="inlineStr">
        <is>
          <t>no convencional</t>
        </is>
      </c>
      <c r="E604" t="inlineStr">
        <is>
          <t>2023-03</t>
        </is>
      </c>
      <c r="F604" t="n">
        <v>1283.7</v>
      </c>
      <c r="G604" t="n">
        <v>2217.8</v>
      </c>
      <c r="H604" t="n">
        <v>0</v>
      </c>
      <c r="I604">
        <f>DAY(EOMONTH(DATE(VALUE(LEFT(E604,4)),VALUE(RIGHT(E604,2)),1),0))</f>
        <v/>
      </c>
      <c r="J604">
        <f>VALUE(LEFT(E604,4))*12+VALUE(RIGHT(E604,2))-1</f>
        <v/>
      </c>
    </row>
    <row r="605">
      <c r="A605" t="inlineStr">
        <is>
          <t>Chihuido de la Sierra Negra</t>
        </is>
      </c>
      <c r="B605" t="inlineStr">
        <is>
          <t>Neuquina</t>
        </is>
      </c>
      <c r="C605" t="inlineStr">
        <is>
          <t>YPF S.A.</t>
        </is>
      </c>
      <c r="D605" t="inlineStr">
        <is>
          <t>convencional</t>
        </is>
      </c>
      <c r="E605" t="inlineStr">
        <is>
          <t>2023-04</t>
        </is>
      </c>
      <c r="F605" t="n">
        <v>14178.9</v>
      </c>
      <c r="G605" t="n">
        <v>560983.5</v>
      </c>
      <c r="H605" t="n">
        <v>707128.6</v>
      </c>
      <c r="I605">
        <f>DAY(EOMONTH(DATE(VALUE(LEFT(E605,4)),VALUE(RIGHT(E605,2)),1),0))</f>
        <v/>
      </c>
      <c r="J605">
        <f>VALUE(LEFT(E605,4))*12+VALUE(RIGHT(E605,2))-1</f>
        <v/>
      </c>
    </row>
    <row r="606">
      <c r="A606" t="inlineStr">
        <is>
          <t>Chihuido de la Sierra Negra</t>
        </is>
      </c>
      <c r="B606" t="inlineStr">
        <is>
          <t>Neuquina</t>
        </is>
      </c>
      <c r="C606" t="inlineStr">
        <is>
          <t>YPF S.A.</t>
        </is>
      </c>
      <c r="D606" t="inlineStr">
        <is>
          <t>no convencional</t>
        </is>
      </c>
      <c r="E606" t="inlineStr">
        <is>
          <t>2023-04</t>
        </is>
      </c>
      <c r="F606" t="n">
        <v>1280.3</v>
      </c>
      <c r="G606" t="n">
        <v>2168.5</v>
      </c>
      <c r="H606" t="n">
        <v>0</v>
      </c>
      <c r="I606">
        <f>DAY(EOMONTH(DATE(VALUE(LEFT(E606,4)),VALUE(RIGHT(E606,2)),1),0))</f>
        <v/>
      </c>
      <c r="J606">
        <f>VALUE(LEFT(E606,4))*12+VALUE(RIGHT(E606,2))-1</f>
        <v/>
      </c>
    </row>
    <row r="607">
      <c r="A607" t="inlineStr">
        <is>
          <t>Chihuido de la Sierra Negra</t>
        </is>
      </c>
      <c r="B607" t="inlineStr">
        <is>
          <t>Neuquina</t>
        </is>
      </c>
      <c r="C607" t="inlineStr">
        <is>
          <t>YPF S.A.</t>
        </is>
      </c>
      <c r="D607" t="inlineStr">
        <is>
          <t>convencional</t>
        </is>
      </c>
      <c r="E607" t="inlineStr">
        <is>
          <t>2023-05</t>
        </is>
      </c>
      <c r="F607" t="n">
        <v>14212</v>
      </c>
      <c r="G607" t="n">
        <v>579388.8</v>
      </c>
      <c r="H607" t="n">
        <v>703829.9</v>
      </c>
      <c r="I607">
        <f>DAY(EOMONTH(DATE(VALUE(LEFT(E607,4)),VALUE(RIGHT(E607,2)),1),0))</f>
        <v/>
      </c>
      <c r="J607">
        <f>VALUE(LEFT(E607,4))*12+VALUE(RIGHT(E607,2))-1</f>
        <v/>
      </c>
    </row>
    <row r="608">
      <c r="A608" t="inlineStr">
        <is>
          <t>Chihuido de la Sierra Negra</t>
        </is>
      </c>
      <c r="B608" t="inlineStr">
        <is>
          <t>Neuquina</t>
        </is>
      </c>
      <c r="C608" t="inlineStr">
        <is>
          <t>YPF S.A.</t>
        </is>
      </c>
      <c r="D608" t="inlineStr">
        <is>
          <t>no convencional</t>
        </is>
      </c>
      <c r="E608" t="inlineStr">
        <is>
          <t>2023-05</t>
        </is>
      </c>
      <c r="F608" t="n">
        <v>1035.7</v>
      </c>
      <c r="G608" t="n">
        <v>1805.8</v>
      </c>
      <c r="H608" t="n">
        <v>0</v>
      </c>
      <c r="I608">
        <f>DAY(EOMONTH(DATE(VALUE(LEFT(E608,4)),VALUE(RIGHT(E608,2)),1),0))</f>
        <v/>
      </c>
      <c r="J608">
        <f>VALUE(LEFT(E608,4))*12+VALUE(RIGHT(E608,2))-1</f>
        <v/>
      </c>
    </row>
    <row r="609">
      <c r="A609" t="inlineStr">
        <is>
          <t>Chihuido de la Sierra Negra</t>
        </is>
      </c>
      <c r="B609" t="inlineStr">
        <is>
          <t>Neuquina</t>
        </is>
      </c>
      <c r="C609" t="inlineStr">
        <is>
          <t>YPF S.A.</t>
        </is>
      </c>
      <c r="D609" t="inlineStr">
        <is>
          <t>convencional</t>
        </is>
      </c>
      <c r="E609" t="inlineStr">
        <is>
          <t>2023-06</t>
        </is>
      </c>
      <c r="F609" t="n">
        <v>14144.3</v>
      </c>
      <c r="G609" t="n">
        <v>563085</v>
      </c>
      <c r="H609" t="n">
        <v>675852.5</v>
      </c>
      <c r="I609">
        <f>DAY(EOMONTH(DATE(VALUE(LEFT(E609,4)),VALUE(RIGHT(E609,2)),1),0))</f>
        <v/>
      </c>
      <c r="J609">
        <f>VALUE(LEFT(E609,4))*12+VALUE(RIGHT(E609,2))-1</f>
        <v/>
      </c>
    </row>
    <row r="610">
      <c r="A610" t="inlineStr">
        <is>
          <t>Chihuido de la Sierra Negra</t>
        </is>
      </c>
      <c r="B610" t="inlineStr">
        <is>
          <t>Neuquina</t>
        </is>
      </c>
      <c r="C610" t="inlineStr">
        <is>
          <t>YPF S.A.</t>
        </is>
      </c>
      <c r="D610" t="inlineStr">
        <is>
          <t>no convencional</t>
        </is>
      </c>
      <c r="E610" t="inlineStr">
        <is>
          <t>2023-06</t>
        </is>
      </c>
      <c r="F610" t="n">
        <v>414.1</v>
      </c>
      <c r="G610" t="n">
        <v>1456</v>
      </c>
      <c r="H610" t="n">
        <v>0</v>
      </c>
      <c r="I610">
        <f>DAY(EOMONTH(DATE(VALUE(LEFT(E610,4)),VALUE(RIGHT(E610,2)),1),0))</f>
        <v/>
      </c>
      <c r="J610">
        <f>VALUE(LEFT(E610,4))*12+VALUE(RIGHT(E610,2))-1</f>
        <v/>
      </c>
    </row>
    <row r="611">
      <c r="A611" t="inlineStr">
        <is>
          <t>Chihuido de la Sierra Negra</t>
        </is>
      </c>
      <c r="B611" t="inlineStr">
        <is>
          <t>Neuquina</t>
        </is>
      </c>
      <c r="C611" t="inlineStr">
        <is>
          <t>YPF S.A.</t>
        </is>
      </c>
      <c r="D611" t="inlineStr">
        <is>
          <t>convencional</t>
        </is>
      </c>
      <c r="E611" t="inlineStr">
        <is>
          <t>2023-07</t>
        </is>
      </c>
      <c r="F611" t="n">
        <v>14293.1</v>
      </c>
      <c r="G611" t="n">
        <v>566036</v>
      </c>
      <c r="H611" t="n">
        <v>700609.7</v>
      </c>
      <c r="I611">
        <f>DAY(EOMONTH(DATE(VALUE(LEFT(E611,4)),VALUE(RIGHT(E611,2)),1),0))</f>
        <v/>
      </c>
      <c r="J611">
        <f>VALUE(LEFT(E611,4))*12+VALUE(RIGHT(E611,2))-1</f>
        <v/>
      </c>
    </row>
    <row r="612">
      <c r="A612" t="inlineStr">
        <is>
          <t>Chihuido de la Sierra Negra</t>
        </is>
      </c>
      <c r="B612" t="inlineStr">
        <is>
          <t>Neuquina</t>
        </is>
      </c>
      <c r="C612" t="inlineStr">
        <is>
          <t>YPF S.A.</t>
        </is>
      </c>
      <c r="D612" t="inlineStr">
        <is>
          <t>no convencional</t>
        </is>
      </c>
      <c r="E612" t="inlineStr">
        <is>
          <t>2023-07</t>
        </is>
      </c>
      <c r="F612" t="n">
        <v>1073.7</v>
      </c>
      <c r="G612" t="n">
        <v>1546.2</v>
      </c>
      <c r="H612" t="n">
        <v>0</v>
      </c>
      <c r="I612">
        <f>DAY(EOMONTH(DATE(VALUE(LEFT(E612,4)),VALUE(RIGHT(E612,2)),1),0))</f>
        <v/>
      </c>
      <c r="J612">
        <f>VALUE(LEFT(E612,4))*12+VALUE(RIGHT(E612,2))-1</f>
        <v/>
      </c>
    </row>
    <row r="613">
      <c r="A613" t="inlineStr">
        <is>
          <t>Chihuido de la Sierra Negra</t>
        </is>
      </c>
      <c r="B613" t="inlineStr">
        <is>
          <t>Neuquina</t>
        </is>
      </c>
      <c r="C613" t="inlineStr">
        <is>
          <t>YPF S.A.</t>
        </is>
      </c>
      <c r="D613" t="inlineStr">
        <is>
          <t>convencional</t>
        </is>
      </c>
      <c r="E613" t="inlineStr">
        <is>
          <t>2023-08</t>
        </is>
      </c>
      <c r="F613" t="n">
        <v>14023.5</v>
      </c>
      <c r="G613" t="n">
        <v>585209.8</v>
      </c>
      <c r="H613" t="n">
        <v>729031.2</v>
      </c>
      <c r="I613">
        <f>DAY(EOMONTH(DATE(VALUE(LEFT(E613,4)),VALUE(RIGHT(E613,2)),1),0))</f>
        <v/>
      </c>
      <c r="J613">
        <f>VALUE(LEFT(E613,4))*12+VALUE(RIGHT(E613,2))-1</f>
        <v/>
      </c>
    </row>
    <row r="614">
      <c r="A614" t="inlineStr">
        <is>
          <t>Chihuido de la Sierra Negra</t>
        </is>
      </c>
      <c r="B614" t="inlineStr">
        <is>
          <t>Neuquina</t>
        </is>
      </c>
      <c r="C614" t="inlineStr">
        <is>
          <t>YPF S.A.</t>
        </is>
      </c>
      <c r="D614" t="inlineStr">
        <is>
          <t>no convencional</t>
        </is>
      </c>
      <c r="E614" t="inlineStr">
        <is>
          <t>2023-08</t>
        </is>
      </c>
      <c r="F614" t="n">
        <v>1339</v>
      </c>
      <c r="G614" t="n">
        <v>1970.8</v>
      </c>
      <c r="H614" t="n">
        <v>0</v>
      </c>
      <c r="I614">
        <f>DAY(EOMONTH(DATE(VALUE(LEFT(E614,4)),VALUE(RIGHT(E614,2)),1),0))</f>
        <v/>
      </c>
      <c r="J614">
        <f>VALUE(LEFT(E614,4))*12+VALUE(RIGHT(E614,2))-1</f>
        <v/>
      </c>
    </row>
    <row r="615">
      <c r="A615" t="inlineStr">
        <is>
          <t>Chihuido de la Sierra Negra</t>
        </is>
      </c>
      <c r="B615" t="inlineStr">
        <is>
          <t>Neuquina</t>
        </is>
      </c>
      <c r="C615" t="inlineStr">
        <is>
          <t>YPF S.A.</t>
        </is>
      </c>
      <c r="D615" t="inlineStr">
        <is>
          <t>convencional</t>
        </is>
      </c>
      <c r="E615" t="inlineStr">
        <is>
          <t>2023-09</t>
        </is>
      </c>
      <c r="F615" t="n">
        <v>13840.7</v>
      </c>
      <c r="G615" t="n">
        <v>562552.6</v>
      </c>
      <c r="H615" t="n">
        <v>698537.1</v>
      </c>
      <c r="I615">
        <f>DAY(EOMONTH(DATE(VALUE(LEFT(E615,4)),VALUE(RIGHT(E615,2)),1),0))</f>
        <v/>
      </c>
      <c r="J615">
        <f>VALUE(LEFT(E615,4))*12+VALUE(RIGHT(E615,2))-1</f>
        <v/>
      </c>
    </row>
    <row r="616">
      <c r="A616" t="inlineStr">
        <is>
          <t>Chihuido de la Sierra Negra</t>
        </is>
      </c>
      <c r="B616" t="inlineStr">
        <is>
          <t>Neuquina</t>
        </is>
      </c>
      <c r="C616" t="inlineStr">
        <is>
          <t>YPF S.A.</t>
        </is>
      </c>
      <c r="D616" t="inlineStr">
        <is>
          <t>no convencional</t>
        </is>
      </c>
      <c r="E616" t="inlineStr">
        <is>
          <t>2023-09</t>
        </is>
      </c>
      <c r="F616" t="n">
        <v>1244.1</v>
      </c>
      <c r="G616" t="n">
        <v>1756.3</v>
      </c>
      <c r="H616" t="n">
        <v>0</v>
      </c>
      <c r="I616">
        <f>DAY(EOMONTH(DATE(VALUE(LEFT(E616,4)),VALUE(RIGHT(E616,2)),1),0))</f>
        <v/>
      </c>
      <c r="J616">
        <f>VALUE(LEFT(E616,4))*12+VALUE(RIGHT(E616,2))-1</f>
        <v/>
      </c>
    </row>
    <row r="617">
      <c r="A617" t="inlineStr">
        <is>
          <t>Chihuido de la Sierra Negra</t>
        </is>
      </c>
      <c r="B617" t="inlineStr">
        <is>
          <t>Neuquina</t>
        </is>
      </c>
      <c r="C617" t="inlineStr">
        <is>
          <t>YPF S.A.</t>
        </is>
      </c>
      <c r="D617" t="inlineStr">
        <is>
          <t>convencional</t>
        </is>
      </c>
      <c r="E617" t="inlineStr">
        <is>
          <t>2023-10</t>
        </is>
      </c>
      <c r="F617" t="n">
        <v>13986</v>
      </c>
      <c r="G617" t="n">
        <v>584561.4</v>
      </c>
      <c r="H617" t="n">
        <v>720396.3</v>
      </c>
      <c r="I617">
        <f>DAY(EOMONTH(DATE(VALUE(LEFT(E617,4)),VALUE(RIGHT(E617,2)),1),0))</f>
        <v/>
      </c>
      <c r="J617">
        <f>VALUE(LEFT(E617,4))*12+VALUE(RIGHT(E617,2))-1</f>
        <v/>
      </c>
    </row>
    <row r="618">
      <c r="A618" t="inlineStr">
        <is>
          <t>Chihuido de la Sierra Negra</t>
        </is>
      </c>
      <c r="B618" t="inlineStr">
        <is>
          <t>Neuquina</t>
        </is>
      </c>
      <c r="C618" t="inlineStr">
        <is>
          <t>YPF S.A.</t>
        </is>
      </c>
      <c r="D618" t="inlineStr">
        <is>
          <t>no convencional</t>
        </is>
      </c>
      <c r="E618" t="inlineStr">
        <is>
          <t>2023-10</t>
        </is>
      </c>
      <c r="F618" t="n">
        <v>1121.8</v>
      </c>
      <c r="G618" t="n">
        <v>1730.8</v>
      </c>
      <c r="H618" t="n">
        <v>0</v>
      </c>
      <c r="I618">
        <f>DAY(EOMONTH(DATE(VALUE(LEFT(E618,4)),VALUE(RIGHT(E618,2)),1),0))</f>
        <v/>
      </c>
      <c r="J618">
        <f>VALUE(LEFT(E618,4))*12+VALUE(RIGHT(E618,2))-1</f>
        <v/>
      </c>
    </row>
    <row r="619">
      <c r="A619" t="inlineStr">
        <is>
          <t>Chihuido de la Sierra Negra</t>
        </is>
      </c>
      <c r="B619" t="inlineStr">
        <is>
          <t>Neuquina</t>
        </is>
      </c>
      <c r="C619" t="inlineStr">
        <is>
          <t>YPF S.A.</t>
        </is>
      </c>
      <c r="D619" t="inlineStr">
        <is>
          <t>convencional</t>
        </is>
      </c>
      <c r="E619" t="inlineStr">
        <is>
          <t>2023-11</t>
        </is>
      </c>
      <c r="F619" t="n">
        <v>13479.4</v>
      </c>
      <c r="G619" t="n">
        <v>561903.6</v>
      </c>
      <c r="H619" t="n">
        <v>682492.2</v>
      </c>
      <c r="I619">
        <f>DAY(EOMONTH(DATE(VALUE(LEFT(E619,4)),VALUE(RIGHT(E619,2)),1),0))</f>
        <v/>
      </c>
      <c r="J619">
        <f>VALUE(LEFT(E619,4))*12+VALUE(RIGHT(E619,2))-1</f>
        <v/>
      </c>
    </row>
    <row r="620">
      <c r="A620" t="inlineStr">
        <is>
          <t>Chihuido de la Sierra Negra</t>
        </is>
      </c>
      <c r="B620" t="inlineStr">
        <is>
          <t>Neuquina</t>
        </is>
      </c>
      <c r="C620" t="inlineStr">
        <is>
          <t>YPF S.A.</t>
        </is>
      </c>
      <c r="D620" t="inlineStr">
        <is>
          <t>no convencional</t>
        </is>
      </c>
      <c r="E620" t="inlineStr">
        <is>
          <t>2023-11</t>
        </is>
      </c>
      <c r="F620" t="n">
        <v>1010</v>
      </c>
      <c r="G620" t="n">
        <v>1628.4</v>
      </c>
      <c r="H620" t="n">
        <v>0</v>
      </c>
      <c r="I620">
        <f>DAY(EOMONTH(DATE(VALUE(LEFT(E620,4)),VALUE(RIGHT(E620,2)),1),0))</f>
        <v/>
      </c>
      <c r="J620">
        <f>VALUE(LEFT(E620,4))*12+VALUE(RIGHT(E620,2))-1</f>
        <v/>
      </c>
    </row>
    <row r="621">
      <c r="A621" t="inlineStr">
        <is>
          <t>Chihuido de la Sierra Negra</t>
        </is>
      </c>
      <c r="B621" t="inlineStr">
        <is>
          <t>Neuquina</t>
        </is>
      </c>
      <c r="C621" t="inlineStr">
        <is>
          <t>YPF S.A.</t>
        </is>
      </c>
      <c r="D621" t="inlineStr">
        <is>
          <t>convencional</t>
        </is>
      </c>
      <c r="E621" t="inlineStr">
        <is>
          <t>2023-12</t>
        </is>
      </c>
      <c r="F621" t="n">
        <v>14135.9</v>
      </c>
      <c r="G621" t="n">
        <v>588837.2</v>
      </c>
      <c r="H621" t="n">
        <v>756411.9</v>
      </c>
      <c r="I621">
        <f>DAY(EOMONTH(DATE(VALUE(LEFT(E621,4)),VALUE(RIGHT(E621,2)),1),0))</f>
        <v/>
      </c>
      <c r="J621">
        <f>VALUE(LEFT(E621,4))*12+VALUE(RIGHT(E621,2))-1</f>
        <v/>
      </c>
    </row>
    <row r="622">
      <c r="A622" t="inlineStr">
        <is>
          <t>Chihuido de la Sierra Negra</t>
        </is>
      </c>
      <c r="B622" t="inlineStr">
        <is>
          <t>Neuquina</t>
        </is>
      </c>
      <c r="C622" t="inlineStr">
        <is>
          <t>YPF S.A.</t>
        </is>
      </c>
      <c r="D622" t="inlineStr">
        <is>
          <t>no convencional</t>
        </is>
      </c>
      <c r="E622" t="inlineStr">
        <is>
          <t>2023-12</t>
        </is>
      </c>
      <c r="F622" t="n">
        <v>986.3</v>
      </c>
      <c r="G622" t="n">
        <v>1821.1</v>
      </c>
      <c r="H622" t="n">
        <v>0</v>
      </c>
      <c r="I622">
        <f>DAY(EOMONTH(DATE(VALUE(LEFT(E622,4)),VALUE(RIGHT(E622,2)),1),0))</f>
        <v/>
      </c>
      <c r="J622">
        <f>VALUE(LEFT(E622,4))*12+VALUE(RIGHT(E622,2))-1</f>
        <v/>
      </c>
    </row>
    <row r="623">
      <c r="A623" t="inlineStr">
        <is>
          <t>Chihuido de la Sierra Negra</t>
        </is>
      </c>
      <c r="B623" t="inlineStr">
        <is>
          <t>Neuquina</t>
        </is>
      </c>
      <c r="C623" t="inlineStr">
        <is>
          <t>YPF S.A.</t>
        </is>
      </c>
      <c r="D623" t="inlineStr">
        <is>
          <t>convencional</t>
        </is>
      </c>
      <c r="E623" t="inlineStr">
        <is>
          <t>2024-01</t>
        </is>
      </c>
      <c r="F623" t="n">
        <v>13983.7</v>
      </c>
      <c r="G623" t="n">
        <v>596155.2</v>
      </c>
      <c r="H623" t="n">
        <v>756559.1</v>
      </c>
      <c r="I623">
        <f>DAY(EOMONTH(DATE(VALUE(LEFT(E623,4)),VALUE(RIGHT(E623,2)),1),0))</f>
        <v/>
      </c>
      <c r="J623">
        <f>VALUE(LEFT(E623,4))*12+VALUE(RIGHT(E623,2))-1</f>
        <v/>
      </c>
    </row>
    <row r="624">
      <c r="A624" t="inlineStr">
        <is>
          <t>Chihuido de la Sierra Negra</t>
        </is>
      </c>
      <c r="B624" t="inlineStr">
        <is>
          <t>Neuquina</t>
        </is>
      </c>
      <c r="C624" t="inlineStr">
        <is>
          <t>YPF S.A.</t>
        </is>
      </c>
      <c r="D624" t="inlineStr">
        <is>
          <t>no convencional</t>
        </is>
      </c>
      <c r="E624" t="inlineStr">
        <is>
          <t>2024-01</t>
        </is>
      </c>
      <c r="F624" t="n">
        <v>931.4</v>
      </c>
      <c r="G624" t="n">
        <v>1654.8</v>
      </c>
      <c r="H624" t="n">
        <v>0</v>
      </c>
      <c r="I624">
        <f>DAY(EOMONTH(DATE(VALUE(LEFT(E624,4)),VALUE(RIGHT(E624,2)),1),0))</f>
        <v/>
      </c>
      <c r="J624">
        <f>VALUE(LEFT(E624,4))*12+VALUE(RIGHT(E624,2))-1</f>
        <v/>
      </c>
    </row>
    <row r="625">
      <c r="A625" t="inlineStr">
        <is>
          <t>Chihuido de la Sierra Negra</t>
        </is>
      </c>
      <c r="B625" t="inlineStr">
        <is>
          <t>Neuquina</t>
        </is>
      </c>
      <c r="C625" t="inlineStr">
        <is>
          <t>YPF S.A.</t>
        </is>
      </c>
      <c r="D625" t="inlineStr">
        <is>
          <t>convencional</t>
        </is>
      </c>
      <c r="E625" t="inlineStr">
        <is>
          <t>2024-02</t>
        </is>
      </c>
      <c r="F625" t="n">
        <v>13075</v>
      </c>
      <c r="G625" t="n">
        <v>551349.8</v>
      </c>
      <c r="H625" t="n">
        <v>678756.7</v>
      </c>
      <c r="I625">
        <f>DAY(EOMONTH(DATE(VALUE(LEFT(E625,4)),VALUE(RIGHT(E625,2)),1),0))</f>
        <v/>
      </c>
      <c r="J625">
        <f>VALUE(LEFT(E625,4))*12+VALUE(RIGHT(E625,2))-1</f>
        <v/>
      </c>
    </row>
    <row r="626">
      <c r="A626" t="inlineStr">
        <is>
          <t>Chihuido de la Sierra Negra</t>
        </is>
      </c>
      <c r="B626" t="inlineStr">
        <is>
          <t>Neuquina</t>
        </is>
      </c>
      <c r="C626" t="inlineStr">
        <is>
          <t>YPF S.A.</t>
        </is>
      </c>
      <c r="D626" t="inlineStr">
        <is>
          <t>no convencional</t>
        </is>
      </c>
      <c r="E626" t="inlineStr">
        <is>
          <t>2024-02</t>
        </is>
      </c>
      <c r="F626" t="n">
        <v>856.8</v>
      </c>
      <c r="G626" t="n">
        <v>1466.4</v>
      </c>
      <c r="H626" t="n">
        <v>0</v>
      </c>
      <c r="I626">
        <f>DAY(EOMONTH(DATE(VALUE(LEFT(E626,4)),VALUE(RIGHT(E626,2)),1),0))</f>
        <v/>
      </c>
      <c r="J626">
        <f>VALUE(LEFT(E626,4))*12+VALUE(RIGHT(E626,2))-1</f>
        <v/>
      </c>
    </row>
    <row r="627">
      <c r="A627" t="inlineStr">
        <is>
          <t>Chihuido de la Sierra Negra</t>
        </is>
      </c>
      <c r="B627" t="inlineStr">
        <is>
          <t>Neuquina</t>
        </is>
      </c>
      <c r="C627" t="inlineStr">
        <is>
          <t>YPF S.A.</t>
        </is>
      </c>
      <c r="D627" t="inlineStr">
        <is>
          <t>convencional</t>
        </is>
      </c>
      <c r="E627" t="inlineStr">
        <is>
          <t>2024-03</t>
        </is>
      </c>
      <c r="F627" t="n">
        <v>13658.9</v>
      </c>
      <c r="G627" t="n">
        <v>581897.9</v>
      </c>
      <c r="H627" t="n">
        <v>732301.6</v>
      </c>
      <c r="I627">
        <f>DAY(EOMONTH(DATE(VALUE(LEFT(E627,4)),VALUE(RIGHT(E627,2)),1),0))</f>
        <v/>
      </c>
      <c r="J627">
        <f>VALUE(LEFT(E627,4))*12+VALUE(RIGHT(E627,2))-1</f>
        <v/>
      </c>
    </row>
    <row r="628">
      <c r="A628" t="inlineStr">
        <is>
          <t>Chihuido de la Sierra Negra</t>
        </is>
      </c>
      <c r="B628" t="inlineStr">
        <is>
          <t>Neuquina</t>
        </is>
      </c>
      <c r="C628" t="inlineStr">
        <is>
          <t>YPF S.A.</t>
        </is>
      </c>
      <c r="D628" t="inlineStr">
        <is>
          <t>no convencional</t>
        </is>
      </c>
      <c r="E628" t="inlineStr">
        <is>
          <t>2024-03</t>
        </is>
      </c>
      <c r="F628" t="n">
        <v>909.7</v>
      </c>
      <c r="G628" t="n">
        <v>1560.7</v>
      </c>
      <c r="H628" t="n">
        <v>0</v>
      </c>
      <c r="I628">
        <f>DAY(EOMONTH(DATE(VALUE(LEFT(E628,4)),VALUE(RIGHT(E628,2)),1),0))</f>
        <v/>
      </c>
      <c r="J628">
        <f>VALUE(LEFT(E628,4))*12+VALUE(RIGHT(E628,2))-1</f>
        <v/>
      </c>
    </row>
    <row r="629">
      <c r="A629" t="inlineStr">
        <is>
          <t>Chihuido de la Sierra Negra</t>
        </is>
      </c>
      <c r="B629" t="inlineStr">
        <is>
          <t>Neuquina</t>
        </is>
      </c>
      <c r="C629" t="inlineStr">
        <is>
          <t>YPF S.A.</t>
        </is>
      </c>
      <c r="D629" t="inlineStr">
        <is>
          <t>convencional</t>
        </is>
      </c>
      <c r="E629" t="inlineStr">
        <is>
          <t>2024-04</t>
        </is>
      </c>
      <c r="F629" t="n">
        <v>12412.4</v>
      </c>
      <c r="G629" t="n">
        <v>531699.8</v>
      </c>
      <c r="H629" t="n">
        <v>651064.4</v>
      </c>
      <c r="I629">
        <f>DAY(EOMONTH(DATE(VALUE(LEFT(E629,4)),VALUE(RIGHT(E629,2)),1),0))</f>
        <v/>
      </c>
      <c r="J629">
        <f>VALUE(LEFT(E629,4))*12+VALUE(RIGHT(E629,2))-1</f>
        <v/>
      </c>
    </row>
    <row r="630">
      <c r="A630" t="inlineStr">
        <is>
          <t>Chihuido de la Sierra Negra</t>
        </is>
      </c>
      <c r="B630" t="inlineStr">
        <is>
          <t>Neuquina</t>
        </is>
      </c>
      <c r="C630" t="inlineStr">
        <is>
          <t>YPF S.A.</t>
        </is>
      </c>
      <c r="D630" t="inlineStr">
        <is>
          <t>no convencional</t>
        </is>
      </c>
      <c r="E630" t="inlineStr">
        <is>
          <t>2024-04</t>
        </is>
      </c>
      <c r="F630" t="n">
        <v>884.7</v>
      </c>
      <c r="G630" t="n">
        <v>1414.2</v>
      </c>
      <c r="H630" t="n">
        <v>0</v>
      </c>
      <c r="I630">
        <f>DAY(EOMONTH(DATE(VALUE(LEFT(E630,4)),VALUE(RIGHT(E630,2)),1),0))</f>
        <v/>
      </c>
      <c r="J630">
        <f>VALUE(LEFT(E630,4))*12+VALUE(RIGHT(E630,2))-1</f>
        <v/>
      </c>
    </row>
    <row r="631">
      <c r="A631" t="inlineStr">
        <is>
          <t>Chihuido de la Sierra Negra</t>
        </is>
      </c>
      <c r="B631" t="inlineStr">
        <is>
          <t>Neuquina</t>
        </is>
      </c>
      <c r="C631" t="inlineStr">
        <is>
          <t>YPF S.A.</t>
        </is>
      </c>
      <c r="D631" t="inlineStr">
        <is>
          <t>convencional</t>
        </is>
      </c>
      <c r="E631" t="inlineStr">
        <is>
          <t>2024-05</t>
        </is>
      </c>
      <c r="F631" t="n">
        <v>12816.9</v>
      </c>
      <c r="G631" t="n">
        <v>530775.2</v>
      </c>
      <c r="H631" t="n">
        <v>650522.3</v>
      </c>
      <c r="I631">
        <f>DAY(EOMONTH(DATE(VALUE(LEFT(E631,4)),VALUE(RIGHT(E631,2)),1),0))</f>
        <v/>
      </c>
      <c r="J631">
        <f>VALUE(LEFT(E631,4))*12+VALUE(RIGHT(E631,2))-1</f>
        <v/>
      </c>
    </row>
    <row r="632">
      <c r="A632" t="inlineStr">
        <is>
          <t>Chihuido de la Sierra Negra</t>
        </is>
      </c>
      <c r="B632" t="inlineStr">
        <is>
          <t>Neuquina</t>
        </is>
      </c>
      <c r="C632" t="inlineStr">
        <is>
          <t>YPF S.A.</t>
        </is>
      </c>
      <c r="D632" t="inlineStr">
        <is>
          <t>no convencional</t>
        </is>
      </c>
      <c r="E632" t="inlineStr">
        <is>
          <t>2024-05</t>
        </is>
      </c>
      <c r="F632" t="n">
        <v>883.9</v>
      </c>
      <c r="G632" t="n">
        <v>1382.2</v>
      </c>
      <c r="H632" t="n">
        <v>0</v>
      </c>
      <c r="I632">
        <f>DAY(EOMONTH(DATE(VALUE(LEFT(E632,4)),VALUE(RIGHT(E632,2)),1),0))</f>
        <v/>
      </c>
      <c r="J632">
        <f>VALUE(LEFT(E632,4))*12+VALUE(RIGHT(E632,2))-1</f>
        <v/>
      </c>
    </row>
    <row r="633">
      <c r="A633" t="inlineStr">
        <is>
          <t>Chihuido de la Sierra Negra</t>
        </is>
      </c>
      <c r="B633" t="inlineStr">
        <is>
          <t>Neuquina</t>
        </is>
      </c>
      <c r="C633" t="inlineStr">
        <is>
          <t>YPF S.A.</t>
        </is>
      </c>
      <c r="D633" t="inlineStr">
        <is>
          <t>convencional</t>
        </is>
      </c>
      <c r="E633" t="inlineStr">
        <is>
          <t>2024-06</t>
        </is>
      </c>
      <c r="F633" t="n">
        <v>12159.9</v>
      </c>
      <c r="G633" t="n">
        <v>505086.2</v>
      </c>
      <c r="H633" t="n">
        <v>621719.1</v>
      </c>
      <c r="I633">
        <f>DAY(EOMONTH(DATE(VALUE(LEFT(E633,4)),VALUE(RIGHT(E633,2)),1),0))</f>
        <v/>
      </c>
      <c r="J633">
        <f>VALUE(LEFT(E633,4))*12+VALUE(RIGHT(E633,2))-1</f>
        <v/>
      </c>
    </row>
    <row r="634">
      <c r="A634" t="inlineStr">
        <is>
          <t>Chihuido de la Sierra Negra</t>
        </is>
      </c>
      <c r="B634" t="inlineStr">
        <is>
          <t>Neuquina</t>
        </is>
      </c>
      <c r="C634" t="inlineStr">
        <is>
          <t>YPF S.A.</t>
        </is>
      </c>
      <c r="D634" t="inlineStr">
        <is>
          <t>no convencional</t>
        </is>
      </c>
      <c r="E634" t="inlineStr">
        <is>
          <t>2024-06</t>
        </is>
      </c>
      <c r="F634" t="n">
        <v>821.8</v>
      </c>
      <c r="G634" t="n">
        <v>1301.8</v>
      </c>
      <c r="H634" t="n">
        <v>0</v>
      </c>
      <c r="I634">
        <f>DAY(EOMONTH(DATE(VALUE(LEFT(E634,4)),VALUE(RIGHT(E634,2)),1),0))</f>
        <v/>
      </c>
      <c r="J634">
        <f>VALUE(LEFT(E634,4))*12+VALUE(RIGHT(E634,2))-1</f>
        <v/>
      </c>
    </row>
    <row r="635">
      <c r="A635" t="inlineStr">
        <is>
          <t>Chihuido de la Sierra Negra</t>
        </is>
      </c>
      <c r="B635" t="inlineStr">
        <is>
          <t>Neuquina</t>
        </is>
      </c>
      <c r="C635" t="inlineStr">
        <is>
          <t>YPF S.A.</t>
        </is>
      </c>
      <c r="D635" t="inlineStr">
        <is>
          <t>convencional</t>
        </is>
      </c>
      <c r="E635" t="inlineStr">
        <is>
          <t>2024-07</t>
        </is>
      </c>
      <c r="F635" t="n">
        <v>12955.9</v>
      </c>
      <c r="G635" t="n">
        <v>531719.4</v>
      </c>
      <c r="H635" t="n">
        <v>636795.1</v>
      </c>
      <c r="I635">
        <f>DAY(EOMONTH(DATE(VALUE(LEFT(E635,4)),VALUE(RIGHT(E635,2)),1),0))</f>
        <v/>
      </c>
      <c r="J635">
        <f>VALUE(LEFT(E635,4))*12+VALUE(RIGHT(E635,2))-1</f>
        <v/>
      </c>
    </row>
    <row r="636">
      <c r="A636" t="inlineStr">
        <is>
          <t>Chihuido de la Sierra Negra</t>
        </is>
      </c>
      <c r="B636" t="inlineStr">
        <is>
          <t>Neuquina</t>
        </is>
      </c>
      <c r="C636" t="inlineStr">
        <is>
          <t>YPF S.A.</t>
        </is>
      </c>
      <c r="D636" t="inlineStr">
        <is>
          <t>no convencional</t>
        </is>
      </c>
      <c r="E636" t="inlineStr">
        <is>
          <t>2024-07</t>
        </is>
      </c>
      <c r="F636" t="n">
        <v>866.5</v>
      </c>
      <c r="G636" t="n">
        <v>1301.1</v>
      </c>
      <c r="H636" t="n">
        <v>0</v>
      </c>
      <c r="I636">
        <f>DAY(EOMONTH(DATE(VALUE(LEFT(E636,4)),VALUE(RIGHT(E636,2)),1),0))</f>
        <v/>
      </c>
      <c r="J636">
        <f>VALUE(LEFT(E636,4))*12+VALUE(RIGHT(E636,2))-1</f>
        <v/>
      </c>
    </row>
    <row r="637">
      <c r="A637" t="inlineStr">
        <is>
          <t>Chihuido de la Sierra Negra</t>
        </is>
      </c>
      <c r="B637" t="inlineStr">
        <is>
          <t>Neuquina</t>
        </is>
      </c>
      <c r="C637" t="inlineStr">
        <is>
          <t>YPF S.A.</t>
        </is>
      </c>
      <c r="D637" t="inlineStr">
        <is>
          <t>convencional</t>
        </is>
      </c>
      <c r="E637" t="inlineStr">
        <is>
          <t>2024-08</t>
        </is>
      </c>
      <c r="F637" t="n">
        <v>13129.1</v>
      </c>
      <c r="G637" t="n">
        <v>520214.6</v>
      </c>
      <c r="H637" t="n">
        <v>640892.8</v>
      </c>
      <c r="I637">
        <f>DAY(EOMONTH(DATE(VALUE(LEFT(E637,4)),VALUE(RIGHT(E637,2)),1),0))</f>
        <v/>
      </c>
      <c r="J637">
        <f>VALUE(LEFT(E637,4))*12+VALUE(RIGHT(E637,2))-1</f>
        <v/>
      </c>
    </row>
    <row r="638">
      <c r="A638" t="inlineStr">
        <is>
          <t>Chihuido de la Sierra Negra</t>
        </is>
      </c>
      <c r="B638" t="inlineStr">
        <is>
          <t>Neuquina</t>
        </is>
      </c>
      <c r="C638" t="inlineStr">
        <is>
          <t>YPF S.A.</t>
        </is>
      </c>
      <c r="D638" t="inlineStr">
        <is>
          <t>no convencional</t>
        </is>
      </c>
      <c r="E638" t="inlineStr">
        <is>
          <t>2024-08</t>
        </is>
      </c>
      <c r="F638" t="n">
        <v>863.2</v>
      </c>
      <c r="G638" t="n">
        <v>1226.9</v>
      </c>
      <c r="H638" t="n">
        <v>0</v>
      </c>
      <c r="I638">
        <f>DAY(EOMONTH(DATE(VALUE(LEFT(E638,4)),VALUE(RIGHT(E638,2)),1),0))</f>
        <v/>
      </c>
      <c r="J638">
        <f>VALUE(LEFT(E638,4))*12+VALUE(RIGHT(E638,2))-1</f>
        <v/>
      </c>
    </row>
    <row r="639">
      <c r="A639" t="inlineStr">
        <is>
          <t>Chihuido de la Sierra Negra</t>
        </is>
      </c>
      <c r="B639" t="inlineStr">
        <is>
          <t>Neuquina</t>
        </is>
      </c>
      <c r="C639" t="inlineStr">
        <is>
          <t>YPF S.A.</t>
        </is>
      </c>
      <c r="D639" t="inlineStr">
        <is>
          <t>convencional</t>
        </is>
      </c>
      <c r="E639" t="inlineStr">
        <is>
          <t>2024-09</t>
        </is>
      </c>
      <c r="F639" t="n">
        <v>12186.8</v>
      </c>
      <c r="G639" t="n">
        <v>459862.4</v>
      </c>
      <c r="H639" t="n">
        <v>532178.7</v>
      </c>
      <c r="I639">
        <f>DAY(EOMONTH(DATE(VALUE(LEFT(E639,4)),VALUE(RIGHT(E639,2)),1),0))</f>
        <v/>
      </c>
      <c r="J639">
        <f>VALUE(LEFT(E639,4))*12+VALUE(RIGHT(E639,2))-1</f>
        <v/>
      </c>
    </row>
    <row r="640">
      <c r="A640" t="inlineStr">
        <is>
          <t>Chihuido de la Sierra Negra</t>
        </is>
      </c>
      <c r="B640" t="inlineStr">
        <is>
          <t>Neuquina</t>
        </is>
      </c>
      <c r="C640" t="inlineStr">
        <is>
          <t>YPF S.A.</t>
        </is>
      </c>
      <c r="D640" t="inlineStr">
        <is>
          <t>no convencional</t>
        </is>
      </c>
      <c r="E640" t="inlineStr">
        <is>
          <t>2024-09</t>
        </is>
      </c>
      <c r="F640" t="n">
        <v>795.3</v>
      </c>
      <c r="G640" t="n">
        <v>1180.4</v>
      </c>
      <c r="H640" t="n">
        <v>0</v>
      </c>
      <c r="I640">
        <f>DAY(EOMONTH(DATE(VALUE(LEFT(E640,4)),VALUE(RIGHT(E640,2)),1),0))</f>
        <v/>
      </c>
      <c r="J640">
        <f>VALUE(LEFT(E640,4))*12+VALUE(RIGHT(E640,2))-1</f>
        <v/>
      </c>
    </row>
    <row r="641">
      <c r="A641" t="inlineStr">
        <is>
          <t>Chihuido de la Sierra Negra</t>
        </is>
      </c>
      <c r="B641" t="inlineStr">
        <is>
          <t>Neuquina</t>
        </is>
      </c>
      <c r="C641" t="inlineStr">
        <is>
          <t>YPF S.A.</t>
        </is>
      </c>
      <c r="D641" t="inlineStr">
        <is>
          <t>convencional</t>
        </is>
      </c>
      <c r="E641" t="inlineStr">
        <is>
          <t>2024-10</t>
        </is>
      </c>
      <c r="F641" t="n">
        <v>12420.3</v>
      </c>
      <c r="G641" t="n">
        <v>499065</v>
      </c>
      <c r="H641" t="n">
        <v>593694.9</v>
      </c>
      <c r="I641">
        <f>DAY(EOMONTH(DATE(VALUE(LEFT(E641,4)),VALUE(RIGHT(E641,2)),1),0))</f>
        <v/>
      </c>
      <c r="J641">
        <f>VALUE(LEFT(E641,4))*12+VALUE(RIGHT(E641,2))-1</f>
        <v/>
      </c>
    </row>
    <row r="642">
      <c r="A642" t="inlineStr">
        <is>
          <t>Chihuido de la Sierra Negra</t>
        </is>
      </c>
      <c r="B642" t="inlineStr">
        <is>
          <t>Neuquina</t>
        </is>
      </c>
      <c r="C642" t="inlineStr">
        <is>
          <t>YPF S.A.</t>
        </is>
      </c>
      <c r="D642" t="inlineStr">
        <is>
          <t>no convencional</t>
        </is>
      </c>
      <c r="E642" t="inlineStr">
        <is>
          <t>2024-10</t>
        </is>
      </c>
      <c r="F642" t="n">
        <v>816.4</v>
      </c>
      <c r="G642" t="n">
        <v>1177.9</v>
      </c>
      <c r="H642" t="n">
        <v>0</v>
      </c>
      <c r="I642">
        <f>DAY(EOMONTH(DATE(VALUE(LEFT(E642,4)),VALUE(RIGHT(E642,2)),1),0))</f>
        <v/>
      </c>
      <c r="J642">
        <f>VALUE(LEFT(E642,4))*12+VALUE(RIGHT(E642,2))-1</f>
        <v/>
      </c>
    </row>
    <row r="643">
      <c r="A643" t="inlineStr">
        <is>
          <t>Chihuido de la Sierra Negra</t>
        </is>
      </c>
      <c r="B643" t="inlineStr">
        <is>
          <t>Neuquina</t>
        </is>
      </c>
      <c r="C643" t="inlineStr">
        <is>
          <t>YPF S.A.</t>
        </is>
      </c>
      <c r="D643" t="inlineStr">
        <is>
          <t>convencional</t>
        </is>
      </c>
      <c r="E643" t="inlineStr">
        <is>
          <t>2024-11</t>
        </is>
      </c>
      <c r="F643" t="n">
        <v>12480.8</v>
      </c>
      <c r="G643" t="n">
        <v>494129.4</v>
      </c>
      <c r="H643" t="n">
        <v>622592.2</v>
      </c>
      <c r="I643">
        <f>DAY(EOMONTH(DATE(VALUE(LEFT(E643,4)),VALUE(RIGHT(E643,2)),1),0))</f>
        <v/>
      </c>
      <c r="J643">
        <f>VALUE(LEFT(E643,4))*12+VALUE(RIGHT(E643,2))-1</f>
        <v/>
      </c>
    </row>
    <row r="644">
      <c r="A644" t="inlineStr">
        <is>
          <t>Chihuido de la Sierra Negra</t>
        </is>
      </c>
      <c r="B644" t="inlineStr">
        <is>
          <t>Neuquina</t>
        </is>
      </c>
      <c r="C644" t="inlineStr">
        <is>
          <t>YPF S.A.</t>
        </is>
      </c>
      <c r="D644" t="inlineStr">
        <is>
          <t>no convencional</t>
        </is>
      </c>
      <c r="E644" t="inlineStr">
        <is>
          <t>2024-11</t>
        </is>
      </c>
      <c r="F644" t="n">
        <v>774.7</v>
      </c>
      <c r="G644" t="n">
        <v>1050.3</v>
      </c>
      <c r="H644" t="n">
        <v>0</v>
      </c>
      <c r="I644">
        <f>DAY(EOMONTH(DATE(VALUE(LEFT(E644,4)),VALUE(RIGHT(E644,2)),1),0))</f>
        <v/>
      </c>
      <c r="J644">
        <f>VALUE(LEFT(E644,4))*12+VALUE(RIGHT(E644,2))-1</f>
        <v/>
      </c>
    </row>
    <row r="645">
      <c r="A645" t="inlineStr">
        <is>
          <t>Chihuido de la Sierra Negra</t>
        </is>
      </c>
      <c r="B645" t="inlineStr">
        <is>
          <t>Neuquina</t>
        </is>
      </c>
      <c r="C645" t="inlineStr">
        <is>
          <t>YPF S.A.</t>
        </is>
      </c>
      <c r="D645" t="inlineStr">
        <is>
          <t>convencional</t>
        </is>
      </c>
      <c r="E645" t="inlineStr">
        <is>
          <t>2024-12</t>
        </is>
      </c>
      <c r="F645" t="n">
        <v>12461.2</v>
      </c>
      <c r="G645" t="n">
        <v>497985.4</v>
      </c>
      <c r="H645" t="n">
        <v>626949.8</v>
      </c>
      <c r="I645">
        <f>DAY(EOMONTH(DATE(VALUE(LEFT(E645,4)),VALUE(RIGHT(E645,2)),1),0))</f>
        <v/>
      </c>
      <c r="J645">
        <f>VALUE(LEFT(E645,4))*12+VALUE(RIGHT(E645,2))-1</f>
        <v/>
      </c>
    </row>
    <row r="646">
      <c r="A646" t="inlineStr">
        <is>
          <t>Chihuido de la Sierra Negra</t>
        </is>
      </c>
      <c r="B646" t="inlineStr">
        <is>
          <t>Neuquina</t>
        </is>
      </c>
      <c r="C646" t="inlineStr">
        <is>
          <t>YPF S.A.</t>
        </is>
      </c>
      <c r="D646" t="inlineStr">
        <is>
          <t>no convencional</t>
        </is>
      </c>
      <c r="E646" t="inlineStr">
        <is>
          <t>2024-12</t>
        </is>
      </c>
      <c r="F646" t="n">
        <v>773.1</v>
      </c>
      <c r="G646" t="n">
        <v>1121.9</v>
      </c>
      <c r="H646" t="n">
        <v>0</v>
      </c>
      <c r="I646">
        <f>DAY(EOMONTH(DATE(VALUE(LEFT(E646,4)),VALUE(RIGHT(E646,2)),1),0))</f>
        <v/>
      </c>
      <c r="J646">
        <f>VALUE(LEFT(E646,4))*12+VALUE(RIGHT(E646,2))-1</f>
        <v/>
      </c>
    </row>
    <row r="647">
      <c r="A647" t="inlineStr">
        <is>
          <t>Chihuido de la Sierra Negra</t>
        </is>
      </c>
      <c r="B647" t="inlineStr">
        <is>
          <t>Neuquina</t>
        </is>
      </c>
      <c r="C647" t="inlineStr">
        <is>
          <t>YPF S.A.</t>
        </is>
      </c>
      <c r="D647" t="inlineStr">
        <is>
          <t>convencional</t>
        </is>
      </c>
      <c r="E647" t="inlineStr">
        <is>
          <t>2025-01</t>
        </is>
      </c>
      <c r="F647" t="n">
        <v>12759.9</v>
      </c>
      <c r="G647" t="n">
        <v>494369.1</v>
      </c>
      <c r="H647" t="n">
        <v>617996.3</v>
      </c>
      <c r="I647">
        <f>DAY(EOMONTH(DATE(VALUE(LEFT(E647,4)),VALUE(RIGHT(E647,2)),1),0))</f>
        <v/>
      </c>
      <c r="J647">
        <f>VALUE(LEFT(E647,4))*12+VALUE(RIGHT(E647,2))-1</f>
        <v/>
      </c>
    </row>
    <row r="648">
      <c r="A648" t="inlineStr">
        <is>
          <t>Chihuido de la Sierra Negra</t>
        </is>
      </c>
      <c r="B648" t="inlineStr">
        <is>
          <t>Neuquina</t>
        </is>
      </c>
      <c r="C648" t="inlineStr">
        <is>
          <t>YPF S.A.</t>
        </is>
      </c>
      <c r="D648" t="inlineStr">
        <is>
          <t>no convencional</t>
        </is>
      </c>
      <c r="E648" t="inlineStr">
        <is>
          <t>2025-01</t>
        </is>
      </c>
      <c r="F648" t="n">
        <v>811.8</v>
      </c>
      <c r="G648" t="n">
        <v>1098.3</v>
      </c>
      <c r="H648" t="n">
        <v>0</v>
      </c>
      <c r="I648">
        <f>DAY(EOMONTH(DATE(VALUE(LEFT(E648,4)),VALUE(RIGHT(E648,2)),1),0))</f>
        <v/>
      </c>
      <c r="J648">
        <f>VALUE(LEFT(E648,4))*12+VALUE(RIGHT(E648,2))-1</f>
        <v/>
      </c>
    </row>
    <row r="649">
      <c r="A649" t="inlineStr">
        <is>
          <t>Chihuido de la Sierra Negra</t>
        </is>
      </c>
      <c r="B649" t="inlineStr">
        <is>
          <t>Neuquina</t>
        </is>
      </c>
      <c r="C649" t="inlineStr">
        <is>
          <t>YPF S.A.</t>
        </is>
      </c>
      <c r="D649" t="inlineStr">
        <is>
          <t>convencional</t>
        </is>
      </c>
      <c r="E649" t="inlineStr">
        <is>
          <t>2025-02</t>
        </is>
      </c>
      <c r="F649" t="n">
        <v>11347.7</v>
      </c>
      <c r="G649" t="n">
        <v>431771.2</v>
      </c>
      <c r="H649" t="n">
        <v>550037.2</v>
      </c>
      <c r="I649">
        <f>DAY(EOMONTH(DATE(VALUE(LEFT(E649,4)),VALUE(RIGHT(E649,2)),1),0))</f>
        <v/>
      </c>
      <c r="J649">
        <f>VALUE(LEFT(E649,4))*12+VALUE(RIGHT(E649,2))-1</f>
        <v/>
      </c>
    </row>
    <row r="650">
      <c r="A650" t="inlineStr">
        <is>
          <t>Chihuido de la Sierra Negra</t>
        </is>
      </c>
      <c r="B650" t="inlineStr">
        <is>
          <t>Neuquina</t>
        </is>
      </c>
      <c r="C650" t="inlineStr">
        <is>
          <t>YPF S.A.</t>
        </is>
      </c>
      <c r="D650" t="inlineStr">
        <is>
          <t>no convencional</t>
        </is>
      </c>
      <c r="E650" t="inlineStr">
        <is>
          <t>2025-02</t>
        </is>
      </c>
      <c r="F650" t="n">
        <v>712.7</v>
      </c>
      <c r="G650" t="n">
        <v>902</v>
      </c>
      <c r="H650" t="n">
        <v>0</v>
      </c>
      <c r="I650">
        <f>DAY(EOMONTH(DATE(VALUE(LEFT(E650,4)),VALUE(RIGHT(E650,2)),1),0))</f>
        <v/>
      </c>
      <c r="J650">
        <f>VALUE(LEFT(E650,4))*12+VALUE(RIGHT(E650,2))-1</f>
        <v/>
      </c>
    </row>
    <row r="651">
      <c r="A651" t="inlineStr">
        <is>
          <t>Chihuido de la Sierra Negra</t>
        </is>
      </c>
      <c r="B651" t="inlineStr">
        <is>
          <t>Neuquina</t>
        </is>
      </c>
      <c r="C651" t="inlineStr">
        <is>
          <t>YPF S.A.</t>
        </is>
      </c>
      <c r="D651" t="inlineStr">
        <is>
          <t>convencional</t>
        </is>
      </c>
      <c r="E651" t="inlineStr">
        <is>
          <t>2025-03</t>
        </is>
      </c>
      <c r="F651" t="n">
        <v>12903.7</v>
      </c>
      <c r="G651" t="n">
        <v>483639.4</v>
      </c>
      <c r="H651" t="n">
        <v>596146.4</v>
      </c>
      <c r="I651">
        <f>DAY(EOMONTH(DATE(VALUE(LEFT(E651,4)),VALUE(RIGHT(E651,2)),1),0))</f>
        <v/>
      </c>
      <c r="J651">
        <f>VALUE(LEFT(E651,4))*12+VALUE(RIGHT(E651,2))-1</f>
        <v/>
      </c>
    </row>
    <row r="652">
      <c r="A652" t="inlineStr">
        <is>
          <t>Chihuido de la Sierra Negra</t>
        </is>
      </c>
      <c r="B652" t="inlineStr">
        <is>
          <t>Neuquina</t>
        </is>
      </c>
      <c r="C652" t="inlineStr">
        <is>
          <t>YPF S.A.</t>
        </is>
      </c>
      <c r="D652" t="inlineStr">
        <is>
          <t>no convencional</t>
        </is>
      </c>
      <c r="E652" t="inlineStr">
        <is>
          <t>2025-03</t>
        </is>
      </c>
      <c r="F652" t="n">
        <v>723</v>
      </c>
      <c r="G652" t="n">
        <v>1100.1</v>
      </c>
      <c r="H652" t="n">
        <v>0</v>
      </c>
      <c r="I652">
        <f>DAY(EOMONTH(DATE(VALUE(LEFT(E652,4)),VALUE(RIGHT(E652,2)),1),0))</f>
        <v/>
      </c>
      <c r="J652">
        <f>VALUE(LEFT(E652,4))*12+VALUE(RIGHT(E652,2))-1</f>
        <v/>
      </c>
    </row>
    <row r="653">
      <c r="A653" t="inlineStr">
        <is>
          <t>Chihuido de la Sierra Negra</t>
        </is>
      </c>
      <c r="B653" t="inlineStr">
        <is>
          <t>Neuquina</t>
        </is>
      </c>
      <c r="C653" t="inlineStr">
        <is>
          <t>YPF S.A.</t>
        </is>
      </c>
      <c r="D653" t="inlineStr">
        <is>
          <t>convencional</t>
        </is>
      </c>
      <c r="E653" t="inlineStr">
        <is>
          <t>2025-04</t>
        </is>
      </c>
      <c r="F653" t="n">
        <v>11938.8</v>
      </c>
      <c r="G653" t="n">
        <v>458056</v>
      </c>
      <c r="H653" t="n">
        <v>571304.4</v>
      </c>
      <c r="I653">
        <f>DAY(EOMONTH(DATE(VALUE(LEFT(E653,4)),VALUE(RIGHT(E653,2)),1),0))</f>
        <v/>
      </c>
      <c r="J653">
        <f>VALUE(LEFT(E653,4))*12+VALUE(RIGHT(E653,2))-1</f>
        <v/>
      </c>
    </row>
    <row r="654">
      <c r="A654" t="inlineStr">
        <is>
          <t>Chihuido de la Sierra Negra</t>
        </is>
      </c>
      <c r="B654" t="inlineStr">
        <is>
          <t>Neuquina</t>
        </is>
      </c>
      <c r="C654" t="inlineStr">
        <is>
          <t>YPF S.A.</t>
        </is>
      </c>
      <c r="D654" t="inlineStr">
        <is>
          <t>no convencional</t>
        </is>
      </c>
      <c r="E654" t="inlineStr">
        <is>
          <t>2025-04</t>
        </is>
      </c>
      <c r="F654" t="n">
        <v>704.9</v>
      </c>
      <c r="G654" t="n">
        <v>1018.7</v>
      </c>
      <c r="H654" t="n">
        <v>0</v>
      </c>
      <c r="I654">
        <f>DAY(EOMONTH(DATE(VALUE(LEFT(E654,4)),VALUE(RIGHT(E654,2)),1),0))</f>
        <v/>
      </c>
      <c r="J654">
        <f>VALUE(LEFT(E654,4))*12+VALUE(RIGHT(E654,2))-1</f>
        <v/>
      </c>
    </row>
    <row r="655">
      <c r="A655" t="inlineStr">
        <is>
          <t>Chihuido de la Sierra Negra</t>
        </is>
      </c>
      <c r="B655" t="inlineStr">
        <is>
          <t>Neuquina</t>
        </is>
      </c>
      <c r="C655" t="inlineStr">
        <is>
          <t>YPF S.A.</t>
        </is>
      </c>
      <c r="D655" t="inlineStr">
        <is>
          <t>convencional</t>
        </is>
      </c>
      <c r="E655" t="inlineStr">
        <is>
          <t>2025-05</t>
        </is>
      </c>
      <c r="F655" t="n">
        <v>12597.6</v>
      </c>
      <c r="G655" t="n">
        <v>472703.9</v>
      </c>
      <c r="H655" t="n">
        <v>604164.2</v>
      </c>
      <c r="I655">
        <f>DAY(EOMONTH(DATE(VALUE(LEFT(E655,4)),VALUE(RIGHT(E655,2)),1),0))</f>
        <v/>
      </c>
      <c r="J655">
        <f>VALUE(LEFT(E655,4))*12+VALUE(RIGHT(E655,2))-1</f>
        <v/>
      </c>
    </row>
    <row r="656">
      <c r="A656" t="inlineStr">
        <is>
          <t>Chihuido de la Sierra Negra</t>
        </is>
      </c>
      <c r="B656" t="inlineStr">
        <is>
          <t>Neuquina</t>
        </is>
      </c>
      <c r="C656" t="inlineStr">
        <is>
          <t>YPF S.A.</t>
        </is>
      </c>
      <c r="D656" t="inlineStr">
        <is>
          <t>no convencional</t>
        </is>
      </c>
      <c r="E656" t="inlineStr">
        <is>
          <t>2025-05</t>
        </is>
      </c>
      <c r="F656" t="n">
        <v>683.6</v>
      </c>
      <c r="G656" t="n">
        <v>1067</v>
      </c>
      <c r="H656" t="n">
        <v>0</v>
      </c>
      <c r="I656">
        <f>DAY(EOMONTH(DATE(VALUE(LEFT(E656,4)),VALUE(RIGHT(E656,2)),1),0))</f>
        <v/>
      </c>
      <c r="J656">
        <f>VALUE(LEFT(E656,4))*12+VALUE(RIGHT(E656,2))-1</f>
        <v/>
      </c>
    </row>
    <row r="657">
      <c r="A657" t="inlineStr">
        <is>
          <t>Chihuido de la Sierra Negra</t>
        </is>
      </c>
      <c r="B657" t="inlineStr">
        <is>
          <t>Neuquina</t>
        </is>
      </c>
      <c r="C657" t="inlineStr">
        <is>
          <t>YPF S.A.</t>
        </is>
      </c>
      <c r="D657" t="inlineStr">
        <is>
          <t>convencional</t>
        </is>
      </c>
      <c r="E657" t="inlineStr">
        <is>
          <t>2025-06</t>
        </is>
      </c>
      <c r="F657" t="n">
        <v>12164.5</v>
      </c>
      <c r="G657" t="n">
        <v>451937.8</v>
      </c>
      <c r="H657" t="n">
        <v>576656.3</v>
      </c>
      <c r="I657">
        <f>DAY(EOMONTH(DATE(VALUE(LEFT(E657,4)),VALUE(RIGHT(E657,2)),1),0))</f>
        <v/>
      </c>
      <c r="J657">
        <f>VALUE(LEFT(E657,4))*12+VALUE(RIGHT(E657,2))-1</f>
        <v/>
      </c>
    </row>
    <row r="658">
      <c r="A658" t="inlineStr">
        <is>
          <t>Chihuido de la Sierra Negra</t>
        </is>
      </c>
      <c r="B658" t="inlineStr">
        <is>
          <t>Neuquina</t>
        </is>
      </c>
      <c r="C658" t="inlineStr">
        <is>
          <t>YPF S.A.</t>
        </is>
      </c>
      <c r="D658" t="inlineStr">
        <is>
          <t>no convencional</t>
        </is>
      </c>
      <c r="E658" t="inlineStr">
        <is>
          <t>2025-06</t>
        </is>
      </c>
      <c r="F658" t="n">
        <v>646.4</v>
      </c>
      <c r="G658" t="n">
        <v>1091</v>
      </c>
      <c r="H658" t="n">
        <v>0</v>
      </c>
      <c r="I658">
        <f>DAY(EOMONTH(DATE(VALUE(LEFT(E658,4)),VALUE(RIGHT(E658,2)),1),0))</f>
        <v/>
      </c>
      <c r="J658">
        <f>VALUE(LEFT(E658,4))*12+VALUE(RIGHT(E658,2))-1</f>
        <v/>
      </c>
    </row>
    <row r="659">
      <c r="A659" t="inlineStr">
        <is>
          <t>Chihuido de la Sierra Negra</t>
        </is>
      </c>
      <c r="B659" t="inlineStr">
        <is>
          <t>Neuquina</t>
        </is>
      </c>
      <c r="C659" t="inlineStr">
        <is>
          <t>YPF S.A.</t>
        </is>
      </c>
      <c r="D659" t="inlineStr">
        <is>
          <t>convencional</t>
        </is>
      </c>
      <c r="E659" t="inlineStr">
        <is>
          <t>2025-07</t>
        </is>
      </c>
      <c r="F659" t="n">
        <v>12135.8</v>
      </c>
      <c r="G659" t="n">
        <v>457571.4</v>
      </c>
      <c r="H659" t="n">
        <v>578501.8</v>
      </c>
      <c r="I659">
        <f>DAY(EOMONTH(DATE(VALUE(LEFT(E659,4)),VALUE(RIGHT(E659,2)),1),0))</f>
        <v/>
      </c>
      <c r="J659">
        <f>VALUE(LEFT(E659,4))*12+VALUE(RIGHT(E659,2))-1</f>
        <v/>
      </c>
    </row>
    <row r="660">
      <c r="A660" t="inlineStr">
        <is>
          <t>Chihuido de la Sierra Negra</t>
        </is>
      </c>
      <c r="B660" t="inlineStr">
        <is>
          <t>Neuquina</t>
        </is>
      </c>
      <c r="C660" t="inlineStr">
        <is>
          <t>YPF S.A.</t>
        </is>
      </c>
      <c r="D660" t="inlineStr">
        <is>
          <t>no convencional</t>
        </is>
      </c>
      <c r="E660" t="inlineStr">
        <is>
          <t>2025-07</t>
        </is>
      </c>
      <c r="F660" t="n">
        <v>662</v>
      </c>
      <c r="G660" t="n">
        <v>1093.8</v>
      </c>
      <c r="H660" t="n">
        <v>0</v>
      </c>
      <c r="I660">
        <f>DAY(EOMONTH(DATE(VALUE(LEFT(E660,4)),VALUE(RIGHT(E660,2)),1),0))</f>
        <v/>
      </c>
      <c r="J660">
        <f>VALUE(LEFT(E660,4))*12+VALUE(RIGHT(E660,2))-1</f>
        <v/>
      </c>
    </row>
    <row r="661">
      <c r="A661" t="inlineStr">
        <is>
          <t>Chihuido de la Sierra Negra</t>
        </is>
      </c>
      <c r="B661" t="inlineStr">
        <is>
          <t>Neuquina</t>
        </is>
      </c>
      <c r="C661" t="inlineStr">
        <is>
          <t>YPF S.A.</t>
        </is>
      </c>
      <c r="D661" t="inlineStr">
        <is>
          <t>convencional</t>
        </is>
      </c>
      <c r="E661" t="inlineStr">
        <is>
          <t>2025-08</t>
        </is>
      </c>
      <c r="F661" t="n">
        <v>11932.6</v>
      </c>
      <c r="G661" t="n">
        <v>469749.5</v>
      </c>
      <c r="H661" t="n">
        <v>566976.4</v>
      </c>
      <c r="I661">
        <f>DAY(EOMONTH(DATE(VALUE(LEFT(E661,4)),VALUE(RIGHT(E661,2)),1),0))</f>
        <v/>
      </c>
      <c r="J661">
        <f>VALUE(LEFT(E661,4))*12+VALUE(RIGHT(E661,2))-1</f>
        <v/>
      </c>
    </row>
    <row r="662">
      <c r="A662" t="inlineStr">
        <is>
          <t>Chihuido de la Sierra Negra</t>
        </is>
      </c>
      <c r="B662" t="inlineStr">
        <is>
          <t>Neuquina</t>
        </is>
      </c>
      <c r="C662" t="inlineStr">
        <is>
          <t>YPF S.A.</t>
        </is>
      </c>
      <c r="D662" t="inlineStr">
        <is>
          <t>no convencional</t>
        </is>
      </c>
      <c r="E662" t="inlineStr">
        <is>
          <t>2025-08</t>
        </is>
      </c>
      <c r="F662" t="n">
        <v>710</v>
      </c>
      <c r="G662" t="n">
        <v>1038.7</v>
      </c>
      <c r="H662" t="n">
        <v>0</v>
      </c>
      <c r="I662">
        <f>DAY(EOMONTH(DATE(VALUE(LEFT(E662,4)),VALUE(RIGHT(E662,2)),1),0))</f>
        <v/>
      </c>
      <c r="J662">
        <f>VALUE(LEFT(E662,4))*12+VALUE(RIGHT(E662,2))-1</f>
        <v/>
      </c>
    </row>
    <row r="663">
      <c r="A663" t="inlineStr">
        <is>
          <t>Chihuido de la Sierra Negra</t>
        </is>
      </c>
      <c r="B663" t="inlineStr">
        <is>
          <t>Neuquina</t>
        </is>
      </c>
      <c r="C663" t="inlineStr">
        <is>
          <t>YPF S.A.</t>
        </is>
      </c>
      <c r="D663" t="inlineStr">
        <is>
          <t>convencional</t>
        </is>
      </c>
      <c r="E663" t="inlineStr">
        <is>
          <t>2025-09</t>
        </is>
      </c>
      <c r="F663" t="n">
        <v>11456.6</v>
      </c>
      <c r="G663" t="n">
        <v>453676.9</v>
      </c>
      <c r="H663" t="n">
        <v>545251.2</v>
      </c>
      <c r="I663">
        <f>DAY(EOMONTH(DATE(VALUE(LEFT(E663,4)),VALUE(RIGHT(E663,2)),1),0))</f>
        <v/>
      </c>
      <c r="J663">
        <f>VALUE(LEFT(E663,4))*12+VALUE(RIGHT(E663,2))-1</f>
        <v/>
      </c>
    </row>
    <row r="664">
      <c r="A664" t="inlineStr">
        <is>
          <t>Chihuido de la Sierra Negra</t>
        </is>
      </c>
      <c r="B664" t="inlineStr">
        <is>
          <t>Neuquina</t>
        </is>
      </c>
      <c r="C664" t="inlineStr">
        <is>
          <t>YPF S.A.</t>
        </is>
      </c>
      <c r="D664" t="inlineStr">
        <is>
          <t>no convencional</t>
        </is>
      </c>
      <c r="E664" t="inlineStr">
        <is>
          <t>2025-09</t>
        </is>
      </c>
      <c r="F664" t="n">
        <v>651</v>
      </c>
      <c r="G664" t="n">
        <v>1038</v>
      </c>
      <c r="H664" t="n">
        <v>0</v>
      </c>
      <c r="I664">
        <f>DAY(EOMONTH(DATE(VALUE(LEFT(E664,4)),VALUE(RIGHT(E664,2)),1),0))</f>
        <v/>
      </c>
      <c r="J664">
        <f>VALUE(LEFT(E664,4))*12+VALUE(RIGHT(E664,2))-1</f>
        <v/>
      </c>
    </row>
    <row r="665">
      <c r="A665" t="inlineStr">
        <is>
          <t>Chihuido de la Sierra Negra</t>
        </is>
      </c>
      <c r="B665" t="inlineStr">
        <is>
          <t>Neuquina</t>
        </is>
      </c>
      <c r="C665" t="inlineStr">
        <is>
          <t>YPF S.A.</t>
        </is>
      </c>
      <c r="D665" t="inlineStr">
        <is>
          <t>convencional</t>
        </is>
      </c>
      <c r="E665" t="inlineStr">
        <is>
          <t>2025-10</t>
        </is>
      </c>
      <c r="F665" t="n">
        <v>11997.1</v>
      </c>
      <c r="G665" t="n">
        <v>460772.2</v>
      </c>
      <c r="H665" t="n">
        <v>548089.3</v>
      </c>
      <c r="I665">
        <f>DAY(EOMONTH(DATE(VALUE(LEFT(E665,4)),VALUE(RIGHT(E665,2)),1),0))</f>
        <v/>
      </c>
      <c r="J665">
        <f>VALUE(LEFT(E665,4))*12+VALUE(RIGHT(E665,2))-1</f>
        <v/>
      </c>
    </row>
    <row r="666">
      <c r="A666" t="inlineStr">
        <is>
          <t>Chihuido de la Sierra Negra</t>
        </is>
      </c>
      <c r="B666" t="inlineStr">
        <is>
          <t>Neuquina</t>
        </is>
      </c>
      <c r="C666" t="inlineStr">
        <is>
          <t>YPF S.A.</t>
        </is>
      </c>
      <c r="D666" t="inlineStr">
        <is>
          <t>no convencional</t>
        </is>
      </c>
      <c r="E666" t="inlineStr">
        <is>
          <t>2025-10</t>
        </is>
      </c>
      <c r="F666" t="n">
        <v>656.1</v>
      </c>
      <c r="G666" t="n">
        <v>970.4</v>
      </c>
      <c r="H666" t="n">
        <v>0</v>
      </c>
      <c r="I666">
        <f>DAY(EOMONTH(DATE(VALUE(LEFT(E666,4)),VALUE(RIGHT(E666,2)),1),0))</f>
        <v/>
      </c>
      <c r="J666">
        <f>VALUE(LEFT(E666,4))*12+VALUE(RIGHT(E666,2))-1</f>
        <v/>
      </c>
    </row>
    <row r="667">
      <c r="A667" t="inlineStr">
        <is>
          <t>Chihuido de la Sierra Negra</t>
        </is>
      </c>
      <c r="B667" t="inlineStr">
        <is>
          <t>Neuquina</t>
        </is>
      </c>
      <c r="C667" t="inlineStr">
        <is>
          <t>YPF S.A.</t>
        </is>
      </c>
      <c r="D667" t="inlineStr">
        <is>
          <t>convencional</t>
        </is>
      </c>
      <c r="E667" t="inlineStr">
        <is>
          <t>2025-11</t>
        </is>
      </c>
      <c r="F667" t="n">
        <v>11007.7</v>
      </c>
      <c r="G667" t="n">
        <v>407549.9</v>
      </c>
      <c r="H667" t="n">
        <v>487270.1</v>
      </c>
      <c r="I667">
        <f>DAY(EOMONTH(DATE(VALUE(LEFT(E667,4)),VALUE(RIGHT(E667,2)),1),0))</f>
        <v/>
      </c>
      <c r="J667">
        <f>VALUE(LEFT(E667,4))*12+VALUE(RIGHT(E667,2))-1</f>
        <v/>
      </c>
    </row>
    <row r="668">
      <c r="A668" t="inlineStr">
        <is>
          <t>Chihuido de la Sierra Negra</t>
        </is>
      </c>
      <c r="B668" t="inlineStr">
        <is>
          <t>Neuquina</t>
        </is>
      </c>
      <c r="C668" t="inlineStr">
        <is>
          <t>YPF S.A.</t>
        </is>
      </c>
      <c r="D668" t="inlineStr">
        <is>
          <t>no convencional</t>
        </is>
      </c>
      <c r="E668" t="inlineStr">
        <is>
          <t>2025-11</t>
        </is>
      </c>
      <c r="F668" t="n">
        <v>410.5</v>
      </c>
      <c r="G668" t="n">
        <v>426.7</v>
      </c>
      <c r="H668" t="n">
        <v>0</v>
      </c>
      <c r="I668">
        <f>DAY(EOMONTH(DATE(VALUE(LEFT(E668,4)),VALUE(RIGHT(E668,2)),1),0))</f>
        <v/>
      </c>
      <c r="J668">
        <f>VALUE(LEFT(E668,4))*12+VALUE(RIGHT(E668,2))-1</f>
        <v/>
      </c>
    </row>
    <row r="669">
      <c r="A669" t="inlineStr">
        <is>
          <t>Chihuido de la Sierra Negra</t>
        </is>
      </c>
      <c r="B669" t="inlineStr">
        <is>
          <t>Neuquina</t>
        </is>
      </c>
      <c r="C669" t="inlineStr">
        <is>
          <t>YPF S.A.</t>
        </is>
      </c>
      <c r="D669" t="inlineStr">
        <is>
          <t>convencional</t>
        </is>
      </c>
      <c r="E669" t="inlineStr">
        <is>
          <t>2025-12</t>
        </is>
      </c>
      <c r="F669" t="n">
        <v>11623.1</v>
      </c>
      <c r="G669" t="n">
        <v>427500.8</v>
      </c>
      <c r="H669" t="n">
        <v>513770.4</v>
      </c>
      <c r="I669">
        <f>DAY(EOMONTH(DATE(VALUE(LEFT(E669,4)),VALUE(RIGHT(E669,2)),1),0))</f>
        <v/>
      </c>
      <c r="J669">
        <f>VALUE(LEFT(E669,4))*12+VALUE(RIGHT(E669,2))-1</f>
        <v/>
      </c>
    </row>
    <row r="670">
      <c r="A670" t="inlineStr">
        <is>
          <t>Chihuido de la Sierra Negra</t>
        </is>
      </c>
      <c r="B670" t="inlineStr">
        <is>
          <t>Neuquina</t>
        </is>
      </c>
      <c r="C670" t="inlineStr">
        <is>
          <t>YPF S.A.</t>
        </is>
      </c>
      <c r="D670" t="inlineStr">
        <is>
          <t>no convencional</t>
        </is>
      </c>
      <c r="E670" t="inlineStr">
        <is>
          <t>2025-12</t>
        </is>
      </c>
      <c r="F670" t="n">
        <v>621.8</v>
      </c>
      <c r="G670" t="n">
        <v>827.5</v>
      </c>
      <c r="H670" t="n">
        <v>0</v>
      </c>
      <c r="I670">
        <f>DAY(EOMONTH(DATE(VALUE(LEFT(E670,4)),VALUE(RIGHT(E670,2)),1),0))</f>
        <v/>
      </c>
      <c r="J670">
        <f>VALUE(LEFT(E670,4))*12+VALUE(RIGHT(E670,2))-1</f>
        <v/>
      </c>
    </row>
    <row r="671">
      <c r="A671" t="inlineStr">
        <is>
          <t>Chihuido de la Sierra Negra</t>
        </is>
      </c>
      <c r="B671" t="inlineStr">
        <is>
          <t>Neuquina</t>
        </is>
      </c>
      <c r="C671" t="inlineStr">
        <is>
          <t>YPF S.A.</t>
        </is>
      </c>
      <c r="D671" t="inlineStr">
        <is>
          <t>convencional</t>
        </is>
      </c>
      <c r="E671" t="inlineStr">
        <is>
          <t>2026-01</t>
        </is>
      </c>
      <c r="F671" t="n">
        <v>12024.1</v>
      </c>
      <c r="G671" t="n">
        <v>418999.5</v>
      </c>
      <c r="H671" t="n">
        <v>497911.4</v>
      </c>
      <c r="I671">
        <f>DAY(EOMONTH(DATE(VALUE(LEFT(E671,4)),VALUE(RIGHT(E671,2)),1),0))</f>
        <v/>
      </c>
      <c r="J671">
        <f>VALUE(LEFT(E671,4))*12+VALUE(RIGHT(E671,2))-1</f>
        <v/>
      </c>
    </row>
    <row r="672">
      <c r="A672" t="inlineStr">
        <is>
          <t>Chihuido de la Sierra Negra</t>
        </is>
      </c>
      <c r="B672" t="inlineStr">
        <is>
          <t>Neuquina</t>
        </is>
      </c>
      <c r="C672" t="inlineStr">
        <is>
          <t>YPF S.A.</t>
        </is>
      </c>
      <c r="D672" t="inlineStr">
        <is>
          <t>no convencional</t>
        </is>
      </c>
      <c r="E672" t="inlineStr">
        <is>
          <t>2026-01</t>
        </is>
      </c>
      <c r="F672" t="n">
        <v>233</v>
      </c>
      <c r="G672" t="n">
        <v>1015.2</v>
      </c>
      <c r="H672" t="n">
        <v>0</v>
      </c>
      <c r="I672">
        <f>DAY(EOMONTH(DATE(VALUE(LEFT(E672,4)),VALUE(RIGHT(E672,2)),1),0))</f>
        <v/>
      </c>
      <c r="J672">
        <f>VALUE(LEFT(E672,4))*12+VALUE(RIGHT(E672,2))-1</f>
        <v/>
      </c>
    </row>
    <row r="673">
      <c r="A673" t="inlineStr">
        <is>
          <t>Chihuido de la Sierra Negra</t>
        </is>
      </c>
      <c r="B673" t="inlineStr">
        <is>
          <t>Neuquina</t>
        </is>
      </c>
      <c r="C673" t="inlineStr">
        <is>
          <t>YPF S.A.</t>
        </is>
      </c>
      <c r="D673" t="inlineStr">
        <is>
          <t>convencional</t>
        </is>
      </c>
      <c r="E673" t="inlineStr">
        <is>
          <t>2026-02</t>
        </is>
      </c>
      <c r="F673" t="n">
        <v>10537.8</v>
      </c>
      <c r="G673" t="n">
        <v>374808.9</v>
      </c>
      <c r="H673" t="n">
        <v>440332</v>
      </c>
      <c r="I673">
        <f>DAY(EOMONTH(DATE(VALUE(LEFT(E673,4)),VALUE(RIGHT(E673,2)),1),0))</f>
        <v/>
      </c>
      <c r="J673">
        <f>VALUE(LEFT(E673,4))*12+VALUE(RIGHT(E673,2))-1</f>
        <v/>
      </c>
    </row>
    <row r="674">
      <c r="A674" t="inlineStr">
        <is>
          <t>Chihuido de la Sierra Negra</t>
        </is>
      </c>
      <c r="B674" t="inlineStr">
        <is>
          <t>Neuquina</t>
        </is>
      </c>
      <c r="C674" t="inlineStr">
        <is>
          <t>YPF S.A.</t>
        </is>
      </c>
      <c r="D674" t="inlineStr">
        <is>
          <t>no convencional</t>
        </is>
      </c>
      <c r="E674" t="inlineStr">
        <is>
          <t>2026-02</t>
        </is>
      </c>
      <c r="F674" t="n">
        <v>214.9</v>
      </c>
      <c r="G674" t="n">
        <v>854.2</v>
      </c>
      <c r="H674" t="n">
        <v>0</v>
      </c>
      <c r="I674">
        <f>DAY(EOMONTH(DATE(VALUE(LEFT(E674,4)),VALUE(RIGHT(E674,2)),1),0))</f>
        <v/>
      </c>
      <c r="J674">
        <f>VALUE(LEFT(E674,4))*12+VALUE(RIGHT(E674,2))-1</f>
        <v/>
      </c>
    </row>
    <row r="675">
      <c r="A675" t="inlineStr">
        <is>
          <t>Chihuido de la Sierra Negra</t>
        </is>
      </c>
      <c r="B675" t="inlineStr">
        <is>
          <t>Neuquina</t>
        </is>
      </c>
      <c r="C675" t="inlineStr">
        <is>
          <t>YPF S.A.</t>
        </is>
      </c>
      <c r="D675" t="inlineStr">
        <is>
          <t>convencional</t>
        </is>
      </c>
      <c r="E675" t="inlineStr">
        <is>
          <t>2026-03</t>
        </is>
      </c>
      <c r="F675" t="n">
        <v>11404.6</v>
      </c>
      <c r="G675" t="n">
        <v>408325.3</v>
      </c>
      <c r="H675" t="n">
        <v>536126.5</v>
      </c>
      <c r="I675">
        <f>DAY(EOMONTH(DATE(VALUE(LEFT(E675,4)),VALUE(RIGHT(E675,2)),1),0))</f>
        <v/>
      </c>
      <c r="J675">
        <f>VALUE(LEFT(E675,4))*12+VALUE(RIGHT(E675,2))-1</f>
        <v/>
      </c>
    </row>
    <row r="676">
      <c r="A676" t="inlineStr">
        <is>
          <t>Chihuido de la Sierra Negra</t>
        </is>
      </c>
      <c r="B676" t="inlineStr">
        <is>
          <t>Neuquina</t>
        </is>
      </c>
      <c r="C676" t="inlineStr">
        <is>
          <t>YPF S.A.</t>
        </is>
      </c>
      <c r="D676" t="inlineStr">
        <is>
          <t>no convencional</t>
        </is>
      </c>
      <c r="E676" t="inlineStr">
        <is>
          <t>2026-03</t>
        </is>
      </c>
      <c r="F676" t="n">
        <v>310.6</v>
      </c>
      <c r="G676" t="n">
        <v>574.2</v>
      </c>
      <c r="H676" t="n">
        <v>0</v>
      </c>
      <c r="I676">
        <f>DAY(EOMONTH(DATE(VALUE(LEFT(E676,4)),VALUE(RIGHT(E676,2)),1),0))</f>
        <v/>
      </c>
      <c r="J676">
        <f>VALUE(LEFT(E676,4))*12+VALUE(RIGHT(E676,2))-1</f>
        <v/>
      </c>
    </row>
    <row r="677">
      <c r="A677" t="inlineStr">
        <is>
          <t>Chihuido de la Sierra Negra</t>
        </is>
      </c>
      <c r="B677" t="inlineStr">
        <is>
          <t>Neuquina</t>
        </is>
      </c>
      <c r="C677" t="inlineStr">
        <is>
          <t>YPF S.A.</t>
        </is>
      </c>
      <c r="D677" t="inlineStr">
        <is>
          <t>convencional</t>
        </is>
      </c>
      <c r="E677" t="inlineStr">
        <is>
          <t>2026-04</t>
        </is>
      </c>
      <c r="F677" t="n">
        <v>11462.9</v>
      </c>
      <c r="G677" t="n">
        <v>403943.3</v>
      </c>
      <c r="H677" t="n">
        <v>539328.4</v>
      </c>
      <c r="I677">
        <f>DAY(EOMONTH(DATE(VALUE(LEFT(E677,4)),VALUE(RIGHT(E677,2)),1),0))</f>
        <v/>
      </c>
      <c r="J677">
        <f>VALUE(LEFT(E677,4))*12+VALUE(RIGHT(E677,2))-1</f>
        <v/>
      </c>
    </row>
    <row r="678">
      <c r="A678" t="inlineStr">
        <is>
          <t>Chihuido de la Sierra Negra</t>
        </is>
      </c>
      <c r="B678" t="inlineStr">
        <is>
          <t>Neuquina</t>
        </is>
      </c>
      <c r="C678" t="inlineStr">
        <is>
          <t>YPF S.A.</t>
        </is>
      </c>
      <c r="D678" t="inlineStr">
        <is>
          <t>no convencional</t>
        </is>
      </c>
      <c r="E678" t="inlineStr">
        <is>
          <t>2026-04</t>
        </is>
      </c>
      <c r="F678" t="n">
        <v>278.1</v>
      </c>
      <c r="G678" t="n">
        <v>813.6</v>
      </c>
      <c r="H678" t="n">
        <v>0</v>
      </c>
      <c r="I678">
        <f>DAY(EOMONTH(DATE(VALUE(LEFT(E678,4)),VALUE(RIGHT(E678,2)),1),0))</f>
        <v/>
      </c>
      <c r="J678">
        <f>VALUE(LEFT(E678,4))*12+VALUE(RIGHT(E678,2))-1</f>
        <v/>
      </c>
    </row>
    <row r="679">
      <c r="A679" t="inlineStr">
        <is>
          <t>Chihuido de la Sierra Negra</t>
        </is>
      </c>
      <c r="B679" t="inlineStr">
        <is>
          <t>Neuquina</t>
        </is>
      </c>
      <c r="C679" t="inlineStr">
        <is>
          <t>YPF S.A.</t>
        </is>
      </c>
      <c r="D679" t="inlineStr">
        <is>
          <t>convencional</t>
        </is>
      </c>
      <c r="E679" t="inlineStr">
        <is>
          <t>2026-05</t>
        </is>
      </c>
      <c r="F679" t="n">
        <v>11628.4</v>
      </c>
      <c r="G679" t="n">
        <v>405638.5</v>
      </c>
      <c r="H679" t="n">
        <v>549967.8</v>
      </c>
      <c r="I679">
        <f>DAY(EOMONTH(DATE(VALUE(LEFT(E679,4)),VALUE(RIGHT(E679,2)),1),0))</f>
        <v/>
      </c>
      <c r="J679">
        <f>VALUE(LEFT(E679,4))*12+VALUE(RIGHT(E679,2))-1</f>
        <v/>
      </c>
    </row>
    <row r="680">
      <c r="A680" t="inlineStr">
        <is>
          <t>Chihuido de la Sierra Negra</t>
        </is>
      </c>
      <c r="B680" t="inlineStr">
        <is>
          <t>Neuquina</t>
        </is>
      </c>
      <c r="C680" t="inlineStr">
        <is>
          <t>YPF S.A.</t>
        </is>
      </c>
      <c r="D680" t="inlineStr">
        <is>
          <t>no convencional</t>
        </is>
      </c>
      <c r="E680" t="inlineStr">
        <is>
          <t>2026-05</t>
        </is>
      </c>
      <c r="F680" t="n">
        <v>312</v>
      </c>
      <c r="G680" t="n">
        <v>806.7</v>
      </c>
      <c r="H680" t="n">
        <v>0</v>
      </c>
      <c r="I680">
        <f>DAY(EOMONTH(DATE(VALUE(LEFT(E680,4)),VALUE(RIGHT(E680,2)),1),0))</f>
        <v/>
      </c>
      <c r="J680">
        <f>VALUE(LEFT(E680,4))*12+VALUE(RIGHT(E680,2))-1</f>
        <v/>
      </c>
    </row>
    <row r="681">
      <c r="A681" t="inlineStr">
        <is>
          <t>Chihuido de la Sierra Negra</t>
        </is>
      </c>
      <c r="B681" t="inlineStr">
        <is>
          <t>Neuquina</t>
        </is>
      </c>
      <c r="C681" t="inlineStr">
        <is>
          <t>YPF S.A.</t>
        </is>
      </c>
      <c r="D681" t="inlineStr">
        <is>
          <t>convencional</t>
        </is>
      </c>
      <c r="E681" t="inlineStr">
        <is>
          <t>2026-06</t>
        </is>
      </c>
      <c r="F681" t="n">
        <v>11062.3</v>
      </c>
      <c r="G681" t="n">
        <v>398448.1</v>
      </c>
      <c r="H681" t="n">
        <v>485424</v>
      </c>
      <c r="I681">
        <f>DAY(EOMONTH(DATE(VALUE(LEFT(E681,4)),VALUE(RIGHT(E681,2)),1),0))</f>
        <v/>
      </c>
      <c r="J681">
        <f>VALUE(LEFT(E681,4))*12+VALUE(RIGHT(E681,2))-1</f>
        <v/>
      </c>
    </row>
    <row r="682">
      <c r="A682" t="inlineStr">
        <is>
          <t>Chihuido de la Sierra Negra</t>
        </is>
      </c>
      <c r="B682" t="inlineStr">
        <is>
          <t>Neuquina</t>
        </is>
      </c>
      <c r="C682" t="inlineStr">
        <is>
          <t>YPF S.A.</t>
        </is>
      </c>
      <c r="D682" t="inlineStr">
        <is>
          <t>no convencional</t>
        </is>
      </c>
      <c r="E682" t="inlineStr">
        <is>
          <t>2026-06</t>
        </is>
      </c>
      <c r="F682" t="n">
        <v>268.3</v>
      </c>
      <c r="G682" t="n">
        <v>1116.2</v>
      </c>
      <c r="H682" t="n">
        <v>0</v>
      </c>
      <c r="I682">
        <f>DAY(EOMONTH(DATE(VALUE(LEFT(E682,4)),VALUE(RIGHT(E682,2)),1),0))</f>
        <v/>
      </c>
      <c r="J682">
        <f>VALUE(LEFT(E682,4))*12+VALUE(RIGHT(E682,2))-1</f>
        <v/>
      </c>
    </row>
    <row r="683">
      <c r="A683" t="inlineStr">
        <is>
          <t>Chihuido de la Sierra Negra</t>
        </is>
      </c>
      <c r="B683" t="inlineStr">
        <is>
          <t>Neuquina</t>
        </is>
      </c>
      <c r="C683" t="inlineStr">
        <is>
          <t>YPF S.A.</t>
        </is>
      </c>
      <c r="D683" t="inlineStr">
        <is>
          <t>convencional</t>
        </is>
      </c>
      <c r="E683" t="inlineStr">
        <is>
          <t>2026-07</t>
        </is>
      </c>
      <c r="F683" t="n">
        <v>12046.4</v>
      </c>
      <c r="G683" t="n">
        <v>409192.7</v>
      </c>
      <c r="H683" t="n">
        <v>390927.8</v>
      </c>
      <c r="I683">
        <f>DAY(EOMONTH(DATE(VALUE(LEFT(E683,4)),VALUE(RIGHT(E683,2)),1),0))</f>
        <v/>
      </c>
      <c r="J683">
        <f>VALUE(LEFT(E683,4))*12+VALUE(RIGHT(E683,2))-1</f>
        <v/>
      </c>
    </row>
    <row r="684">
      <c r="A684" t="inlineStr">
        <is>
          <t>Chihuido de la Sierra Negra</t>
        </is>
      </c>
      <c r="B684" t="inlineStr">
        <is>
          <t>Neuquina</t>
        </is>
      </c>
      <c r="C684" t="inlineStr">
        <is>
          <t>YPF S.A.</t>
        </is>
      </c>
      <c r="D684" t="inlineStr">
        <is>
          <t>no convencional</t>
        </is>
      </c>
      <c r="E684" t="inlineStr">
        <is>
          <t>2026-07</t>
        </is>
      </c>
      <c r="F684" t="n">
        <v>314.4</v>
      </c>
      <c r="G684" t="n">
        <v>1143.3</v>
      </c>
      <c r="H684" t="n">
        <v>0</v>
      </c>
      <c r="I684">
        <f>DAY(EOMONTH(DATE(VALUE(LEFT(E684,4)),VALUE(RIGHT(E684,2)),1),0))</f>
        <v/>
      </c>
      <c r="J684">
        <f>VALUE(LEFT(E684,4))*12+VALUE(RIGHT(E684,2))-1</f>
        <v/>
      </c>
    </row>
    <row r="685">
      <c r="A685" t="inlineStr">
        <is>
          <t>El Trapial</t>
        </is>
      </c>
      <c r="B685" t="inlineStr">
        <is>
          <t>Neuquina</t>
        </is>
      </c>
      <c r="C685" t="inlineStr">
        <is>
          <t>CHEVRON ARGENTINA S.R.L.</t>
        </is>
      </c>
      <c r="D685" t="inlineStr">
        <is>
          <t>convencional</t>
        </is>
      </c>
      <c r="E685" t="inlineStr">
        <is>
          <t>2006-01</t>
        </is>
      </c>
      <c r="F685" t="n">
        <v>206192</v>
      </c>
      <c r="G685" t="n">
        <v>1562668</v>
      </c>
      <c r="H685" t="n">
        <v>540943.7</v>
      </c>
      <c r="I685">
        <f>DAY(EOMONTH(DATE(VALUE(LEFT(E685,4)),VALUE(RIGHT(E685,2)),1),0))</f>
        <v/>
      </c>
      <c r="J685">
        <f>VALUE(LEFT(E685,4))*12+VALUE(RIGHT(E685,2))-1</f>
        <v/>
      </c>
    </row>
    <row r="686">
      <c r="A686" t="inlineStr">
        <is>
          <t>El Trapial</t>
        </is>
      </c>
      <c r="B686" t="inlineStr">
        <is>
          <t>Neuquina</t>
        </is>
      </c>
      <c r="C686" t="inlineStr">
        <is>
          <t>CHEVRON ARGENTINA S.R.L.</t>
        </is>
      </c>
      <c r="D686" t="inlineStr">
        <is>
          <t>convencional</t>
        </is>
      </c>
      <c r="E686" t="inlineStr">
        <is>
          <t>2006-02</t>
        </is>
      </c>
      <c r="F686" t="n">
        <v>183596</v>
      </c>
      <c r="G686" t="n">
        <v>1433495</v>
      </c>
      <c r="H686" t="n">
        <v>1942629.9</v>
      </c>
      <c r="I686">
        <f>DAY(EOMONTH(DATE(VALUE(LEFT(E686,4)),VALUE(RIGHT(E686,2)),1),0))</f>
        <v/>
      </c>
      <c r="J686">
        <f>VALUE(LEFT(E686,4))*12+VALUE(RIGHT(E686,2))-1</f>
        <v/>
      </c>
    </row>
    <row r="687">
      <c r="A687" t="inlineStr">
        <is>
          <t>El Trapial</t>
        </is>
      </c>
      <c r="B687" t="inlineStr">
        <is>
          <t>Neuquina</t>
        </is>
      </c>
      <c r="C687" t="inlineStr">
        <is>
          <t>CHEVRON ARGENTINA S.R.L.</t>
        </is>
      </c>
      <c r="D687" t="inlineStr">
        <is>
          <t>convencional</t>
        </is>
      </c>
      <c r="E687" t="inlineStr">
        <is>
          <t>2006-03</t>
        </is>
      </c>
      <c r="F687" t="n">
        <v>201610</v>
      </c>
      <c r="G687" t="n">
        <v>1584979.1</v>
      </c>
      <c r="H687" t="n">
        <v>2149948.9</v>
      </c>
      <c r="I687">
        <f>DAY(EOMONTH(DATE(VALUE(LEFT(E687,4)),VALUE(RIGHT(E687,2)),1),0))</f>
        <v/>
      </c>
      <c r="J687">
        <f>VALUE(LEFT(E687,4))*12+VALUE(RIGHT(E687,2))-1</f>
        <v/>
      </c>
    </row>
    <row r="688">
      <c r="A688" t="inlineStr">
        <is>
          <t>El Trapial</t>
        </is>
      </c>
      <c r="B688" t="inlineStr">
        <is>
          <t>Neuquina</t>
        </is>
      </c>
      <c r="C688" t="inlineStr">
        <is>
          <t>CHEVRON ARGENTINA S.R.L.</t>
        </is>
      </c>
      <c r="D688" t="inlineStr">
        <is>
          <t>convencional</t>
        </is>
      </c>
      <c r="E688" t="inlineStr">
        <is>
          <t>2006-04</t>
        </is>
      </c>
      <c r="F688" t="n">
        <v>188397</v>
      </c>
      <c r="G688" t="n">
        <v>1526877.7</v>
      </c>
      <c r="H688" t="n">
        <v>2071470.5</v>
      </c>
      <c r="I688">
        <f>DAY(EOMONTH(DATE(VALUE(LEFT(E688,4)),VALUE(RIGHT(E688,2)),1),0))</f>
        <v/>
      </c>
      <c r="J688">
        <f>VALUE(LEFT(E688,4))*12+VALUE(RIGHT(E688,2))-1</f>
        <v/>
      </c>
    </row>
    <row r="689">
      <c r="A689" t="inlineStr">
        <is>
          <t>El Trapial</t>
        </is>
      </c>
      <c r="B689" t="inlineStr">
        <is>
          <t>Neuquina</t>
        </is>
      </c>
      <c r="C689" t="inlineStr">
        <is>
          <t>CHEVRON ARGENTINA S.R.L.</t>
        </is>
      </c>
      <c r="D689" t="inlineStr">
        <is>
          <t>convencional</t>
        </is>
      </c>
      <c r="E689" t="inlineStr">
        <is>
          <t>2006-05</t>
        </is>
      </c>
      <c r="F689" t="n">
        <v>199095</v>
      </c>
      <c r="G689" t="n">
        <v>1626278</v>
      </c>
      <c r="H689" t="n">
        <v>2196422.9</v>
      </c>
      <c r="I689">
        <f>DAY(EOMONTH(DATE(VALUE(LEFT(E689,4)),VALUE(RIGHT(E689,2)),1),0))</f>
        <v/>
      </c>
      <c r="J689">
        <f>VALUE(LEFT(E689,4))*12+VALUE(RIGHT(E689,2))-1</f>
        <v/>
      </c>
    </row>
    <row r="690">
      <c r="A690" t="inlineStr">
        <is>
          <t>El Trapial</t>
        </is>
      </c>
      <c r="B690" t="inlineStr">
        <is>
          <t>Neuquina</t>
        </is>
      </c>
      <c r="C690" t="inlineStr">
        <is>
          <t>CHEVRON ARGENTINA S.R.L.</t>
        </is>
      </c>
      <c r="D690" t="inlineStr">
        <is>
          <t>convencional</t>
        </is>
      </c>
      <c r="E690" t="inlineStr">
        <is>
          <t>2006-06</t>
        </is>
      </c>
      <c r="F690" t="n">
        <v>196197</v>
      </c>
      <c r="G690" t="n">
        <v>1515860</v>
      </c>
      <c r="H690" t="n">
        <v>2059805.9</v>
      </c>
      <c r="I690">
        <f>DAY(EOMONTH(DATE(VALUE(LEFT(E690,4)),VALUE(RIGHT(E690,2)),1),0))</f>
        <v/>
      </c>
      <c r="J690">
        <f>VALUE(LEFT(E690,4))*12+VALUE(RIGHT(E690,2))-1</f>
        <v/>
      </c>
    </row>
    <row r="691">
      <c r="A691" t="inlineStr">
        <is>
          <t>El Trapial</t>
        </is>
      </c>
      <c r="B691" t="inlineStr">
        <is>
          <t>Neuquina</t>
        </is>
      </c>
      <c r="C691" t="inlineStr">
        <is>
          <t>CHEVRON ARGENTINA S.R.L.</t>
        </is>
      </c>
      <c r="D691" t="inlineStr">
        <is>
          <t>convencional</t>
        </is>
      </c>
      <c r="E691" t="inlineStr">
        <is>
          <t>2006-07</t>
        </is>
      </c>
      <c r="F691" t="n">
        <v>203451</v>
      </c>
      <c r="G691" t="n">
        <v>1584866</v>
      </c>
      <c r="H691" t="n">
        <v>2131481.8</v>
      </c>
      <c r="I691">
        <f>DAY(EOMONTH(DATE(VALUE(LEFT(E691,4)),VALUE(RIGHT(E691,2)),1),0))</f>
        <v/>
      </c>
      <c r="J691">
        <f>VALUE(LEFT(E691,4))*12+VALUE(RIGHT(E691,2))-1</f>
        <v/>
      </c>
    </row>
    <row r="692">
      <c r="A692" t="inlineStr">
        <is>
          <t>El Trapial</t>
        </is>
      </c>
      <c r="B692" t="inlineStr">
        <is>
          <t>Neuquina</t>
        </is>
      </c>
      <c r="C692" t="inlineStr">
        <is>
          <t>CHEVRON ARGENTINA S.R.L.</t>
        </is>
      </c>
      <c r="D692" t="inlineStr">
        <is>
          <t>convencional</t>
        </is>
      </c>
      <c r="E692" t="inlineStr">
        <is>
          <t>2006-08</t>
        </is>
      </c>
      <c r="F692" t="n">
        <v>206926</v>
      </c>
      <c r="G692" t="n">
        <v>1627684</v>
      </c>
      <c r="H692" t="n">
        <v>2187888.6</v>
      </c>
      <c r="I692">
        <f>DAY(EOMONTH(DATE(VALUE(LEFT(E692,4)),VALUE(RIGHT(E692,2)),1),0))</f>
        <v/>
      </c>
      <c r="J692">
        <f>VALUE(LEFT(E692,4))*12+VALUE(RIGHT(E692,2))-1</f>
        <v/>
      </c>
    </row>
    <row r="693">
      <c r="A693" t="inlineStr">
        <is>
          <t>El Trapial</t>
        </is>
      </c>
      <c r="B693" t="inlineStr">
        <is>
          <t>Neuquina</t>
        </is>
      </c>
      <c r="C693" t="inlineStr">
        <is>
          <t>CHEVRON ARGENTINA S.R.L.</t>
        </is>
      </c>
      <c r="D693" t="inlineStr">
        <is>
          <t>convencional</t>
        </is>
      </c>
      <c r="E693" t="inlineStr">
        <is>
          <t>2006-09</t>
        </is>
      </c>
      <c r="F693" t="n">
        <v>200266</v>
      </c>
      <c r="G693" t="n">
        <v>1596615</v>
      </c>
      <c r="H693" t="n">
        <v>2116450.5</v>
      </c>
      <c r="I693">
        <f>DAY(EOMONTH(DATE(VALUE(LEFT(E693,4)),VALUE(RIGHT(E693,2)),1),0))</f>
        <v/>
      </c>
      <c r="J693">
        <f>VALUE(LEFT(E693,4))*12+VALUE(RIGHT(E693,2))-1</f>
        <v/>
      </c>
    </row>
    <row r="694">
      <c r="A694" t="inlineStr">
        <is>
          <t>El Trapial</t>
        </is>
      </c>
      <c r="B694" t="inlineStr">
        <is>
          <t>Neuquina</t>
        </is>
      </c>
      <c r="C694" t="inlineStr">
        <is>
          <t>CHEVRON ARGENTINA S.R.L.</t>
        </is>
      </c>
      <c r="D694" t="inlineStr">
        <is>
          <t>convencional</t>
        </is>
      </c>
      <c r="E694" t="inlineStr">
        <is>
          <t>2006-10</t>
        </is>
      </c>
      <c r="F694" t="n">
        <v>209132</v>
      </c>
      <c r="G694" t="n">
        <v>1625232</v>
      </c>
      <c r="H694" t="n">
        <v>2123757.2</v>
      </c>
      <c r="I694">
        <f>DAY(EOMONTH(DATE(VALUE(LEFT(E694,4)),VALUE(RIGHT(E694,2)),1),0))</f>
        <v/>
      </c>
      <c r="J694">
        <f>VALUE(LEFT(E694,4))*12+VALUE(RIGHT(E694,2))-1</f>
        <v/>
      </c>
    </row>
    <row r="695">
      <c r="A695" t="inlineStr">
        <is>
          <t>El Trapial</t>
        </is>
      </c>
      <c r="B695" t="inlineStr">
        <is>
          <t>Neuquina</t>
        </is>
      </c>
      <c r="C695" t="inlineStr">
        <is>
          <t>CHEVRON ARGENTINA S.R.L.</t>
        </is>
      </c>
      <c r="D695" t="inlineStr">
        <is>
          <t>convencional</t>
        </is>
      </c>
      <c r="E695" t="inlineStr">
        <is>
          <t>2006-11</t>
        </is>
      </c>
      <c r="F695" t="n">
        <v>191434</v>
      </c>
      <c r="G695" t="n">
        <v>1515170</v>
      </c>
      <c r="H695" t="n">
        <v>1980856.3</v>
      </c>
      <c r="I695">
        <f>DAY(EOMONTH(DATE(VALUE(LEFT(E695,4)),VALUE(RIGHT(E695,2)),1),0))</f>
        <v/>
      </c>
      <c r="J695">
        <f>VALUE(LEFT(E695,4))*12+VALUE(RIGHT(E695,2))-1</f>
        <v/>
      </c>
    </row>
    <row r="696">
      <c r="A696" t="inlineStr">
        <is>
          <t>El Trapial</t>
        </is>
      </c>
      <c r="B696" t="inlineStr">
        <is>
          <t>Neuquina</t>
        </is>
      </c>
      <c r="C696" t="inlineStr">
        <is>
          <t>CHEVRON ARGENTINA S.R.L.</t>
        </is>
      </c>
      <c r="D696" t="inlineStr">
        <is>
          <t>convencional</t>
        </is>
      </c>
      <c r="E696" t="inlineStr">
        <is>
          <t>2006-12</t>
        </is>
      </c>
      <c r="F696" t="n">
        <v>206294</v>
      </c>
      <c r="G696" t="n">
        <v>1573115</v>
      </c>
      <c r="H696" t="n">
        <v>2047150</v>
      </c>
      <c r="I696">
        <f>DAY(EOMONTH(DATE(VALUE(LEFT(E696,4)),VALUE(RIGHT(E696,2)),1),0))</f>
        <v/>
      </c>
      <c r="J696">
        <f>VALUE(LEFT(E696,4))*12+VALUE(RIGHT(E696,2))-1</f>
        <v/>
      </c>
    </row>
    <row r="697">
      <c r="A697" t="inlineStr">
        <is>
          <t>El Trapial</t>
        </is>
      </c>
      <c r="B697" t="inlineStr">
        <is>
          <t>Neuquina</t>
        </is>
      </c>
      <c r="C697" t="inlineStr">
        <is>
          <t>CHEVRON ARGENTINA S.R.L.</t>
        </is>
      </c>
      <c r="D697" t="inlineStr">
        <is>
          <t>convencional</t>
        </is>
      </c>
      <c r="E697" t="inlineStr">
        <is>
          <t>2007-01</t>
        </is>
      </c>
      <c r="F697" t="n">
        <v>206875</v>
      </c>
      <c r="G697" t="n">
        <v>1567231</v>
      </c>
      <c r="H697" t="n">
        <v>2051814</v>
      </c>
      <c r="I697">
        <f>DAY(EOMONTH(DATE(VALUE(LEFT(E697,4)),VALUE(RIGHT(E697,2)),1),0))</f>
        <v/>
      </c>
      <c r="J697">
        <f>VALUE(LEFT(E697,4))*12+VALUE(RIGHT(E697,2))-1</f>
        <v/>
      </c>
    </row>
    <row r="698">
      <c r="A698" t="inlineStr">
        <is>
          <t>El Trapial</t>
        </is>
      </c>
      <c r="B698" t="inlineStr">
        <is>
          <t>Neuquina</t>
        </is>
      </c>
      <c r="C698" t="inlineStr">
        <is>
          <t>CHEVRON ARGENTINA S.R.L.</t>
        </is>
      </c>
      <c r="D698" t="inlineStr">
        <is>
          <t>convencional</t>
        </is>
      </c>
      <c r="E698" t="inlineStr">
        <is>
          <t>2007-02</t>
        </is>
      </c>
      <c r="F698" t="n">
        <v>187714</v>
      </c>
      <c r="G698" t="n">
        <v>1384449.1</v>
      </c>
      <c r="H698" t="n">
        <v>1806386</v>
      </c>
      <c r="I698">
        <f>DAY(EOMONTH(DATE(VALUE(LEFT(E698,4)),VALUE(RIGHT(E698,2)),1),0))</f>
        <v/>
      </c>
      <c r="J698">
        <f>VALUE(LEFT(E698,4))*12+VALUE(RIGHT(E698,2))-1</f>
        <v/>
      </c>
    </row>
    <row r="699">
      <c r="A699" t="inlineStr">
        <is>
          <t>El Trapial</t>
        </is>
      </c>
      <c r="B699" t="inlineStr">
        <is>
          <t>Neuquina</t>
        </is>
      </c>
      <c r="C699" t="inlineStr">
        <is>
          <t>CHEVRON ARGENTINA S.R.L.</t>
        </is>
      </c>
      <c r="D699" t="inlineStr">
        <is>
          <t>convencional</t>
        </is>
      </c>
      <c r="E699" t="inlineStr">
        <is>
          <t>2007-03</t>
        </is>
      </c>
      <c r="F699" t="n">
        <v>210927</v>
      </c>
      <c r="G699" t="n">
        <v>1657611</v>
      </c>
      <c r="H699" t="n">
        <v>2135331.4</v>
      </c>
      <c r="I699">
        <f>DAY(EOMONTH(DATE(VALUE(LEFT(E699,4)),VALUE(RIGHT(E699,2)),1),0))</f>
        <v/>
      </c>
      <c r="J699">
        <f>VALUE(LEFT(E699,4))*12+VALUE(RIGHT(E699,2))-1</f>
        <v/>
      </c>
    </row>
    <row r="700">
      <c r="A700" t="inlineStr">
        <is>
          <t>El Trapial</t>
        </is>
      </c>
      <c r="B700" t="inlineStr">
        <is>
          <t>Neuquina</t>
        </is>
      </c>
      <c r="C700" t="inlineStr">
        <is>
          <t>CHEVRON ARGENTINA S.R.L.</t>
        </is>
      </c>
      <c r="D700" t="inlineStr">
        <is>
          <t>convencional</t>
        </is>
      </c>
      <c r="E700" t="inlineStr">
        <is>
          <t>2007-04</t>
        </is>
      </c>
      <c r="F700" t="n">
        <v>208124</v>
      </c>
      <c r="G700" t="n">
        <v>1539825</v>
      </c>
      <c r="H700" t="n">
        <v>1995123</v>
      </c>
      <c r="I700">
        <f>DAY(EOMONTH(DATE(VALUE(LEFT(E700,4)),VALUE(RIGHT(E700,2)),1),0))</f>
        <v/>
      </c>
      <c r="J700">
        <f>VALUE(LEFT(E700,4))*12+VALUE(RIGHT(E700,2))-1</f>
        <v/>
      </c>
    </row>
    <row r="701">
      <c r="A701" t="inlineStr">
        <is>
          <t>El Trapial</t>
        </is>
      </c>
      <c r="B701" t="inlineStr">
        <is>
          <t>Neuquina</t>
        </is>
      </c>
      <c r="C701" t="inlineStr">
        <is>
          <t>CHEVRON ARGENTINA S.R.L.</t>
        </is>
      </c>
      <c r="D701" t="inlineStr">
        <is>
          <t>convencional</t>
        </is>
      </c>
      <c r="E701" t="inlineStr">
        <is>
          <t>2007-05</t>
        </is>
      </c>
      <c r="F701" t="n">
        <v>213101</v>
      </c>
      <c r="G701" t="n">
        <v>1564081</v>
      </c>
      <c r="H701" t="n">
        <v>1902731.1</v>
      </c>
      <c r="I701">
        <f>DAY(EOMONTH(DATE(VALUE(LEFT(E701,4)),VALUE(RIGHT(E701,2)),1),0))</f>
        <v/>
      </c>
      <c r="J701">
        <f>VALUE(LEFT(E701,4))*12+VALUE(RIGHT(E701,2))-1</f>
        <v/>
      </c>
    </row>
    <row r="702">
      <c r="A702" t="inlineStr">
        <is>
          <t>El Trapial</t>
        </is>
      </c>
      <c r="B702" t="inlineStr">
        <is>
          <t>Neuquina</t>
        </is>
      </c>
      <c r="C702" t="inlineStr">
        <is>
          <t>CHEVRON ARGENTINA S.R.L.</t>
        </is>
      </c>
      <c r="D702" t="inlineStr">
        <is>
          <t>convencional</t>
        </is>
      </c>
      <c r="E702" t="inlineStr">
        <is>
          <t>2007-06</t>
        </is>
      </c>
      <c r="F702" t="n">
        <v>206287</v>
      </c>
      <c r="G702" t="n">
        <v>1531061</v>
      </c>
      <c r="H702" t="n">
        <v>1962921.5</v>
      </c>
      <c r="I702">
        <f>DAY(EOMONTH(DATE(VALUE(LEFT(E702,4)),VALUE(RIGHT(E702,2)),1),0))</f>
        <v/>
      </c>
      <c r="J702">
        <f>VALUE(LEFT(E702,4))*12+VALUE(RIGHT(E702,2))-1</f>
        <v/>
      </c>
    </row>
    <row r="703">
      <c r="A703" t="inlineStr">
        <is>
          <t>El Trapial</t>
        </is>
      </c>
      <c r="B703" t="inlineStr">
        <is>
          <t>Neuquina</t>
        </is>
      </c>
      <c r="C703" t="inlineStr">
        <is>
          <t>CHEVRON ARGENTINA S.R.L.</t>
        </is>
      </c>
      <c r="D703" t="inlineStr">
        <is>
          <t>convencional</t>
        </is>
      </c>
      <c r="E703" t="inlineStr">
        <is>
          <t>2007-07</t>
        </is>
      </c>
      <c r="F703" t="n">
        <v>203146</v>
      </c>
      <c r="G703" t="n">
        <v>1563224</v>
      </c>
      <c r="H703" t="n">
        <v>1964149.4</v>
      </c>
      <c r="I703">
        <f>DAY(EOMONTH(DATE(VALUE(LEFT(E703,4)),VALUE(RIGHT(E703,2)),1),0))</f>
        <v/>
      </c>
      <c r="J703">
        <f>VALUE(LEFT(E703,4))*12+VALUE(RIGHT(E703,2))-1</f>
        <v/>
      </c>
    </row>
    <row r="704">
      <c r="A704" t="inlineStr">
        <is>
          <t>El Trapial</t>
        </is>
      </c>
      <c r="B704" t="inlineStr">
        <is>
          <t>Neuquina</t>
        </is>
      </c>
      <c r="C704" t="inlineStr">
        <is>
          <t>CHEVRON ARGENTINA S.R.L.</t>
        </is>
      </c>
      <c r="D704" t="inlineStr">
        <is>
          <t>convencional</t>
        </is>
      </c>
      <c r="E704" t="inlineStr">
        <is>
          <t>2007-08</t>
        </is>
      </c>
      <c r="F704" t="n">
        <v>206939</v>
      </c>
      <c r="G704" t="n">
        <v>1589526</v>
      </c>
      <c r="H704" t="n">
        <v>2050784.6</v>
      </c>
      <c r="I704">
        <f>DAY(EOMONTH(DATE(VALUE(LEFT(E704,4)),VALUE(RIGHT(E704,2)),1),0))</f>
        <v/>
      </c>
      <c r="J704">
        <f>VALUE(LEFT(E704,4))*12+VALUE(RIGHT(E704,2))-1</f>
        <v/>
      </c>
    </row>
    <row r="705">
      <c r="A705" t="inlineStr">
        <is>
          <t>El Trapial</t>
        </is>
      </c>
      <c r="B705" t="inlineStr">
        <is>
          <t>Neuquina</t>
        </is>
      </c>
      <c r="C705" t="inlineStr">
        <is>
          <t>CHEVRON ARGENTINA S.R.L.</t>
        </is>
      </c>
      <c r="D705" t="inlineStr">
        <is>
          <t>convencional</t>
        </is>
      </c>
      <c r="E705" t="inlineStr">
        <is>
          <t>2007-09</t>
        </is>
      </c>
      <c r="F705" t="n">
        <v>205228</v>
      </c>
      <c r="G705" t="n">
        <v>1502932</v>
      </c>
      <c r="H705" t="n">
        <v>1953225.8</v>
      </c>
      <c r="I705">
        <f>DAY(EOMONTH(DATE(VALUE(LEFT(E705,4)),VALUE(RIGHT(E705,2)),1),0))</f>
        <v/>
      </c>
      <c r="J705">
        <f>VALUE(LEFT(E705,4))*12+VALUE(RIGHT(E705,2))-1</f>
        <v/>
      </c>
    </row>
    <row r="706">
      <c r="A706" t="inlineStr">
        <is>
          <t>El Trapial</t>
        </is>
      </c>
      <c r="B706" t="inlineStr">
        <is>
          <t>Neuquina</t>
        </is>
      </c>
      <c r="C706" t="inlineStr">
        <is>
          <t>CHEVRON ARGENTINA S.R.L.</t>
        </is>
      </c>
      <c r="D706" t="inlineStr">
        <is>
          <t>convencional</t>
        </is>
      </c>
      <c r="E706" t="inlineStr">
        <is>
          <t>2007-10</t>
        </is>
      </c>
      <c r="F706" t="n">
        <v>216562</v>
      </c>
      <c r="G706" t="n">
        <v>1544004</v>
      </c>
      <c r="H706" t="n">
        <v>2002257.5</v>
      </c>
      <c r="I706">
        <f>DAY(EOMONTH(DATE(VALUE(LEFT(E706,4)),VALUE(RIGHT(E706,2)),1),0))</f>
        <v/>
      </c>
      <c r="J706">
        <f>VALUE(LEFT(E706,4))*12+VALUE(RIGHT(E706,2))-1</f>
        <v/>
      </c>
    </row>
    <row r="707">
      <c r="A707" t="inlineStr">
        <is>
          <t>El Trapial</t>
        </is>
      </c>
      <c r="B707" t="inlineStr">
        <is>
          <t>Neuquina</t>
        </is>
      </c>
      <c r="C707" t="inlineStr">
        <is>
          <t>CHEVRON ARGENTINA S.R.L.</t>
        </is>
      </c>
      <c r="D707" t="inlineStr">
        <is>
          <t>convencional</t>
        </is>
      </c>
      <c r="E707" t="inlineStr">
        <is>
          <t>2007-11</t>
        </is>
      </c>
      <c r="F707" t="n">
        <v>213292</v>
      </c>
      <c r="G707" t="n">
        <v>1502877</v>
      </c>
      <c r="H707" t="n">
        <v>1943862.4</v>
      </c>
      <c r="I707">
        <f>DAY(EOMONTH(DATE(VALUE(LEFT(E707,4)),VALUE(RIGHT(E707,2)),1),0))</f>
        <v/>
      </c>
      <c r="J707">
        <f>VALUE(LEFT(E707,4))*12+VALUE(RIGHT(E707,2))-1</f>
        <v/>
      </c>
    </row>
    <row r="708">
      <c r="A708" t="inlineStr">
        <is>
          <t>El Trapial</t>
        </is>
      </c>
      <c r="B708" t="inlineStr">
        <is>
          <t>Neuquina</t>
        </is>
      </c>
      <c r="C708" t="inlineStr">
        <is>
          <t>CHEVRON ARGENTINA S.R.L.</t>
        </is>
      </c>
      <c r="D708" t="inlineStr">
        <is>
          <t>convencional</t>
        </is>
      </c>
      <c r="E708" t="inlineStr">
        <is>
          <t>2007-12</t>
        </is>
      </c>
      <c r="F708" t="n">
        <v>220787</v>
      </c>
      <c r="G708" t="n">
        <v>1493056</v>
      </c>
      <c r="H708" t="n">
        <v>1911458</v>
      </c>
      <c r="I708">
        <f>DAY(EOMONTH(DATE(VALUE(LEFT(E708,4)),VALUE(RIGHT(E708,2)),1),0))</f>
        <v/>
      </c>
      <c r="J708">
        <f>VALUE(LEFT(E708,4))*12+VALUE(RIGHT(E708,2))-1</f>
        <v/>
      </c>
    </row>
    <row r="709">
      <c r="A709" t="inlineStr">
        <is>
          <t>El Trapial</t>
        </is>
      </c>
      <c r="B709" t="inlineStr">
        <is>
          <t>Neuquina</t>
        </is>
      </c>
      <c r="C709" t="inlineStr">
        <is>
          <t>CHEVRON ARGENTINA S.R.L.</t>
        </is>
      </c>
      <c r="D709" t="inlineStr">
        <is>
          <t>convencional</t>
        </is>
      </c>
      <c r="E709" t="inlineStr">
        <is>
          <t>2008-01</t>
        </is>
      </c>
      <c r="F709" t="n">
        <v>219051</v>
      </c>
      <c r="G709" t="n">
        <v>1471837.8</v>
      </c>
      <c r="H709" t="n">
        <v>1869587</v>
      </c>
      <c r="I709">
        <f>DAY(EOMONTH(DATE(VALUE(LEFT(E709,4)),VALUE(RIGHT(E709,2)),1),0))</f>
        <v/>
      </c>
      <c r="J709">
        <f>VALUE(LEFT(E709,4))*12+VALUE(RIGHT(E709,2))-1</f>
        <v/>
      </c>
    </row>
    <row r="710">
      <c r="A710" t="inlineStr">
        <is>
          <t>El Trapial</t>
        </is>
      </c>
      <c r="B710" t="inlineStr">
        <is>
          <t>Neuquina</t>
        </is>
      </c>
      <c r="C710" t="inlineStr">
        <is>
          <t>CHEVRON ARGENTINA S.R.L.</t>
        </is>
      </c>
      <c r="D710" t="inlineStr">
        <is>
          <t>convencional</t>
        </is>
      </c>
      <c r="E710" t="inlineStr">
        <is>
          <t>2008-02</t>
        </is>
      </c>
      <c r="F710" t="n">
        <v>204616</v>
      </c>
      <c r="G710" t="n">
        <v>1393828</v>
      </c>
      <c r="H710" t="n">
        <v>1759740.8</v>
      </c>
      <c r="I710">
        <f>DAY(EOMONTH(DATE(VALUE(LEFT(E710,4)),VALUE(RIGHT(E710,2)),1),0))</f>
        <v/>
      </c>
      <c r="J710">
        <f>VALUE(LEFT(E710,4))*12+VALUE(RIGHT(E710,2))-1</f>
        <v/>
      </c>
    </row>
    <row r="711">
      <c r="A711" t="inlineStr">
        <is>
          <t>El Trapial</t>
        </is>
      </c>
      <c r="B711" t="inlineStr">
        <is>
          <t>Neuquina</t>
        </is>
      </c>
      <c r="C711" t="inlineStr">
        <is>
          <t>CHEVRON ARGENTINA S.R.L.</t>
        </is>
      </c>
      <c r="D711" t="inlineStr">
        <is>
          <t>convencional</t>
        </is>
      </c>
      <c r="E711" t="inlineStr">
        <is>
          <t>2008-03</t>
        </is>
      </c>
      <c r="F711" t="n">
        <v>216993</v>
      </c>
      <c r="G711" t="n">
        <v>1528633</v>
      </c>
      <c r="H711" t="n">
        <v>1849497.5</v>
      </c>
      <c r="I711">
        <f>DAY(EOMONTH(DATE(VALUE(LEFT(E711,4)),VALUE(RIGHT(E711,2)),1),0))</f>
        <v/>
      </c>
      <c r="J711">
        <f>VALUE(LEFT(E711,4))*12+VALUE(RIGHT(E711,2))-1</f>
        <v/>
      </c>
    </row>
    <row r="712">
      <c r="A712" t="inlineStr">
        <is>
          <t>El Trapial</t>
        </is>
      </c>
      <c r="B712" t="inlineStr">
        <is>
          <t>Neuquina</t>
        </is>
      </c>
      <c r="C712" t="inlineStr">
        <is>
          <t>CHEVRON ARGENTINA S.R.L.</t>
        </is>
      </c>
      <c r="D712" t="inlineStr">
        <is>
          <t>convencional</t>
        </is>
      </c>
      <c r="E712" t="inlineStr">
        <is>
          <t>2008-04</t>
        </is>
      </c>
      <c r="F712" t="n">
        <v>206009</v>
      </c>
      <c r="G712" t="n">
        <v>1429067.5</v>
      </c>
      <c r="H712" t="n">
        <v>1798095.4</v>
      </c>
      <c r="I712">
        <f>DAY(EOMONTH(DATE(VALUE(LEFT(E712,4)),VALUE(RIGHT(E712,2)),1),0))</f>
        <v/>
      </c>
      <c r="J712">
        <f>VALUE(LEFT(E712,4))*12+VALUE(RIGHT(E712,2))-1</f>
        <v/>
      </c>
    </row>
    <row r="713">
      <c r="A713" t="inlineStr">
        <is>
          <t>El Trapial</t>
        </is>
      </c>
      <c r="B713" t="inlineStr">
        <is>
          <t>Neuquina</t>
        </is>
      </c>
      <c r="C713" t="inlineStr">
        <is>
          <t>CHEVRON ARGENTINA S.R.L.</t>
        </is>
      </c>
      <c r="D713" t="inlineStr">
        <is>
          <t>convencional</t>
        </is>
      </c>
      <c r="E713" t="inlineStr">
        <is>
          <t>2008-05</t>
        </is>
      </c>
      <c r="F713" t="n">
        <v>208481.4</v>
      </c>
      <c r="G713" t="n">
        <v>1470955.3</v>
      </c>
      <c r="H713" t="n">
        <v>1848944.4</v>
      </c>
      <c r="I713">
        <f>DAY(EOMONTH(DATE(VALUE(LEFT(E713,4)),VALUE(RIGHT(E713,2)),1),0))</f>
        <v/>
      </c>
      <c r="J713">
        <f>VALUE(LEFT(E713,4))*12+VALUE(RIGHT(E713,2))-1</f>
        <v/>
      </c>
    </row>
    <row r="714">
      <c r="A714" t="inlineStr">
        <is>
          <t>El Trapial</t>
        </is>
      </c>
      <c r="B714" t="inlineStr">
        <is>
          <t>Neuquina</t>
        </is>
      </c>
      <c r="C714" t="inlineStr">
        <is>
          <t>CHEVRON ARGENTINA S.R.L.</t>
        </is>
      </c>
      <c r="D714" t="inlineStr">
        <is>
          <t>convencional</t>
        </is>
      </c>
      <c r="E714" t="inlineStr">
        <is>
          <t>2008-06</t>
        </is>
      </c>
      <c r="F714" t="n">
        <v>200938</v>
      </c>
      <c r="G714" t="n">
        <v>1380973.7</v>
      </c>
      <c r="H714" t="n">
        <v>1694970.4</v>
      </c>
      <c r="I714">
        <f>DAY(EOMONTH(DATE(VALUE(LEFT(E714,4)),VALUE(RIGHT(E714,2)),1),0))</f>
        <v/>
      </c>
      <c r="J714">
        <f>VALUE(LEFT(E714,4))*12+VALUE(RIGHT(E714,2))-1</f>
        <v/>
      </c>
    </row>
    <row r="715">
      <c r="A715" t="inlineStr">
        <is>
          <t>El Trapial</t>
        </is>
      </c>
      <c r="B715" t="inlineStr">
        <is>
          <t>Neuquina</t>
        </is>
      </c>
      <c r="C715" t="inlineStr">
        <is>
          <t>CHEVRON ARGENTINA S.R.L.</t>
        </is>
      </c>
      <c r="D715" t="inlineStr">
        <is>
          <t>convencional</t>
        </is>
      </c>
      <c r="E715" t="inlineStr">
        <is>
          <t>2008-07</t>
        </is>
      </c>
      <c r="F715" t="n">
        <v>202040</v>
      </c>
      <c r="G715" t="n">
        <v>1462968.5</v>
      </c>
      <c r="H715" t="n">
        <v>1832890.8</v>
      </c>
      <c r="I715">
        <f>DAY(EOMONTH(DATE(VALUE(LEFT(E715,4)),VALUE(RIGHT(E715,2)),1),0))</f>
        <v/>
      </c>
      <c r="J715">
        <f>VALUE(LEFT(E715,4))*12+VALUE(RIGHT(E715,2))-1</f>
        <v/>
      </c>
    </row>
    <row r="716">
      <c r="A716" t="inlineStr">
        <is>
          <t>El Trapial</t>
        </is>
      </c>
      <c r="B716" t="inlineStr">
        <is>
          <t>Neuquina</t>
        </is>
      </c>
      <c r="C716" t="inlineStr">
        <is>
          <t>CHEVRON ARGENTINA S.R.L.</t>
        </is>
      </c>
      <c r="D716" t="inlineStr">
        <is>
          <t>convencional</t>
        </is>
      </c>
      <c r="E716" t="inlineStr">
        <is>
          <t>2008-08</t>
        </is>
      </c>
      <c r="F716" t="n">
        <v>202382.9</v>
      </c>
      <c r="G716" t="n">
        <v>1494156.9</v>
      </c>
      <c r="H716" t="n">
        <v>1873925.7</v>
      </c>
      <c r="I716">
        <f>DAY(EOMONTH(DATE(VALUE(LEFT(E716,4)),VALUE(RIGHT(E716,2)),1),0))</f>
        <v/>
      </c>
      <c r="J716">
        <f>VALUE(LEFT(E716,4))*12+VALUE(RIGHT(E716,2))-1</f>
        <v/>
      </c>
    </row>
    <row r="717">
      <c r="A717" t="inlineStr">
        <is>
          <t>El Trapial</t>
        </is>
      </c>
      <c r="B717" t="inlineStr">
        <is>
          <t>Neuquina</t>
        </is>
      </c>
      <c r="C717" t="inlineStr">
        <is>
          <t>CHEVRON ARGENTINA S.R.L.</t>
        </is>
      </c>
      <c r="D717" t="inlineStr">
        <is>
          <t>convencional</t>
        </is>
      </c>
      <c r="E717" t="inlineStr">
        <is>
          <t>2008-09</t>
        </is>
      </c>
      <c r="F717" t="n">
        <v>200317</v>
      </c>
      <c r="G717" t="n">
        <v>1435980.8</v>
      </c>
      <c r="H717" t="n">
        <v>1795984.2</v>
      </c>
      <c r="I717">
        <f>DAY(EOMONTH(DATE(VALUE(LEFT(E717,4)),VALUE(RIGHT(E717,2)),1),0))</f>
        <v/>
      </c>
      <c r="J717">
        <f>VALUE(LEFT(E717,4))*12+VALUE(RIGHT(E717,2))-1</f>
        <v/>
      </c>
    </row>
    <row r="718">
      <c r="A718" t="inlineStr">
        <is>
          <t>El Trapial</t>
        </is>
      </c>
      <c r="B718" t="inlineStr">
        <is>
          <t>Neuquina</t>
        </is>
      </c>
      <c r="C718" t="inlineStr">
        <is>
          <t>CHEVRON ARGENTINA S.R.L.</t>
        </is>
      </c>
      <c r="D718" t="inlineStr">
        <is>
          <t>convencional</t>
        </is>
      </c>
      <c r="E718" t="inlineStr">
        <is>
          <t>2008-10</t>
        </is>
      </c>
      <c r="F718" t="n">
        <v>205255</v>
      </c>
      <c r="G718" t="n">
        <v>1443103</v>
      </c>
      <c r="H718" t="n">
        <v>1805032.7</v>
      </c>
      <c r="I718">
        <f>DAY(EOMONTH(DATE(VALUE(LEFT(E718,4)),VALUE(RIGHT(E718,2)),1),0))</f>
        <v/>
      </c>
      <c r="J718">
        <f>VALUE(LEFT(E718,4))*12+VALUE(RIGHT(E718,2))-1</f>
        <v/>
      </c>
    </row>
    <row r="719">
      <c r="A719" t="inlineStr">
        <is>
          <t>El Trapial</t>
        </is>
      </c>
      <c r="B719" t="inlineStr">
        <is>
          <t>Neuquina</t>
        </is>
      </c>
      <c r="C719" t="inlineStr">
        <is>
          <t>CHEVRON ARGENTINA S.R.L.</t>
        </is>
      </c>
      <c r="D719" t="inlineStr">
        <is>
          <t>convencional</t>
        </is>
      </c>
      <c r="E719" t="inlineStr">
        <is>
          <t>2008-11</t>
        </is>
      </c>
      <c r="F719" t="n">
        <v>200094</v>
      </c>
      <c r="G719" t="n">
        <v>1377892.8</v>
      </c>
      <c r="H719" t="n">
        <v>1730262.3</v>
      </c>
      <c r="I719">
        <f>DAY(EOMONTH(DATE(VALUE(LEFT(E719,4)),VALUE(RIGHT(E719,2)),1),0))</f>
        <v/>
      </c>
      <c r="J719">
        <f>VALUE(LEFT(E719,4))*12+VALUE(RIGHT(E719,2))-1</f>
        <v/>
      </c>
    </row>
    <row r="720">
      <c r="A720" t="inlineStr">
        <is>
          <t>El Trapial</t>
        </is>
      </c>
      <c r="B720" t="inlineStr">
        <is>
          <t>Neuquina</t>
        </is>
      </c>
      <c r="C720" t="inlineStr">
        <is>
          <t>CHEVRON ARGENTINA S.R.L.</t>
        </is>
      </c>
      <c r="D720" t="inlineStr">
        <is>
          <t>convencional</t>
        </is>
      </c>
      <c r="E720" t="inlineStr">
        <is>
          <t>2008-12</t>
        </is>
      </c>
      <c r="F720" t="n">
        <v>204471.9</v>
      </c>
      <c r="G720" t="n">
        <v>1461236.3</v>
      </c>
      <c r="H720" t="n">
        <v>1816994</v>
      </c>
      <c r="I720">
        <f>DAY(EOMONTH(DATE(VALUE(LEFT(E720,4)),VALUE(RIGHT(E720,2)),1),0))</f>
        <v/>
      </c>
      <c r="J720">
        <f>VALUE(LEFT(E720,4))*12+VALUE(RIGHT(E720,2))-1</f>
        <v/>
      </c>
    </row>
    <row r="721">
      <c r="A721" t="inlineStr">
        <is>
          <t>El Trapial</t>
        </is>
      </c>
      <c r="B721" t="inlineStr">
        <is>
          <t>Neuquina</t>
        </is>
      </c>
      <c r="C721" t="inlineStr">
        <is>
          <t>CHEVRON ARGENTINA S.R.L.</t>
        </is>
      </c>
      <c r="D721" t="inlineStr">
        <is>
          <t>convencional</t>
        </is>
      </c>
      <c r="E721" t="inlineStr">
        <is>
          <t>2009-01</t>
        </is>
      </c>
      <c r="F721" t="n">
        <v>205002</v>
      </c>
      <c r="G721" t="n">
        <v>1457475</v>
      </c>
      <c r="H721" t="n">
        <v>1834749.4</v>
      </c>
      <c r="I721">
        <f>DAY(EOMONTH(DATE(VALUE(LEFT(E721,4)),VALUE(RIGHT(E721,2)),1),0))</f>
        <v/>
      </c>
      <c r="J721">
        <f>VALUE(LEFT(E721,4))*12+VALUE(RIGHT(E721,2))-1</f>
        <v/>
      </c>
    </row>
    <row r="722">
      <c r="A722" t="inlineStr">
        <is>
          <t>El Trapial</t>
        </is>
      </c>
      <c r="B722" t="inlineStr">
        <is>
          <t>Neuquina</t>
        </is>
      </c>
      <c r="C722" t="inlineStr">
        <is>
          <t>CHEVRON ARGENTINA S.R.L.</t>
        </is>
      </c>
      <c r="D722" t="inlineStr">
        <is>
          <t>convencional</t>
        </is>
      </c>
      <c r="E722" t="inlineStr">
        <is>
          <t>2009-02</t>
        </is>
      </c>
      <c r="F722" t="n">
        <v>185468</v>
      </c>
      <c r="G722" t="n">
        <v>1333554.1</v>
      </c>
      <c r="H722" t="n">
        <v>1671866.9</v>
      </c>
      <c r="I722">
        <f>DAY(EOMONTH(DATE(VALUE(LEFT(E722,4)),VALUE(RIGHT(E722,2)),1),0))</f>
        <v/>
      </c>
      <c r="J722">
        <f>VALUE(LEFT(E722,4))*12+VALUE(RIGHT(E722,2))-1</f>
        <v/>
      </c>
    </row>
    <row r="723">
      <c r="A723" t="inlineStr">
        <is>
          <t>El Trapial</t>
        </is>
      </c>
      <c r="B723" t="inlineStr">
        <is>
          <t>Neuquina</t>
        </is>
      </c>
      <c r="C723" t="inlineStr">
        <is>
          <t>CHEVRON ARGENTINA S.R.L.</t>
        </is>
      </c>
      <c r="D723" t="inlineStr">
        <is>
          <t>convencional</t>
        </is>
      </c>
      <c r="E723" t="inlineStr">
        <is>
          <t>2009-03</t>
        </is>
      </c>
      <c r="F723" t="n">
        <v>183353</v>
      </c>
      <c r="G723" t="n">
        <v>1443015.2</v>
      </c>
      <c r="H723" t="n">
        <v>1810154.8</v>
      </c>
      <c r="I723">
        <f>DAY(EOMONTH(DATE(VALUE(LEFT(E723,4)),VALUE(RIGHT(E723,2)),1),0))</f>
        <v/>
      </c>
      <c r="J723">
        <f>VALUE(LEFT(E723,4))*12+VALUE(RIGHT(E723,2))-1</f>
        <v/>
      </c>
    </row>
    <row r="724">
      <c r="A724" t="inlineStr">
        <is>
          <t>El Trapial</t>
        </is>
      </c>
      <c r="B724" t="inlineStr">
        <is>
          <t>Neuquina</t>
        </is>
      </c>
      <c r="C724" t="inlineStr">
        <is>
          <t>CHEVRON ARGENTINA S.R.L.</t>
        </is>
      </c>
      <c r="D724" t="inlineStr">
        <is>
          <t>convencional</t>
        </is>
      </c>
      <c r="E724" t="inlineStr">
        <is>
          <t>2009-04</t>
        </is>
      </c>
      <c r="F724" t="n">
        <v>195855</v>
      </c>
      <c r="G724" t="n">
        <v>1370187.3</v>
      </c>
      <c r="H724" t="n">
        <v>1729234.9</v>
      </c>
      <c r="I724">
        <f>DAY(EOMONTH(DATE(VALUE(LEFT(E724,4)),VALUE(RIGHT(E724,2)),1),0))</f>
        <v/>
      </c>
      <c r="J724">
        <f>VALUE(LEFT(E724,4))*12+VALUE(RIGHT(E724,2))-1</f>
        <v/>
      </c>
    </row>
    <row r="725">
      <c r="A725" t="inlineStr">
        <is>
          <t>El Trapial</t>
        </is>
      </c>
      <c r="B725" t="inlineStr">
        <is>
          <t>Neuquina</t>
        </is>
      </c>
      <c r="C725" t="inlineStr">
        <is>
          <t>CHEVRON ARGENTINA S.R.L.</t>
        </is>
      </c>
      <c r="D725" t="inlineStr">
        <is>
          <t>convencional</t>
        </is>
      </c>
      <c r="E725" t="inlineStr">
        <is>
          <t>2009-05</t>
        </is>
      </c>
      <c r="F725" t="n">
        <v>200581</v>
      </c>
      <c r="G725" t="n">
        <v>1418927.2</v>
      </c>
      <c r="H725" t="n">
        <v>1783327</v>
      </c>
      <c r="I725">
        <f>DAY(EOMONTH(DATE(VALUE(LEFT(E725,4)),VALUE(RIGHT(E725,2)),1),0))</f>
        <v/>
      </c>
      <c r="J725">
        <f>VALUE(LEFT(E725,4))*12+VALUE(RIGHT(E725,2))-1</f>
        <v/>
      </c>
    </row>
    <row r="726">
      <c r="A726" t="inlineStr">
        <is>
          <t>El Trapial</t>
        </is>
      </c>
      <c r="B726" t="inlineStr">
        <is>
          <t>Neuquina</t>
        </is>
      </c>
      <c r="C726" t="inlineStr">
        <is>
          <t>CHEVRON ARGENTINA S.R.L.</t>
        </is>
      </c>
      <c r="D726" t="inlineStr">
        <is>
          <t>convencional</t>
        </is>
      </c>
      <c r="E726" t="inlineStr">
        <is>
          <t>2009-06</t>
        </is>
      </c>
      <c r="F726" t="n">
        <v>197522</v>
      </c>
      <c r="G726" t="n">
        <v>1392977.2</v>
      </c>
      <c r="H726" t="n">
        <v>1742903.9</v>
      </c>
      <c r="I726">
        <f>DAY(EOMONTH(DATE(VALUE(LEFT(E726,4)),VALUE(RIGHT(E726,2)),1),0))</f>
        <v/>
      </c>
      <c r="J726">
        <f>VALUE(LEFT(E726,4))*12+VALUE(RIGHT(E726,2))-1</f>
        <v/>
      </c>
    </row>
    <row r="727">
      <c r="A727" t="inlineStr">
        <is>
          <t>El Trapial</t>
        </is>
      </c>
      <c r="B727" t="inlineStr">
        <is>
          <t>Neuquina</t>
        </is>
      </c>
      <c r="C727" t="inlineStr">
        <is>
          <t>CHEVRON ARGENTINA S.R.L.</t>
        </is>
      </c>
      <c r="D727" t="inlineStr">
        <is>
          <t>convencional</t>
        </is>
      </c>
      <c r="E727" t="inlineStr">
        <is>
          <t>2009-07</t>
        </is>
      </c>
      <c r="F727" t="n">
        <v>199721</v>
      </c>
      <c r="G727" t="n">
        <v>1418201.9</v>
      </c>
      <c r="H727" t="n">
        <v>1771701</v>
      </c>
      <c r="I727">
        <f>DAY(EOMONTH(DATE(VALUE(LEFT(E727,4)),VALUE(RIGHT(E727,2)),1),0))</f>
        <v/>
      </c>
      <c r="J727">
        <f>VALUE(LEFT(E727,4))*12+VALUE(RIGHT(E727,2))-1</f>
        <v/>
      </c>
    </row>
    <row r="728">
      <c r="A728" t="inlineStr">
        <is>
          <t>El Trapial</t>
        </is>
      </c>
      <c r="B728" t="inlineStr">
        <is>
          <t>Neuquina</t>
        </is>
      </c>
      <c r="C728" t="inlineStr">
        <is>
          <t>CHEVRON ARGENTINA S.R.L.</t>
        </is>
      </c>
      <c r="D728" t="inlineStr">
        <is>
          <t>convencional</t>
        </is>
      </c>
      <c r="E728" t="inlineStr">
        <is>
          <t>2009-08</t>
        </is>
      </c>
      <c r="F728" t="n">
        <v>203379</v>
      </c>
      <c r="G728" t="n">
        <v>1441017.4</v>
      </c>
      <c r="H728" t="n">
        <v>1813291</v>
      </c>
      <c r="I728">
        <f>DAY(EOMONTH(DATE(VALUE(LEFT(E728,4)),VALUE(RIGHT(E728,2)),1),0))</f>
        <v/>
      </c>
      <c r="J728">
        <f>VALUE(LEFT(E728,4))*12+VALUE(RIGHT(E728,2))-1</f>
        <v/>
      </c>
    </row>
    <row r="729">
      <c r="A729" t="inlineStr">
        <is>
          <t>El Trapial</t>
        </is>
      </c>
      <c r="B729" t="inlineStr">
        <is>
          <t>Neuquina</t>
        </is>
      </c>
      <c r="C729" t="inlineStr">
        <is>
          <t>CHEVRON ARGENTINA S.R.L.</t>
        </is>
      </c>
      <c r="D729" t="inlineStr">
        <is>
          <t>convencional</t>
        </is>
      </c>
      <c r="E729" t="inlineStr">
        <is>
          <t>2009-09</t>
        </is>
      </c>
      <c r="F729" t="n">
        <v>189745</v>
      </c>
      <c r="G729" t="n">
        <v>1336134.4</v>
      </c>
      <c r="H729" t="n">
        <v>1673012</v>
      </c>
      <c r="I729">
        <f>DAY(EOMONTH(DATE(VALUE(LEFT(E729,4)),VALUE(RIGHT(E729,2)),1),0))</f>
        <v/>
      </c>
      <c r="J729">
        <f>VALUE(LEFT(E729,4))*12+VALUE(RIGHT(E729,2))-1</f>
        <v/>
      </c>
    </row>
    <row r="730">
      <c r="A730" t="inlineStr">
        <is>
          <t>El Trapial</t>
        </is>
      </c>
      <c r="B730" t="inlineStr">
        <is>
          <t>Neuquina</t>
        </is>
      </c>
      <c r="C730" t="inlineStr">
        <is>
          <t>CHEVRON ARGENTINA S.R.L.</t>
        </is>
      </c>
      <c r="D730" t="inlineStr">
        <is>
          <t>convencional</t>
        </is>
      </c>
      <c r="E730" t="inlineStr">
        <is>
          <t>2009-10</t>
        </is>
      </c>
      <c r="F730" t="n">
        <v>202222</v>
      </c>
      <c r="G730" t="n">
        <v>1393219.7</v>
      </c>
      <c r="H730" t="n">
        <v>1760854</v>
      </c>
      <c r="I730">
        <f>DAY(EOMONTH(DATE(VALUE(LEFT(E730,4)),VALUE(RIGHT(E730,2)),1),0))</f>
        <v/>
      </c>
      <c r="J730">
        <f>VALUE(LEFT(E730,4))*12+VALUE(RIGHT(E730,2))-1</f>
        <v/>
      </c>
    </row>
    <row r="731">
      <c r="A731" t="inlineStr">
        <is>
          <t>El Trapial</t>
        </is>
      </c>
      <c r="B731" t="inlineStr">
        <is>
          <t>Neuquina</t>
        </is>
      </c>
      <c r="C731" t="inlineStr">
        <is>
          <t>CHEVRON ARGENTINA S.R.L.</t>
        </is>
      </c>
      <c r="D731" t="inlineStr">
        <is>
          <t>convencional</t>
        </is>
      </c>
      <c r="E731" t="inlineStr">
        <is>
          <t>2009-11</t>
        </is>
      </c>
      <c r="F731" t="n">
        <v>193014</v>
      </c>
      <c r="G731" t="n">
        <v>1336310.6</v>
      </c>
      <c r="H731" t="n">
        <v>1705704</v>
      </c>
      <c r="I731">
        <f>DAY(EOMONTH(DATE(VALUE(LEFT(E731,4)),VALUE(RIGHT(E731,2)),1),0))</f>
        <v/>
      </c>
      <c r="J731">
        <f>VALUE(LEFT(E731,4))*12+VALUE(RIGHT(E731,2))-1</f>
        <v/>
      </c>
    </row>
    <row r="732">
      <c r="A732" t="inlineStr">
        <is>
          <t>El Trapial</t>
        </is>
      </c>
      <c r="B732" t="inlineStr">
        <is>
          <t>Neuquina</t>
        </is>
      </c>
      <c r="C732" t="inlineStr">
        <is>
          <t>CHEVRON ARGENTINA S.R.L.</t>
        </is>
      </c>
      <c r="D732" t="inlineStr">
        <is>
          <t>convencional</t>
        </is>
      </c>
      <c r="E732" t="inlineStr">
        <is>
          <t>2009-12</t>
        </is>
      </c>
      <c r="F732" t="n">
        <v>195357.8</v>
      </c>
      <c r="G732" t="n">
        <v>1371289.9</v>
      </c>
      <c r="H732" t="n">
        <v>1741541.2</v>
      </c>
      <c r="I732">
        <f>DAY(EOMONTH(DATE(VALUE(LEFT(E732,4)),VALUE(RIGHT(E732,2)),1),0))</f>
        <v/>
      </c>
      <c r="J732">
        <f>VALUE(LEFT(E732,4))*12+VALUE(RIGHT(E732,2))-1</f>
        <v/>
      </c>
    </row>
    <row r="733">
      <c r="A733" t="inlineStr">
        <is>
          <t>El Trapial</t>
        </is>
      </c>
      <c r="B733" t="inlineStr">
        <is>
          <t>Neuquina</t>
        </is>
      </c>
      <c r="C733" t="inlineStr">
        <is>
          <t>CHEVRON ARGENTINA S.R.L.</t>
        </is>
      </c>
      <c r="D733" t="inlineStr">
        <is>
          <t>convencional</t>
        </is>
      </c>
      <c r="E733" t="inlineStr">
        <is>
          <t>2010-01</t>
        </is>
      </c>
      <c r="F733" t="n">
        <v>198462.3</v>
      </c>
      <c r="G733" t="n">
        <v>1315140.7</v>
      </c>
      <c r="H733" t="n">
        <v>1670639.8</v>
      </c>
      <c r="I733">
        <f>DAY(EOMONTH(DATE(VALUE(LEFT(E733,4)),VALUE(RIGHT(E733,2)),1),0))</f>
        <v/>
      </c>
      <c r="J733">
        <f>VALUE(LEFT(E733,4))*12+VALUE(RIGHT(E733,2))-1</f>
        <v/>
      </c>
    </row>
    <row r="734">
      <c r="A734" t="inlineStr">
        <is>
          <t>El Trapial</t>
        </is>
      </c>
      <c r="B734" t="inlineStr">
        <is>
          <t>Neuquina</t>
        </is>
      </c>
      <c r="C734" t="inlineStr">
        <is>
          <t>CHEVRON ARGENTINA S.R.L.</t>
        </is>
      </c>
      <c r="D734" t="inlineStr">
        <is>
          <t>convencional</t>
        </is>
      </c>
      <c r="E734" t="inlineStr">
        <is>
          <t>2010-02</t>
        </is>
      </c>
      <c r="F734" t="n">
        <v>179803.1</v>
      </c>
      <c r="G734" t="n">
        <v>1196509.9</v>
      </c>
      <c r="H734" t="n">
        <v>1635921.6</v>
      </c>
      <c r="I734">
        <f>DAY(EOMONTH(DATE(VALUE(LEFT(E734,4)),VALUE(RIGHT(E734,2)),1),0))</f>
        <v/>
      </c>
      <c r="J734">
        <f>VALUE(LEFT(E734,4))*12+VALUE(RIGHT(E734,2))-1</f>
        <v/>
      </c>
    </row>
    <row r="735">
      <c r="A735" t="inlineStr">
        <is>
          <t>El Trapial</t>
        </is>
      </c>
      <c r="B735" t="inlineStr">
        <is>
          <t>Neuquina</t>
        </is>
      </c>
      <c r="C735" t="inlineStr">
        <is>
          <t>CHEVRON ARGENTINA S.R.L.</t>
        </is>
      </c>
      <c r="D735" t="inlineStr">
        <is>
          <t>convencional</t>
        </is>
      </c>
      <c r="E735" t="inlineStr">
        <is>
          <t>2010-03</t>
        </is>
      </c>
      <c r="F735" t="n">
        <v>199393.2</v>
      </c>
      <c r="G735" t="n">
        <v>1339651.2</v>
      </c>
      <c r="H735" t="n">
        <v>1724896.1</v>
      </c>
      <c r="I735">
        <f>DAY(EOMONTH(DATE(VALUE(LEFT(E735,4)),VALUE(RIGHT(E735,2)),1),0))</f>
        <v/>
      </c>
      <c r="J735">
        <f>VALUE(LEFT(E735,4))*12+VALUE(RIGHT(E735,2))-1</f>
        <v/>
      </c>
    </row>
    <row r="736">
      <c r="A736" t="inlineStr">
        <is>
          <t>El Trapial</t>
        </is>
      </c>
      <c r="B736" t="inlineStr">
        <is>
          <t>Neuquina</t>
        </is>
      </c>
      <c r="C736" t="inlineStr">
        <is>
          <t>CHEVRON ARGENTINA S.R.L.</t>
        </is>
      </c>
      <c r="D736" t="inlineStr">
        <is>
          <t>convencional</t>
        </is>
      </c>
      <c r="E736" t="inlineStr">
        <is>
          <t>2010-04</t>
        </is>
      </c>
      <c r="F736" t="n">
        <v>192181</v>
      </c>
      <c r="G736" t="n">
        <v>1285863.6</v>
      </c>
      <c r="H736" t="n">
        <v>1625280.4</v>
      </c>
      <c r="I736">
        <f>DAY(EOMONTH(DATE(VALUE(LEFT(E736,4)),VALUE(RIGHT(E736,2)),1),0))</f>
        <v/>
      </c>
      <c r="J736">
        <f>VALUE(LEFT(E736,4))*12+VALUE(RIGHT(E736,2))-1</f>
        <v/>
      </c>
    </row>
    <row r="737">
      <c r="A737" t="inlineStr">
        <is>
          <t>El Trapial</t>
        </is>
      </c>
      <c r="B737" t="inlineStr">
        <is>
          <t>Neuquina</t>
        </is>
      </c>
      <c r="C737" t="inlineStr">
        <is>
          <t>CHEVRON ARGENTINA S.R.L.</t>
        </is>
      </c>
      <c r="D737" t="inlineStr">
        <is>
          <t>convencional</t>
        </is>
      </c>
      <c r="E737" t="inlineStr">
        <is>
          <t>2010-05</t>
        </is>
      </c>
      <c r="F737" t="n">
        <v>195930</v>
      </c>
      <c r="G737" t="n">
        <v>1315150.5</v>
      </c>
      <c r="H737" t="n">
        <v>1641276.3</v>
      </c>
      <c r="I737">
        <f>DAY(EOMONTH(DATE(VALUE(LEFT(E737,4)),VALUE(RIGHT(E737,2)),1),0))</f>
        <v/>
      </c>
      <c r="J737">
        <f>VALUE(LEFT(E737,4))*12+VALUE(RIGHT(E737,2))-1</f>
        <v/>
      </c>
    </row>
    <row r="738">
      <c r="A738" t="inlineStr">
        <is>
          <t>El Trapial</t>
        </is>
      </c>
      <c r="B738" t="inlineStr">
        <is>
          <t>Neuquina</t>
        </is>
      </c>
      <c r="C738" t="inlineStr">
        <is>
          <t>CHEVRON ARGENTINA S.R.L.</t>
        </is>
      </c>
      <c r="D738" t="inlineStr">
        <is>
          <t>convencional</t>
        </is>
      </c>
      <c r="E738" t="inlineStr">
        <is>
          <t>2010-06</t>
        </is>
      </c>
      <c r="F738" t="n">
        <v>186430</v>
      </c>
      <c r="G738" t="n">
        <v>1292750.3</v>
      </c>
      <c r="H738" t="n">
        <v>1565833.6</v>
      </c>
      <c r="I738">
        <f>DAY(EOMONTH(DATE(VALUE(LEFT(E738,4)),VALUE(RIGHT(E738,2)),1),0))</f>
        <v/>
      </c>
      <c r="J738">
        <f>VALUE(LEFT(E738,4))*12+VALUE(RIGHT(E738,2))-1</f>
        <v/>
      </c>
    </row>
    <row r="739">
      <c r="A739" t="inlineStr">
        <is>
          <t>El Trapial</t>
        </is>
      </c>
      <c r="B739" t="inlineStr">
        <is>
          <t>Neuquina</t>
        </is>
      </c>
      <c r="C739" t="inlineStr">
        <is>
          <t>CHEVRON ARGENTINA S.R.L.</t>
        </is>
      </c>
      <c r="D739" t="inlineStr">
        <is>
          <t>convencional</t>
        </is>
      </c>
      <c r="E739" t="inlineStr">
        <is>
          <t>2010-07</t>
        </is>
      </c>
      <c r="F739" t="n">
        <v>190023</v>
      </c>
      <c r="G739" t="n">
        <v>1347043</v>
      </c>
      <c r="H739" t="n">
        <v>1647149.3</v>
      </c>
      <c r="I739">
        <f>DAY(EOMONTH(DATE(VALUE(LEFT(E739,4)),VALUE(RIGHT(E739,2)),1),0))</f>
        <v/>
      </c>
      <c r="J739">
        <f>VALUE(LEFT(E739,4))*12+VALUE(RIGHT(E739,2))-1</f>
        <v/>
      </c>
    </row>
    <row r="740">
      <c r="A740" t="inlineStr">
        <is>
          <t>El Trapial</t>
        </is>
      </c>
      <c r="B740" t="inlineStr">
        <is>
          <t>Neuquina</t>
        </is>
      </c>
      <c r="C740" t="inlineStr">
        <is>
          <t>CHEVRON ARGENTINA S.R.L.</t>
        </is>
      </c>
      <c r="D740" t="inlineStr">
        <is>
          <t>convencional</t>
        </is>
      </c>
      <c r="E740" t="inlineStr">
        <is>
          <t>2010-08</t>
        </is>
      </c>
      <c r="F740" t="n">
        <v>187856</v>
      </c>
      <c r="G740" t="n">
        <v>1335962.4</v>
      </c>
      <c r="H740" t="n">
        <v>1622385.1</v>
      </c>
      <c r="I740">
        <f>DAY(EOMONTH(DATE(VALUE(LEFT(E740,4)),VALUE(RIGHT(E740,2)),1),0))</f>
        <v/>
      </c>
      <c r="J740">
        <f>VALUE(LEFT(E740,4))*12+VALUE(RIGHT(E740,2))-1</f>
        <v/>
      </c>
    </row>
    <row r="741">
      <c r="A741" t="inlineStr">
        <is>
          <t>El Trapial</t>
        </is>
      </c>
      <c r="B741" t="inlineStr">
        <is>
          <t>Neuquina</t>
        </is>
      </c>
      <c r="C741" t="inlineStr">
        <is>
          <t>CHEVRON ARGENTINA S.R.L.</t>
        </is>
      </c>
      <c r="D741" t="inlineStr">
        <is>
          <t>convencional</t>
        </is>
      </c>
      <c r="E741" t="inlineStr">
        <is>
          <t>2010-09</t>
        </is>
      </c>
      <c r="F741" t="n">
        <v>180388.9</v>
      </c>
      <c r="G741" t="n">
        <v>1299448</v>
      </c>
      <c r="H741" t="n">
        <v>1616558.4</v>
      </c>
      <c r="I741">
        <f>DAY(EOMONTH(DATE(VALUE(LEFT(E741,4)),VALUE(RIGHT(E741,2)),1),0))</f>
        <v/>
      </c>
      <c r="J741">
        <f>VALUE(LEFT(E741,4))*12+VALUE(RIGHT(E741,2))-1</f>
        <v/>
      </c>
    </row>
    <row r="742">
      <c r="A742" t="inlineStr">
        <is>
          <t>El Trapial</t>
        </is>
      </c>
      <c r="B742" t="inlineStr">
        <is>
          <t>Neuquina</t>
        </is>
      </c>
      <c r="C742" t="inlineStr">
        <is>
          <t>CHEVRON ARGENTINA S.R.L.</t>
        </is>
      </c>
      <c r="D742" t="inlineStr">
        <is>
          <t>convencional</t>
        </is>
      </c>
      <c r="E742" t="inlineStr">
        <is>
          <t>2010-10</t>
        </is>
      </c>
      <c r="F742" t="n">
        <v>186284.9</v>
      </c>
      <c r="G742" t="n">
        <v>1334259.3</v>
      </c>
      <c r="H742" t="n">
        <v>1666980.3</v>
      </c>
      <c r="I742">
        <f>DAY(EOMONTH(DATE(VALUE(LEFT(E742,4)),VALUE(RIGHT(E742,2)),1),0))</f>
        <v/>
      </c>
      <c r="J742">
        <f>VALUE(LEFT(E742,4))*12+VALUE(RIGHT(E742,2))-1</f>
        <v/>
      </c>
    </row>
    <row r="743">
      <c r="A743" t="inlineStr">
        <is>
          <t>El Trapial</t>
        </is>
      </c>
      <c r="B743" t="inlineStr">
        <is>
          <t>Neuquina</t>
        </is>
      </c>
      <c r="C743" t="inlineStr">
        <is>
          <t>CHEVRON ARGENTINA S.R.L.</t>
        </is>
      </c>
      <c r="D743" t="inlineStr">
        <is>
          <t>convencional</t>
        </is>
      </c>
      <c r="E743" t="inlineStr">
        <is>
          <t>2010-11</t>
        </is>
      </c>
      <c r="F743" t="n">
        <v>178984</v>
      </c>
      <c r="G743" t="n">
        <v>1284445.1</v>
      </c>
      <c r="H743" t="n">
        <v>1598816.1</v>
      </c>
      <c r="I743">
        <f>DAY(EOMONTH(DATE(VALUE(LEFT(E743,4)),VALUE(RIGHT(E743,2)),1),0))</f>
        <v/>
      </c>
      <c r="J743">
        <f>VALUE(LEFT(E743,4))*12+VALUE(RIGHT(E743,2))-1</f>
        <v/>
      </c>
    </row>
    <row r="744">
      <c r="A744" t="inlineStr">
        <is>
          <t>El Trapial</t>
        </is>
      </c>
      <c r="B744" t="inlineStr">
        <is>
          <t>Neuquina</t>
        </is>
      </c>
      <c r="C744" t="inlineStr">
        <is>
          <t>CHEVRON ARGENTINA S.R.L.</t>
        </is>
      </c>
      <c r="D744" t="inlineStr">
        <is>
          <t>convencional</t>
        </is>
      </c>
      <c r="E744" t="inlineStr">
        <is>
          <t>2010-12</t>
        </is>
      </c>
      <c r="F744" t="n">
        <v>182113.8</v>
      </c>
      <c r="G744" t="n">
        <v>1319563.5</v>
      </c>
      <c r="H744" t="n">
        <v>1647068.5</v>
      </c>
      <c r="I744">
        <f>DAY(EOMONTH(DATE(VALUE(LEFT(E744,4)),VALUE(RIGHT(E744,2)),1),0))</f>
        <v/>
      </c>
      <c r="J744">
        <f>VALUE(LEFT(E744,4))*12+VALUE(RIGHT(E744,2))-1</f>
        <v/>
      </c>
    </row>
    <row r="745">
      <c r="A745" t="inlineStr">
        <is>
          <t>El Trapial</t>
        </is>
      </c>
      <c r="B745" t="inlineStr">
        <is>
          <t>Neuquina</t>
        </is>
      </c>
      <c r="C745" t="inlineStr">
        <is>
          <t>CHEVRON ARGENTINA S.R.L.</t>
        </is>
      </c>
      <c r="D745" t="inlineStr">
        <is>
          <t>convencional</t>
        </is>
      </c>
      <c r="E745" t="inlineStr">
        <is>
          <t>2011-01</t>
        </is>
      </c>
      <c r="F745" t="n">
        <v>181208</v>
      </c>
      <c r="G745" t="n">
        <v>1309597.9</v>
      </c>
      <c r="H745" t="n">
        <v>1641140.1</v>
      </c>
      <c r="I745">
        <f>DAY(EOMONTH(DATE(VALUE(LEFT(E745,4)),VALUE(RIGHT(E745,2)),1),0))</f>
        <v/>
      </c>
      <c r="J745">
        <f>VALUE(LEFT(E745,4))*12+VALUE(RIGHT(E745,2))-1</f>
        <v/>
      </c>
    </row>
    <row r="746">
      <c r="A746" t="inlineStr">
        <is>
          <t>El Trapial</t>
        </is>
      </c>
      <c r="B746" t="inlineStr">
        <is>
          <t>Neuquina</t>
        </is>
      </c>
      <c r="C746" t="inlineStr">
        <is>
          <t>CHEVRON ARGENTINA S.R.L.</t>
        </is>
      </c>
      <c r="D746" t="inlineStr">
        <is>
          <t>convencional</t>
        </is>
      </c>
      <c r="E746" t="inlineStr">
        <is>
          <t>2011-02</t>
        </is>
      </c>
      <c r="F746" t="n">
        <v>161762.5</v>
      </c>
      <c r="G746" t="n">
        <v>1184422</v>
      </c>
      <c r="H746" t="n">
        <v>1473770.3</v>
      </c>
      <c r="I746">
        <f>DAY(EOMONTH(DATE(VALUE(LEFT(E746,4)),VALUE(RIGHT(E746,2)),1),0))</f>
        <v/>
      </c>
      <c r="J746">
        <f>VALUE(LEFT(E746,4))*12+VALUE(RIGHT(E746,2))-1</f>
        <v/>
      </c>
    </row>
    <row r="747">
      <c r="A747" t="inlineStr">
        <is>
          <t>El Trapial</t>
        </is>
      </c>
      <c r="B747" t="inlineStr">
        <is>
          <t>Neuquina</t>
        </is>
      </c>
      <c r="C747" t="inlineStr">
        <is>
          <t>CHEVRON ARGENTINA S.R.L.</t>
        </is>
      </c>
      <c r="D747" t="inlineStr">
        <is>
          <t>convencional</t>
        </is>
      </c>
      <c r="E747" t="inlineStr">
        <is>
          <t>2011-03</t>
        </is>
      </c>
      <c r="F747" t="n">
        <v>175859</v>
      </c>
      <c r="G747" t="n">
        <v>1309664.4</v>
      </c>
      <c r="H747" t="n">
        <v>1632853.7</v>
      </c>
      <c r="I747">
        <f>DAY(EOMONTH(DATE(VALUE(LEFT(E747,4)),VALUE(RIGHT(E747,2)),1),0))</f>
        <v/>
      </c>
      <c r="J747">
        <f>VALUE(LEFT(E747,4))*12+VALUE(RIGHT(E747,2))-1</f>
        <v/>
      </c>
    </row>
    <row r="748">
      <c r="A748" t="inlineStr">
        <is>
          <t>El Trapial</t>
        </is>
      </c>
      <c r="B748" t="inlineStr">
        <is>
          <t>Neuquina</t>
        </is>
      </c>
      <c r="C748" t="inlineStr">
        <is>
          <t>CHEVRON ARGENTINA S.R.L.</t>
        </is>
      </c>
      <c r="D748" t="inlineStr">
        <is>
          <t>convencional</t>
        </is>
      </c>
      <c r="E748" t="inlineStr">
        <is>
          <t>2011-04</t>
        </is>
      </c>
      <c r="F748" t="n">
        <v>165853</v>
      </c>
      <c r="G748" t="n">
        <v>1263286.8</v>
      </c>
      <c r="H748" t="n">
        <v>1576899.5</v>
      </c>
      <c r="I748">
        <f>DAY(EOMONTH(DATE(VALUE(LEFT(E748,4)),VALUE(RIGHT(E748,2)),1),0))</f>
        <v/>
      </c>
      <c r="J748">
        <f>VALUE(LEFT(E748,4))*12+VALUE(RIGHT(E748,2))-1</f>
        <v/>
      </c>
    </row>
    <row r="749">
      <c r="A749" t="inlineStr">
        <is>
          <t>El Trapial</t>
        </is>
      </c>
      <c r="B749" t="inlineStr">
        <is>
          <t>Neuquina</t>
        </is>
      </c>
      <c r="C749" t="inlineStr">
        <is>
          <t>CHEVRON ARGENTINA S.R.L.</t>
        </is>
      </c>
      <c r="D749" t="inlineStr">
        <is>
          <t>convencional</t>
        </is>
      </c>
      <c r="E749" t="inlineStr">
        <is>
          <t>2011-05</t>
        </is>
      </c>
      <c r="F749" t="n">
        <v>167138.7</v>
      </c>
      <c r="G749" t="n">
        <v>1331226.9</v>
      </c>
      <c r="H749" t="n">
        <v>1629800.9</v>
      </c>
      <c r="I749">
        <f>DAY(EOMONTH(DATE(VALUE(LEFT(E749,4)),VALUE(RIGHT(E749,2)),1),0))</f>
        <v/>
      </c>
      <c r="J749">
        <f>VALUE(LEFT(E749,4))*12+VALUE(RIGHT(E749,2))-1</f>
        <v/>
      </c>
    </row>
    <row r="750">
      <c r="A750" t="inlineStr">
        <is>
          <t>El Trapial</t>
        </is>
      </c>
      <c r="B750" t="inlineStr">
        <is>
          <t>Neuquina</t>
        </is>
      </c>
      <c r="C750" t="inlineStr">
        <is>
          <t>CHEVRON ARGENTINA S.R.L.</t>
        </is>
      </c>
      <c r="D750" t="inlineStr">
        <is>
          <t>convencional</t>
        </is>
      </c>
      <c r="E750" t="inlineStr">
        <is>
          <t>2011-06</t>
        </is>
      </c>
      <c r="F750" t="n">
        <v>155799.5</v>
      </c>
      <c r="G750" t="n">
        <v>1287042</v>
      </c>
      <c r="H750" t="n">
        <v>1567319.9</v>
      </c>
      <c r="I750">
        <f>DAY(EOMONTH(DATE(VALUE(LEFT(E750,4)),VALUE(RIGHT(E750,2)),1),0))</f>
        <v/>
      </c>
      <c r="J750">
        <f>VALUE(LEFT(E750,4))*12+VALUE(RIGHT(E750,2))-1</f>
        <v/>
      </c>
    </row>
    <row r="751">
      <c r="A751" t="inlineStr">
        <is>
          <t>El Trapial</t>
        </is>
      </c>
      <c r="B751" t="inlineStr">
        <is>
          <t>Neuquina</t>
        </is>
      </c>
      <c r="C751" t="inlineStr">
        <is>
          <t>CHEVRON ARGENTINA S.R.L.</t>
        </is>
      </c>
      <c r="D751" t="inlineStr">
        <is>
          <t>convencional</t>
        </is>
      </c>
      <c r="E751" t="inlineStr">
        <is>
          <t>2011-07</t>
        </is>
      </c>
      <c r="F751" t="n">
        <v>153054</v>
      </c>
      <c r="G751" t="n">
        <v>1347884.7</v>
      </c>
      <c r="H751" t="n">
        <v>1639113.7</v>
      </c>
      <c r="I751">
        <f>DAY(EOMONTH(DATE(VALUE(LEFT(E751,4)),VALUE(RIGHT(E751,2)),1),0))</f>
        <v/>
      </c>
      <c r="J751">
        <f>VALUE(LEFT(E751,4))*12+VALUE(RIGHT(E751,2))-1</f>
        <v/>
      </c>
    </row>
    <row r="752">
      <c r="A752" t="inlineStr">
        <is>
          <t>El Trapial</t>
        </is>
      </c>
      <c r="B752" t="inlineStr">
        <is>
          <t>Neuquina</t>
        </is>
      </c>
      <c r="C752" t="inlineStr">
        <is>
          <t>CHEVRON ARGENTINA S.R.L.</t>
        </is>
      </c>
      <c r="D752" t="inlineStr">
        <is>
          <t>convencional</t>
        </is>
      </c>
      <c r="E752" t="inlineStr">
        <is>
          <t>2011-08</t>
        </is>
      </c>
      <c r="F752" t="n">
        <v>153248</v>
      </c>
      <c r="G752" t="n">
        <v>1333343</v>
      </c>
      <c r="H752" t="n">
        <v>1612599.3</v>
      </c>
      <c r="I752">
        <f>DAY(EOMONTH(DATE(VALUE(LEFT(E752,4)),VALUE(RIGHT(E752,2)),1),0))</f>
        <v/>
      </c>
      <c r="J752">
        <f>VALUE(LEFT(E752,4))*12+VALUE(RIGHT(E752,2))-1</f>
        <v/>
      </c>
    </row>
    <row r="753">
      <c r="A753" t="inlineStr">
        <is>
          <t>El Trapial</t>
        </is>
      </c>
      <c r="B753" t="inlineStr">
        <is>
          <t>Neuquina</t>
        </is>
      </c>
      <c r="C753" t="inlineStr">
        <is>
          <t>CHEVRON ARGENTINA S.R.L.</t>
        </is>
      </c>
      <c r="D753" t="inlineStr">
        <is>
          <t>convencional</t>
        </is>
      </c>
      <c r="E753" t="inlineStr">
        <is>
          <t>2011-09</t>
        </is>
      </c>
      <c r="F753" t="n">
        <v>149266</v>
      </c>
      <c r="G753" t="n">
        <v>1275529.5</v>
      </c>
      <c r="H753" t="n">
        <v>1581606.9</v>
      </c>
      <c r="I753">
        <f>DAY(EOMONTH(DATE(VALUE(LEFT(E753,4)),VALUE(RIGHT(E753,2)),1),0))</f>
        <v/>
      </c>
      <c r="J753">
        <f>VALUE(LEFT(E753,4))*12+VALUE(RIGHT(E753,2))-1</f>
        <v/>
      </c>
    </row>
    <row r="754">
      <c r="A754" t="inlineStr">
        <is>
          <t>El Trapial</t>
        </is>
      </c>
      <c r="B754" t="inlineStr">
        <is>
          <t>Neuquina</t>
        </is>
      </c>
      <c r="C754" t="inlineStr">
        <is>
          <t>CHEVRON ARGENTINA S.R.L.</t>
        </is>
      </c>
      <c r="D754" t="inlineStr">
        <is>
          <t>convencional</t>
        </is>
      </c>
      <c r="E754" t="inlineStr">
        <is>
          <t>2011-10</t>
        </is>
      </c>
      <c r="F754" t="n">
        <v>153059.6</v>
      </c>
      <c r="G754" t="n">
        <v>1260348.9</v>
      </c>
      <c r="H754" t="n">
        <v>1525430.6</v>
      </c>
      <c r="I754">
        <f>DAY(EOMONTH(DATE(VALUE(LEFT(E754,4)),VALUE(RIGHT(E754,2)),1),0))</f>
        <v/>
      </c>
      <c r="J754">
        <f>VALUE(LEFT(E754,4))*12+VALUE(RIGHT(E754,2))-1</f>
        <v/>
      </c>
    </row>
    <row r="755">
      <c r="A755" t="inlineStr">
        <is>
          <t>El Trapial</t>
        </is>
      </c>
      <c r="B755" t="inlineStr">
        <is>
          <t>Neuquina</t>
        </is>
      </c>
      <c r="C755" t="inlineStr">
        <is>
          <t>CHEVRON ARGENTINA S.R.L.</t>
        </is>
      </c>
      <c r="D755" t="inlineStr">
        <is>
          <t>convencional</t>
        </is>
      </c>
      <c r="E755" t="inlineStr">
        <is>
          <t>2011-11</t>
        </is>
      </c>
      <c r="F755" t="n">
        <v>143994.8</v>
      </c>
      <c r="G755" t="n">
        <v>1196817.4</v>
      </c>
      <c r="H755" t="n">
        <v>1453095.8</v>
      </c>
      <c r="I755">
        <f>DAY(EOMONTH(DATE(VALUE(LEFT(E755,4)),VALUE(RIGHT(E755,2)),1),0))</f>
        <v/>
      </c>
      <c r="J755">
        <f>VALUE(LEFT(E755,4))*12+VALUE(RIGHT(E755,2))-1</f>
        <v/>
      </c>
    </row>
    <row r="756">
      <c r="A756" t="inlineStr">
        <is>
          <t>El Trapial</t>
        </is>
      </c>
      <c r="B756" t="inlineStr">
        <is>
          <t>Neuquina</t>
        </is>
      </c>
      <c r="C756" t="inlineStr">
        <is>
          <t>CHEVRON ARGENTINA S.R.L.</t>
        </is>
      </c>
      <c r="D756" t="inlineStr">
        <is>
          <t>convencional</t>
        </is>
      </c>
      <c r="E756" t="inlineStr">
        <is>
          <t>2011-12</t>
        </is>
      </c>
      <c r="F756" t="n">
        <v>143356.1</v>
      </c>
      <c r="G756" t="n">
        <v>1246896.9</v>
      </c>
      <c r="H756" t="n">
        <v>1507584.2</v>
      </c>
      <c r="I756">
        <f>DAY(EOMONTH(DATE(VALUE(LEFT(E756,4)),VALUE(RIGHT(E756,2)),1),0))</f>
        <v/>
      </c>
      <c r="J756">
        <f>VALUE(LEFT(E756,4))*12+VALUE(RIGHT(E756,2))-1</f>
        <v/>
      </c>
    </row>
    <row r="757">
      <c r="A757" t="inlineStr">
        <is>
          <t>El Trapial</t>
        </is>
      </c>
      <c r="B757" t="inlineStr">
        <is>
          <t>Neuquina</t>
        </is>
      </c>
      <c r="C757" t="inlineStr">
        <is>
          <t>CHEVRON ARGENTINA S.R.L.</t>
        </is>
      </c>
      <c r="D757" t="inlineStr">
        <is>
          <t>convencional</t>
        </is>
      </c>
      <c r="E757" t="inlineStr">
        <is>
          <t>2012-01</t>
        </is>
      </c>
      <c r="F757" t="n">
        <v>139617.2</v>
      </c>
      <c r="G757" t="n">
        <v>1204678</v>
      </c>
      <c r="H757" t="n">
        <v>1473439.2</v>
      </c>
      <c r="I757">
        <f>DAY(EOMONTH(DATE(VALUE(LEFT(E757,4)),VALUE(RIGHT(E757,2)),1),0))</f>
        <v/>
      </c>
      <c r="J757">
        <f>VALUE(LEFT(E757,4))*12+VALUE(RIGHT(E757,2))-1</f>
        <v/>
      </c>
    </row>
    <row r="758">
      <c r="A758" t="inlineStr">
        <is>
          <t>El Trapial</t>
        </is>
      </c>
      <c r="B758" t="inlineStr">
        <is>
          <t>Neuquina</t>
        </is>
      </c>
      <c r="C758" t="inlineStr">
        <is>
          <t>CHEVRON ARGENTINA S.R.L.</t>
        </is>
      </c>
      <c r="D758" t="inlineStr">
        <is>
          <t>convencional</t>
        </is>
      </c>
      <c r="E758" t="inlineStr">
        <is>
          <t>2012-02</t>
        </is>
      </c>
      <c r="F758" t="n">
        <v>131207.1</v>
      </c>
      <c r="G758" t="n">
        <v>1120537.6</v>
      </c>
      <c r="H758" t="n">
        <v>1331791.3</v>
      </c>
      <c r="I758">
        <f>DAY(EOMONTH(DATE(VALUE(LEFT(E758,4)),VALUE(RIGHT(E758,2)),1),0))</f>
        <v/>
      </c>
      <c r="J758">
        <f>VALUE(LEFT(E758,4))*12+VALUE(RIGHT(E758,2))-1</f>
        <v/>
      </c>
    </row>
    <row r="759">
      <c r="A759" t="inlineStr">
        <is>
          <t>El Trapial</t>
        </is>
      </c>
      <c r="B759" t="inlineStr">
        <is>
          <t>Neuquina</t>
        </is>
      </c>
      <c r="C759" t="inlineStr">
        <is>
          <t>CHEVRON ARGENTINA S.R.L.</t>
        </is>
      </c>
      <c r="D759" t="inlineStr">
        <is>
          <t>convencional</t>
        </is>
      </c>
      <c r="E759" t="inlineStr">
        <is>
          <t>2012-03</t>
        </is>
      </c>
      <c r="F759" t="n">
        <v>135702.9</v>
      </c>
      <c r="G759" t="n">
        <v>1213184.6</v>
      </c>
      <c r="H759" t="n">
        <v>1485881.3</v>
      </c>
      <c r="I759">
        <f>DAY(EOMONTH(DATE(VALUE(LEFT(E759,4)),VALUE(RIGHT(E759,2)),1),0))</f>
        <v/>
      </c>
      <c r="J759">
        <f>VALUE(LEFT(E759,4))*12+VALUE(RIGHT(E759,2))-1</f>
        <v/>
      </c>
    </row>
    <row r="760">
      <c r="A760" t="inlineStr">
        <is>
          <t>El Trapial</t>
        </is>
      </c>
      <c r="B760" t="inlineStr">
        <is>
          <t>Neuquina</t>
        </is>
      </c>
      <c r="C760" t="inlineStr">
        <is>
          <t>CHEVRON ARGENTINA S.R.L.</t>
        </is>
      </c>
      <c r="D760" t="inlineStr">
        <is>
          <t>convencional</t>
        </is>
      </c>
      <c r="E760" t="inlineStr">
        <is>
          <t>2012-04</t>
        </is>
      </c>
      <c r="F760" t="n">
        <v>124815</v>
      </c>
      <c r="G760" t="n">
        <v>1177811.1</v>
      </c>
      <c r="H760" t="n">
        <v>1445431.7</v>
      </c>
      <c r="I760">
        <f>DAY(EOMONTH(DATE(VALUE(LEFT(E760,4)),VALUE(RIGHT(E760,2)),1),0))</f>
        <v/>
      </c>
      <c r="J760">
        <f>VALUE(LEFT(E760,4))*12+VALUE(RIGHT(E760,2))-1</f>
        <v/>
      </c>
    </row>
    <row r="761">
      <c r="A761" t="inlineStr">
        <is>
          <t>El Trapial</t>
        </is>
      </c>
      <c r="B761" t="inlineStr">
        <is>
          <t>Neuquina</t>
        </is>
      </c>
      <c r="C761" t="inlineStr">
        <is>
          <t>CHEVRON ARGENTINA S.R.L.</t>
        </is>
      </c>
      <c r="D761" t="inlineStr">
        <is>
          <t>convencional</t>
        </is>
      </c>
      <c r="E761" t="inlineStr">
        <is>
          <t>2012-05</t>
        </is>
      </c>
      <c r="F761" t="n">
        <v>130220.2</v>
      </c>
      <c r="G761" t="n">
        <v>1241255.4</v>
      </c>
      <c r="H761" t="n">
        <v>1479899.8</v>
      </c>
      <c r="I761">
        <f>DAY(EOMONTH(DATE(VALUE(LEFT(E761,4)),VALUE(RIGHT(E761,2)),1),0))</f>
        <v/>
      </c>
      <c r="J761">
        <f>VALUE(LEFT(E761,4))*12+VALUE(RIGHT(E761,2))-1</f>
        <v/>
      </c>
    </row>
    <row r="762">
      <c r="A762" t="inlineStr">
        <is>
          <t>El Trapial</t>
        </is>
      </c>
      <c r="B762" t="inlineStr">
        <is>
          <t>Neuquina</t>
        </is>
      </c>
      <c r="C762" t="inlineStr">
        <is>
          <t>CHEVRON ARGENTINA S.R.L.</t>
        </is>
      </c>
      <c r="D762" t="inlineStr">
        <is>
          <t>convencional</t>
        </is>
      </c>
      <c r="E762" t="inlineStr">
        <is>
          <t>2012-06</t>
        </is>
      </c>
      <c r="F762" t="n">
        <v>124825</v>
      </c>
      <c r="G762" t="n">
        <v>1219710.4</v>
      </c>
      <c r="H762" t="n">
        <v>1483645.9</v>
      </c>
      <c r="I762">
        <f>DAY(EOMONTH(DATE(VALUE(LEFT(E762,4)),VALUE(RIGHT(E762,2)),1),0))</f>
        <v/>
      </c>
      <c r="J762">
        <f>VALUE(LEFT(E762,4))*12+VALUE(RIGHT(E762,2))-1</f>
        <v/>
      </c>
    </row>
    <row r="763">
      <c r="A763" t="inlineStr">
        <is>
          <t>El Trapial</t>
        </is>
      </c>
      <c r="B763" t="inlineStr">
        <is>
          <t>Neuquina</t>
        </is>
      </c>
      <c r="C763" t="inlineStr">
        <is>
          <t>CHEVRON ARGENTINA S.R.L.</t>
        </is>
      </c>
      <c r="D763" t="inlineStr">
        <is>
          <t>convencional</t>
        </is>
      </c>
      <c r="E763" t="inlineStr">
        <is>
          <t>2012-07</t>
        </is>
      </c>
      <c r="F763" t="n">
        <v>127113</v>
      </c>
      <c r="G763" t="n">
        <v>1284998.5</v>
      </c>
      <c r="H763" t="n">
        <v>1542327.5</v>
      </c>
      <c r="I763">
        <f>DAY(EOMONTH(DATE(VALUE(LEFT(E763,4)),VALUE(RIGHT(E763,2)),1),0))</f>
        <v/>
      </c>
      <c r="J763">
        <f>VALUE(LEFT(E763,4))*12+VALUE(RIGHT(E763,2))-1</f>
        <v/>
      </c>
    </row>
    <row r="764">
      <c r="A764" t="inlineStr">
        <is>
          <t>El Trapial</t>
        </is>
      </c>
      <c r="B764" t="inlineStr">
        <is>
          <t>Neuquina</t>
        </is>
      </c>
      <c r="C764" t="inlineStr">
        <is>
          <t>CHEVRON ARGENTINA S.R.L.</t>
        </is>
      </c>
      <c r="D764" t="inlineStr">
        <is>
          <t>convencional</t>
        </is>
      </c>
      <c r="E764" t="inlineStr">
        <is>
          <t>2012-08</t>
        </is>
      </c>
      <c r="F764" t="n">
        <v>124956.4</v>
      </c>
      <c r="G764" t="n">
        <v>1309285.7</v>
      </c>
      <c r="H764" t="n">
        <v>1607202</v>
      </c>
      <c r="I764">
        <f>DAY(EOMONTH(DATE(VALUE(LEFT(E764,4)),VALUE(RIGHT(E764,2)),1),0))</f>
        <v/>
      </c>
      <c r="J764">
        <f>VALUE(LEFT(E764,4))*12+VALUE(RIGHT(E764,2))-1</f>
        <v/>
      </c>
    </row>
    <row r="765">
      <c r="A765" t="inlineStr">
        <is>
          <t>El Trapial</t>
        </is>
      </c>
      <c r="B765" t="inlineStr">
        <is>
          <t>Neuquina</t>
        </is>
      </c>
      <c r="C765" t="inlineStr">
        <is>
          <t>CHEVRON ARGENTINA S.R.L.</t>
        </is>
      </c>
      <c r="D765" t="inlineStr">
        <is>
          <t>convencional</t>
        </is>
      </c>
      <c r="E765" t="inlineStr">
        <is>
          <t>2012-09</t>
        </is>
      </c>
      <c r="F765" t="n">
        <v>118919.7</v>
      </c>
      <c r="G765" t="n">
        <v>1268727.3</v>
      </c>
      <c r="H765" t="n">
        <v>1541367.9</v>
      </c>
      <c r="I765">
        <f>DAY(EOMONTH(DATE(VALUE(LEFT(E765,4)),VALUE(RIGHT(E765,2)),1),0))</f>
        <v/>
      </c>
      <c r="J765">
        <f>VALUE(LEFT(E765,4))*12+VALUE(RIGHT(E765,2))-1</f>
        <v/>
      </c>
    </row>
    <row r="766">
      <c r="A766" t="inlineStr">
        <is>
          <t>El Trapial</t>
        </is>
      </c>
      <c r="B766" t="inlineStr">
        <is>
          <t>Neuquina</t>
        </is>
      </c>
      <c r="C766" t="inlineStr">
        <is>
          <t>CHEVRON ARGENTINA S.R.L.</t>
        </is>
      </c>
      <c r="D766" t="inlineStr">
        <is>
          <t>convencional</t>
        </is>
      </c>
      <c r="E766" t="inlineStr">
        <is>
          <t>2012-10</t>
        </is>
      </c>
      <c r="F766" t="n">
        <v>118816.3</v>
      </c>
      <c r="G766" t="n">
        <v>1353787.7</v>
      </c>
      <c r="H766" t="n">
        <v>1654123.1</v>
      </c>
      <c r="I766">
        <f>DAY(EOMONTH(DATE(VALUE(LEFT(E766,4)),VALUE(RIGHT(E766,2)),1),0))</f>
        <v/>
      </c>
      <c r="J766">
        <f>VALUE(LEFT(E766,4))*12+VALUE(RIGHT(E766,2))-1</f>
        <v/>
      </c>
    </row>
    <row r="767">
      <c r="A767" t="inlineStr">
        <is>
          <t>El Trapial</t>
        </is>
      </c>
      <c r="B767" t="inlineStr">
        <is>
          <t>Neuquina</t>
        </is>
      </c>
      <c r="C767" t="inlineStr">
        <is>
          <t>CHEVRON ARGENTINA S.R.L.</t>
        </is>
      </c>
      <c r="D767" t="inlineStr">
        <is>
          <t>convencional</t>
        </is>
      </c>
      <c r="E767" t="inlineStr">
        <is>
          <t>2012-11</t>
        </is>
      </c>
      <c r="F767" t="n">
        <v>99610.7</v>
      </c>
      <c r="G767" t="n">
        <v>1206086.9</v>
      </c>
      <c r="H767" t="n">
        <v>1443394.5</v>
      </c>
      <c r="I767">
        <f>DAY(EOMONTH(DATE(VALUE(LEFT(E767,4)),VALUE(RIGHT(E767,2)),1),0))</f>
        <v/>
      </c>
      <c r="J767">
        <f>VALUE(LEFT(E767,4))*12+VALUE(RIGHT(E767,2))-1</f>
        <v/>
      </c>
    </row>
    <row r="768">
      <c r="A768" t="inlineStr">
        <is>
          <t>El Trapial</t>
        </is>
      </c>
      <c r="B768" t="inlineStr">
        <is>
          <t>Neuquina</t>
        </is>
      </c>
      <c r="C768" t="inlineStr">
        <is>
          <t>CHEVRON ARGENTINA S.R.L.</t>
        </is>
      </c>
      <c r="D768" t="inlineStr">
        <is>
          <t>convencional</t>
        </is>
      </c>
      <c r="E768" t="inlineStr">
        <is>
          <t>2012-12</t>
        </is>
      </c>
      <c r="F768" t="n">
        <v>114572</v>
      </c>
      <c r="G768" t="n">
        <v>1275279.7</v>
      </c>
      <c r="H768" t="n">
        <v>1516406.4</v>
      </c>
      <c r="I768">
        <f>DAY(EOMONTH(DATE(VALUE(LEFT(E768,4)),VALUE(RIGHT(E768,2)),1),0))</f>
        <v/>
      </c>
      <c r="J768">
        <f>VALUE(LEFT(E768,4))*12+VALUE(RIGHT(E768,2))-1</f>
        <v/>
      </c>
    </row>
    <row r="769">
      <c r="A769" t="inlineStr">
        <is>
          <t>El Trapial</t>
        </is>
      </c>
      <c r="B769" t="inlineStr">
        <is>
          <t>Neuquina</t>
        </is>
      </c>
      <c r="C769" t="inlineStr">
        <is>
          <t>CHEVRON ARGENTINA S.R.L.</t>
        </is>
      </c>
      <c r="D769" t="inlineStr">
        <is>
          <t>convencional</t>
        </is>
      </c>
      <c r="E769" t="inlineStr">
        <is>
          <t>2013-01</t>
        </is>
      </c>
      <c r="F769" t="n">
        <v>106646.6</v>
      </c>
      <c r="G769" t="n">
        <v>1248971.5</v>
      </c>
      <c r="H769" t="n">
        <v>1510185.5</v>
      </c>
      <c r="I769">
        <f>DAY(EOMONTH(DATE(VALUE(LEFT(E769,4)),VALUE(RIGHT(E769,2)),1),0))</f>
        <v/>
      </c>
      <c r="J769">
        <f>VALUE(LEFT(E769,4))*12+VALUE(RIGHT(E769,2))-1</f>
        <v/>
      </c>
    </row>
    <row r="770">
      <c r="A770" t="inlineStr">
        <is>
          <t>El Trapial</t>
        </is>
      </c>
      <c r="B770" t="inlineStr">
        <is>
          <t>Neuquina</t>
        </is>
      </c>
      <c r="C770" t="inlineStr">
        <is>
          <t>CHEVRON ARGENTINA S.R.L.</t>
        </is>
      </c>
      <c r="D770" t="inlineStr">
        <is>
          <t>convencional</t>
        </is>
      </c>
      <c r="E770" t="inlineStr">
        <is>
          <t>2013-02</t>
        </is>
      </c>
      <c r="F770" t="n">
        <v>96802.5</v>
      </c>
      <c r="G770" t="n">
        <v>1168297.8</v>
      </c>
      <c r="H770" t="n">
        <v>1407111.1</v>
      </c>
      <c r="I770">
        <f>DAY(EOMONTH(DATE(VALUE(LEFT(E770,4)),VALUE(RIGHT(E770,2)),1),0))</f>
        <v/>
      </c>
      <c r="J770">
        <f>VALUE(LEFT(E770,4))*12+VALUE(RIGHT(E770,2))-1</f>
        <v/>
      </c>
    </row>
    <row r="771">
      <c r="A771" t="inlineStr">
        <is>
          <t>El Trapial</t>
        </is>
      </c>
      <c r="B771" t="inlineStr">
        <is>
          <t>Neuquina</t>
        </is>
      </c>
      <c r="C771" t="inlineStr">
        <is>
          <t>CHEVRON ARGENTINA S.R.L.</t>
        </is>
      </c>
      <c r="D771" t="inlineStr">
        <is>
          <t>convencional</t>
        </is>
      </c>
      <c r="E771" t="inlineStr">
        <is>
          <t>2013-03</t>
        </is>
      </c>
      <c r="F771" t="n">
        <v>106045.7</v>
      </c>
      <c r="G771" t="n">
        <v>1273250.9</v>
      </c>
      <c r="H771" t="n">
        <v>1537270.6</v>
      </c>
      <c r="I771">
        <f>DAY(EOMONTH(DATE(VALUE(LEFT(E771,4)),VALUE(RIGHT(E771,2)),1),0))</f>
        <v/>
      </c>
      <c r="J771">
        <f>VALUE(LEFT(E771,4))*12+VALUE(RIGHT(E771,2))-1</f>
        <v/>
      </c>
    </row>
    <row r="772">
      <c r="A772" t="inlineStr">
        <is>
          <t>El Trapial</t>
        </is>
      </c>
      <c r="B772" t="inlineStr">
        <is>
          <t>Neuquina</t>
        </is>
      </c>
      <c r="C772" t="inlineStr">
        <is>
          <t>CHEVRON ARGENTINA S.R.L.</t>
        </is>
      </c>
      <c r="D772" t="inlineStr">
        <is>
          <t>convencional</t>
        </is>
      </c>
      <c r="E772" t="inlineStr">
        <is>
          <t>2013-04</t>
        </is>
      </c>
      <c r="F772" t="n">
        <v>98680.8</v>
      </c>
      <c r="G772" t="n">
        <v>1237954.7</v>
      </c>
      <c r="H772" t="n">
        <v>1492853.5</v>
      </c>
      <c r="I772">
        <f>DAY(EOMONTH(DATE(VALUE(LEFT(E772,4)),VALUE(RIGHT(E772,2)),1),0))</f>
        <v/>
      </c>
      <c r="J772">
        <f>VALUE(LEFT(E772,4))*12+VALUE(RIGHT(E772,2))-1</f>
        <v/>
      </c>
    </row>
    <row r="773">
      <c r="A773" t="inlineStr">
        <is>
          <t>El Trapial</t>
        </is>
      </c>
      <c r="B773" t="inlineStr">
        <is>
          <t>Neuquina</t>
        </is>
      </c>
      <c r="C773" t="inlineStr">
        <is>
          <t>CHEVRON ARGENTINA S.R.L.</t>
        </is>
      </c>
      <c r="D773" t="inlineStr">
        <is>
          <t>no convencional</t>
        </is>
      </c>
      <c r="E773" t="inlineStr">
        <is>
          <t>2013-04</t>
        </is>
      </c>
      <c r="F773" t="n">
        <v>79</v>
      </c>
      <c r="G773" t="n">
        <v>1337.9</v>
      </c>
      <c r="H773" t="n">
        <v>0</v>
      </c>
      <c r="I773">
        <f>DAY(EOMONTH(DATE(VALUE(LEFT(E773,4)),VALUE(RIGHT(E773,2)),1),0))</f>
        <v/>
      </c>
      <c r="J773">
        <f>VALUE(LEFT(E773,4))*12+VALUE(RIGHT(E773,2))-1</f>
        <v/>
      </c>
    </row>
    <row r="774">
      <c r="A774" t="inlineStr">
        <is>
          <t>El Trapial</t>
        </is>
      </c>
      <c r="B774" t="inlineStr">
        <is>
          <t>Neuquina</t>
        </is>
      </c>
      <c r="C774" t="inlineStr">
        <is>
          <t>CHEVRON ARGENTINA S.R.L.</t>
        </is>
      </c>
      <c r="D774" t="inlineStr">
        <is>
          <t>convencional</t>
        </is>
      </c>
      <c r="E774" t="inlineStr">
        <is>
          <t>2013-05</t>
        </is>
      </c>
      <c r="F774" t="n">
        <v>103417.6</v>
      </c>
      <c r="G774" t="n">
        <v>1310129.6</v>
      </c>
      <c r="H774" t="n">
        <v>1583165.6</v>
      </c>
      <c r="I774">
        <f>DAY(EOMONTH(DATE(VALUE(LEFT(E774,4)),VALUE(RIGHT(E774,2)),1),0))</f>
        <v/>
      </c>
      <c r="J774">
        <f>VALUE(LEFT(E774,4))*12+VALUE(RIGHT(E774,2))-1</f>
        <v/>
      </c>
    </row>
    <row r="775">
      <c r="A775" t="inlineStr">
        <is>
          <t>El Trapial</t>
        </is>
      </c>
      <c r="B775" t="inlineStr">
        <is>
          <t>Neuquina</t>
        </is>
      </c>
      <c r="C775" t="inlineStr">
        <is>
          <t>CHEVRON ARGENTINA S.R.L.</t>
        </is>
      </c>
      <c r="D775" t="inlineStr">
        <is>
          <t>no convencional</t>
        </is>
      </c>
      <c r="E775" t="inlineStr">
        <is>
          <t>2013-05</t>
        </is>
      </c>
      <c r="F775" t="n">
        <v>39</v>
      </c>
      <c r="G775" t="n">
        <v>475</v>
      </c>
      <c r="H775" t="n">
        <v>0</v>
      </c>
      <c r="I775">
        <f>DAY(EOMONTH(DATE(VALUE(LEFT(E775,4)),VALUE(RIGHT(E775,2)),1),0))</f>
        <v/>
      </c>
      <c r="J775">
        <f>VALUE(LEFT(E775,4))*12+VALUE(RIGHT(E775,2))-1</f>
        <v/>
      </c>
    </row>
    <row r="776">
      <c r="A776" t="inlineStr">
        <is>
          <t>El Trapial</t>
        </is>
      </c>
      <c r="B776" t="inlineStr">
        <is>
          <t>Neuquina</t>
        </is>
      </c>
      <c r="C776" t="inlineStr">
        <is>
          <t>CHEVRON ARGENTINA S.R.L.</t>
        </is>
      </c>
      <c r="D776" t="inlineStr">
        <is>
          <t>convencional</t>
        </is>
      </c>
      <c r="E776" t="inlineStr">
        <is>
          <t>2013-06</t>
        </is>
      </c>
      <c r="F776" t="n">
        <v>98367.60000000001</v>
      </c>
      <c r="G776" t="n">
        <v>1263843.2</v>
      </c>
      <c r="H776" t="n">
        <v>1536682.1</v>
      </c>
      <c r="I776">
        <f>DAY(EOMONTH(DATE(VALUE(LEFT(E776,4)),VALUE(RIGHT(E776,2)),1),0))</f>
        <v/>
      </c>
      <c r="J776">
        <f>VALUE(LEFT(E776,4))*12+VALUE(RIGHT(E776,2))-1</f>
        <v/>
      </c>
    </row>
    <row r="777">
      <c r="A777" t="inlineStr">
        <is>
          <t>El Trapial</t>
        </is>
      </c>
      <c r="B777" t="inlineStr">
        <is>
          <t>Neuquina</t>
        </is>
      </c>
      <c r="C777" t="inlineStr">
        <is>
          <t>CHEVRON ARGENTINA S.R.L.</t>
        </is>
      </c>
      <c r="D777" t="inlineStr">
        <is>
          <t>no convencional</t>
        </is>
      </c>
      <c r="E777" t="inlineStr">
        <is>
          <t>2013-06</t>
        </is>
      </c>
      <c r="F777" t="n">
        <v>123.4</v>
      </c>
      <c r="G777" t="n">
        <v>864</v>
      </c>
      <c r="H777" t="n">
        <v>0</v>
      </c>
      <c r="I777">
        <f>DAY(EOMONTH(DATE(VALUE(LEFT(E777,4)),VALUE(RIGHT(E777,2)),1),0))</f>
        <v/>
      </c>
      <c r="J777">
        <f>VALUE(LEFT(E777,4))*12+VALUE(RIGHT(E777,2))-1</f>
        <v/>
      </c>
    </row>
    <row r="778">
      <c r="A778" t="inlineStr">
        <is>
          <t>El Trapial</t>
        </is>
      </c>
      <c r="B778" t="inlineStr">
        <is>
          <t>Neuquina</t>
        </is>
      </c>
      <c r="C778" t="inlineStr">
        <is>
          <t>CHEVRON ARGENTINA S.R.L.</t>
        </is>
      </c>
      <c r="D778" t="inlineStr">
        <is>
          <t>convencional</t>
        </is>
      </c>
      <c r="E778" t="inlineStr">
        <is>
          <t>2013-07</t>
        </is>
      </c>
      <c r="F778" t="n">
        <v>100290.3</v>
      </c>
      <c r="G778" t="n">
        <v>1353832.4</v>
      </c>
      <c r="H778" t="n">
        <v>1634021.5</v>
      </c>
      <c r="I778">
        <f>DAY(EOMONTH(DATE(VALUE(LEFT(E778,4)),VALUE(RIGHT(E778,2)),1),0))</f>
        <v/>
      </c>
      <c r="J778">
        <f>VALUE(LEFT(E778,4))*12+VALUE(RIGHT(E778,2))-1</f>
        <v/>
      </c>
    </row>
    <row r="779">
      <c r="A779" t="inlineStr">
        <is>
          <t>El Trapial</t>
        </is>
      </c>
      <c r="B779" t="inlineStr">
        <is>
          <t>Neuquina</t>
        </is>
      </c>
      <c r="C779" t="inlineStr">
        <is>
          <t>CHEVRON ARGENTINA S.R.L.</t>
        </is>
      </c>
      <c r="D779" t="inlineStr">
        <is>
          <t>no convencional</t>
        </is>
      </c>
      <c r="E779" t="inlineStr">
        <is>
          <t>2013-07</t>
        </is>
      </c>
      <c r="F779" t="n">
        <v>171.8</v>
      </c>
      <c r="G779" t="n">
        <v>1179.4</v>
      </c>
      <c r="H779" t="n">
        <v>0</v>
      </c>
      <c r="I779">
        <f>DAY(EOMONTH(DATE(VALUE(LEFT(E779,4)),VALUE(RIGHT(E779,2)),1),0))</f>
        <v/>
      </c>
      <c r="J779">
        <f>VALUE(LEFT(E779,4))*12+VALUE(RIGHT(E779,2))-1</f>
        <v/>
      </c>
    </row>
    <row r="780">
      <c r="A780" t="inlineStr">
        <is>
          <t>El Trapial</t>
        </is>
      </c>
      <c r="B780" t="inlineStr">
        <is>
          <t>Neuquina</t>
        </is>
      </c>
      <c r="C780" t="inlineStr">
        <is>
          <t>CHEVRON ARGENTINA S.R.L.</t>
        </is>
      </c>
      <c r="D780" t="inlineStr">
        <is>
          <t>convencional</t>
        </is>
      </c>
      <c r="E780" t="inlineStr">
        <is>
          <t>2013-08</t>
        </is>
      </c>
      <c r="F780" t="n">
        <v>97641.8</v>
      </c>
      <c r="G780" t="n">
        <v>1341774.5</v>
      </c>
      <c r="H780" t="n">
        <v>1622826</v>
      </c>
      <c r="I780">
        <f>DAY(EOMONTH(DATE(VALUE(LEFT(E780,4)),VALUE(RIGHT(E780,2)),1),0))</f>
        <v/>
      </c>
      <c r="J780">
        <f>VALUE(LEFT(E780,4))*12+VALUE(RIGHT(E780,2))-1</f>
        <v/>
      </c>
    </row>
    <row r="781">
      <c r="A781" t="inlineStr">
        <is>
          <t>El Trapial</t>
        </is>
      </c>
      <c r="B781" t="inlineStr">
        <is>
          <t>Neuquina</t>
        </is>
      </c>
      <c r="C781" t="inlineStr">
        <is>
          <t>CHEVRON ARGENTINA S.R.L.</t>
        </is>
      </c>
      <c r="D781" t="inlineStr">
        <is>
          <t>no convencional</t>
        </is>
      </c>
      <c r="E781" t="inlineStr">
        <is>
          <t>2013-08</t>
        </is>
      </c>
      <c r="F781" t="n">
        <v>269.1</v>
      </c>
      <c r="G781" t="n">
        <v>1454.4</v>
      </c>
      <c r="H781" t="n">
        <v>0</v>
      </c>
      <c r="I781">
        <f>DAY(EOMONTH(DATE(VALUE(LEFT(E781,4)),VALUE(RIGHT(E781,2)),1),0))</f>
        <v/>
      </c>
      <c r="J781">
        <f>VALUE(LEFT(E781,4))*12+VALUE(RIGHT(E781,2))-1</f>
        <v/>
      </c>
    </row>
    <row r="782">
      <c r="A782" t="inlineStr">
        <is>
          <t>El Trapial</t>
        </is>
      </c>
      <c r="B782" t="inlineStr">
        <is>
          <t>Neuquina</t>
        </is>
      </c>
      <c r="C782" t="inlineStr">
        <is>
          <t>CHEVRON ARGENTINA S.R.L.</t>
        </is>
      </c>
      <c r="D782" t="inlineStr">
        <is>
          <t>convencional</t>
        </is>
      </c>
      <c r="E782" t="inlineStr">
        <is>
          <t>2013-09</t>
        </is>
      </c>
      <c r="F782" t="n">
        <v>93136.3</v>
      </c>
      <c r="G782" t="n">
        <v>1299211.8</v>
      </c>
      <c r="H782" t="n">
        <v>1596921.3</v>
      </c>
      <c r="I782">
        <f>DAY(EOMONTH(DATE(VALUE(LEFT(E782,4)),VALUE(RIGHT(E782,2)),1),0))</f>
        <v/>
      </c>
      <c r="J782">
        <f>VALUE(LEFT(E782,4))*12+VALUE(RIGHT(E782,2))-1</f>
        <v/>
      </c>
    </row>
    <row r="783">
      <c r="A783" t="inlineStr">
        <is>
          <t>El Trapial</t>
        </is>
      </c>
      <c r="B783" t="inlineStr">
        <is>
          <t>Neuquina</t>
        </is>
      </c>
      <c r="C783" t="inlineStr">
        <is>
          <t>CHEVRON ARGENTINA S.R.L.</t>
        </is>
      </c>
      <c r="D783" t="inlineStr">
        <is>
          <t>no convencional</t>
        </is>
      </c>
      <c r="E783" t="inlineStr">
        <is>
          <t>2013-09</t>
        </is>
      </c>
      <c r="F783" t="n">
        <v>90.7</v>
      </c>
      <c r="G783" t="n">
        <v>354</v>
      </c>
      <c r="H783" t="n">
        <v>0</v>
      </c>
      <c r="I783">
        <f>DAY(EOMONTH(DATE(VALUE(LEFT(E783,4)),VALUE(RIGHT(E783,2)),1),0))</f>
        <v/>
      </c>
      <c r="J783">
        <f>VALUE(LEFT(E783,4))*12+VALUE(RIGHT(E783,2))-1</f>
        <v/>
      </c>
    </row>
    <row r="784">
      <c r="A784" t="inlineStr">
        <is>
          <t>El Trapial</t>
        </is>
      </c>
      <c r="B784" t="inlineStr">
        <is>
          <t>Neuquina</t>
        </is>
      </c>
      <c r="C784" t="inlineStr">
        <is>
          <t>CHEVRON ARGENTINA S.R.L.</t>
        </is>
      </c>
      <c r="D784" t="inlineStr">
        <is>
          <t>convencional</t>
        </is>
      </c>
      <c r="E784" t="inlineStr">
        <is>
          <t>2013-10</t>
        </is>
      </c>
      <c r="F784" t="n">
        <v>94531.60000000001</v>
      </c>
      <c r="G784" t="n">
        <v>1354948.4</v>
      </c>
      <c r="H784" t="n">
        <v>1665270.5</v>
      </c>
      <c r="I784">
        <f>DAY(EOMONTH(DATE(VALUE(LEFT(E784,4)),VALUE(RIGHT(E784,2)),1),0))</f>
        <v/>
      </c>
      <c r="J784">
        <f>VALUE(LEFT(E784,4))*12+VALUE(RIGHT(E784,2))-1</f>
        <v/>
      </c>
    </row>
    <row r="785">
      <c r="A785" t="inlineStr">
        <is>
          <t>El Trapial</t>
        </is>
      </c>
      <c r="B785" t="inlineStr">
        <is>
          <t>Neuquina</t>
        </is>
      </c>
      <c r="C785" t="inlineStr">
        <is>
          <t>CHEVRON ARGENTINA S.R.L.</t>
        </is>
      </c>
      <c r="D785" t="inlineStr">
        <is>
          <t>no convencional</t>
        </is>
      </c>
      <c r="E785" t="inlineStr">
        <is>
          <t>2013-10</t>
        </is>
      </c>
      <c r="F785" t="n">
        <v>320.1</v>
      </c>
      <c r="G785" t="n">
        <v>1085.3</v>
      </c>
      <c r="H785" t="n">
        <v>0</v>
      </c>
      <c r="I785">
        <f>DAY(EOMONTH(DATE(VALUE(LEFT(E785,4)),VALUE(RIGHT(E785,2)),1),0))</f>
        <v/>
      </c>
      <c r="J785">
        <f>VALUE(LEFT(E785,4))*12+VALUE(RIGHT(E785,2))-1</f>
        <v/>
      </c>
    </row>
    <row r="786">
      <c r="A786" t="inlineStr">
        <is>
          <t>El Trapial</t>
        </is>
      </c>
      <c r="B786" t="inlineStr">
        <is>
          <t>Neuquina</t>
        </is>
      </c>
      <c r="C786" t="inlineStr">
        <is>
          <t>CHEVRON ARGENTINA S.R.L.</t>
        </is>
      </c>
      <c r="D786" t="inlineStr">
        <is>
          <t>convencional</t>
        </is>
      </c>
      <c r="E786" t="inlineStr">
        <is>
          <t>2013-11</t>
        </is>
      </c>
      <c r="F786" t="n">
        <v>90349.2</v>
      </c>
      <c r="G786" t="n">
        <v>1338130.4</v>
      </c>
      <c r="H786" t="n">
        <v>1618111.2</v>
      </c>
      <c r="I786">
        <f>DAY(EOMONTH(DATE(VALUE(LEFT(E786,4)),VALUE(RIGHT(E786,2)),1),0))</f>
        <v/>
      </c>
      <c r="J786">
        <f>VALUE(LEFT(E786,4))*12+VALUE(RIGHT(E786,2))-1</f>
        <v/>
      </c>
    </row>
    <row r="787">
      <c r="A787" t="inlineStr">
        <is>
          <t>El Trapial</t>
        </is>
      </c>
      <c r="B787" t="inlineStr">
        <is>
          <t>Neuquina</t>
        </is>
      </c>
      <c r="C787" t="inlineStr">
        <is>
          <t>CHEVRON ARGENTINA S.R.L.</t>
        </is>
      </c>
      <c r="D787" t="inlineStr">
        <is>
          <t>no convencional</t>
        </is>
      </c>
      <c r="E787" t="inlineStr">
        <is>
          <t>2013-11</t>
        </is>
      </c>
      <c r="F787" t="n">
        <v>151.1</v>
      </c>
      <c r="G787" t="n">
        <v>602.5</v>
      </c>
      <c r="H787" t="n">
        <v>0</v>
      </c>
      <c r="I787">
        <f>DAY(EOMONTH(DATE(VALUE(LEFT(E787,4)),VALUE(RIGHT(E787,2)),1),0))</f>
        <v/>
      </c>
      <c r="J787">
        <f>VALUE(LEFT(E787,4))*12+VALUE(RIGHT(E787,2))-1</f>
        <v/>
      </c>
    </row>
    <row r="788">
      <c r="A788" t="inlineStr">
        <is>
          <t>El Trapial</t>
        </is>
      </c>
      <c r="B788" t="inlineStr">
        <is>
          <t>Neuquina</t>
        </is>
      </c>
      <c r="C788" t="inlineStr">
        <is>
          <t>CHEVRON ARGENTINA S.R.L.</t>
        </is>
      </c>
      <c r="D788" t="inlineStr">
        <is>
          <t>convencional</t>
        </is>
      </c>
      <c r="E788" t="inlineStr">
        <is>
          <t>2013-12</t>
        </is>
      </c>
      <c r="F788" t="n">
        <v>90300</v>
      </c>
      <c r="G788" t="n">
        <v>1414752.5</v>
      </c>
      <c r="H788" t="n">
        <v>1683160.8</v>
      </c>
      <c r="I788">
        <f>DAY(EOMONTH(DATE(VALUE(LEFT(E788,4)),VALUE(RIGHT(E788,2)),1),0))</f>
        <v/>
      </c>
      <c r="J788">
        <f>VALUE(LEFT(E788,4))*12+VALUE(RIGHT(E788,2))-1</f>
        <v/>
      </c>
    </row>
    <row r="789">
      <c r="A789" t="inlineStr">
        <is>
          <t>El Trapial</t>
        </is>
      </c>
      <c r="B789" t="inlineStr">
        <is>
          <t>Neuquina</t>
        </is>
      </c>
      <c r="C789" t="inlineStr">
        <is>
          <t>CHEVRON ARGENTINA S.R.L.</t>
        </is>
      </c>
      <c r="D789" t="inlineStr">
        <is>
          <t>no convencional</t>
        </is>
      </c>
      <c r="E789" t="inlineStr">
        <is>
          <t>2013-12</t>
        </is>
      </c>
      <c r="F789" t="n">
        <v>78.3</v>
      </c>
      <c r="G789" t="n">
        <v>822.7</v>
      </c>
      <c r="H789" t="n">
        <v>0</v>
      </c>
      <c r="I789">
        <f>DAY(EOMONTH(DATE(VALUE(LEFT(E789,4)),VALUE(RIGHT(E789,2)),1),0))</f>
        <v/>
      </c>
      <c r="J789">
        <f>VALUE(LEFT(E789,4))*12+VALUE(RIGHT(E789,2))-1</f>
        <v/>
      </c>
    </row>
    <row r="790">
      <c r="A790" t="inlineStr">
        <is>
          <t>El Trapial</t>
        </is>
      </c>
      <c r="B790" t="inlineStr">
        <is>
          <t>Neuquina</t>
        </is>
      </c>
      <c r="C790" t="inlineStr">
        <is>
          <t>CHEVRON ARGENTINA S.R.L.</t>
        </is>
      </c>
      <c r="D790" t="inlineStr">
        <is>
          <t>convencional</t>
        </is>
      </c>
      <c r="E790" t="inlineStr">
        <is>
          <t>2014-01</t>
        </is>
      </c>
      <c r="F790" t="n">
        <v>86296.3</v>
      </c>
      <c r="G790" t="n">
        <v>1417837.5</v>
      </c>
      <c r="H790" t="n">
        <v>1703706.8</v>
      </c>
      <c r="I790">
        <f>DAY(EOMONTH(DATE(VALUE(LEFT(E790,4)),VALUE(RIGHT(E790,2)),1),0))</f>
        <v/>
      </c>
      <c r="J790">
        <f>VALUE(LEFT(E790,4))*12+VALUE(RIGHT(E790,2))-1</f>
        <v/>
      </c>
    </row>
    <row r="791">
      <c r="A791" t="inlineStr">
        <is>
          <t>El Trapial</t>
        </is>
      </c>
      <c r="B791" t="inlineStr">
        <is>
          <t>Neuquina</t>
        </is>
      </c>
      <c r="C791" t="inlineStr">
        <is>
          <t>CHEVRON ARGENTINA S.R.L.</t>
        </is>
      </c>
      <c r="D791" t="inlineStr">
        <is>
          <t>no convencional</t>
        </is>
      </c>
      <c r="E791" t="inlineStr">
        <is>
          <t>2014-01</t>
        </is>
      </c>
      <c r="F791" t="n">
        <v>273.9</v>
      </c>
      <c r="G791" t="n">
        <v>1394.6</v>
      </c>
      <c r="H791" t="n">
        <v>0</v>
      </c>
      <c r="I791">
        <f>DAY(EOMONTH(DATE(VALUE(LEFT(E791,4)),VALUE(RIGHT(E791,2)),1),0))</f>
        <v/>
      </c>
      <c r="J791">
        <f>VALUE(LEFT(E791,4))*12+VALUE(RIGHT(E791,2))-1</f>
        <v/>
      </c>
    </row>
    <row r="792">
      <c r="A792" t="inlineStr">
        <is>
          <t>El Trapial</t>
        </is>
      </c>
      <c r="B792" t="inlineStr">
        <is>
          <t>Neuquina</t>
        </is>
      </c>
      <c r="C792" t="inlineStr">
        <is>
          <t>CHEVRON ARGENTINA S.R.L.</t>
        </is>
      </c>
      <c r="D792" t="inlineStr">
        <is>
          <t>convencional</t>
        </is>
      </c>
      <c r="E792" t="inlineStr">
        <is>
          <t>2014-02</t>
        </is>
      </c>
      <c r="F792" t="n">
        <v>73747.5</v>
      </c>
      <c r="G792" t="n">
        <v>1292177.2</v>
      </c>
      <c r="H792" t="n">
        <v>1542079.6</v>
      </c>
      <c r="I792">
        <f>DAY(EOMONTH(DATE(VALUE(LEFT(E792,4)),VALUE(RIGHT(E792,2)),1),0))</f>
        <v/>
      </c>
      <c r="J792">
        <f>VALUE(LEFT(E792,4))*12+VALUE(RIGHT(E792,2))-1</f>
        <v/>
      </c>
    </row>
    <row r="793">
      <c r="A793" t="inlineStr">
        <is>
          <t>El Trapial</t>
        </is>
      </c>
      <c r="B793" t="inlineStr">
        <is>
          <t>Neuquina</t>
        </is>
      </c>
      <c r="C793" t="inlineStr">
        <is>
          <t>CHEVRON ARGENTINA S.R.L.</t>
        </is>
      </c>
      <c r="D793" t="inlineStr">
        <is>
          <t>no convencional</t>
        </is>
      </c>
      <c r="E793" t="inlineStr">
        <is>
          <t>2014-02</t>
        </is>
      </c>
      <c r="F793" t="n">
        <v>652.5</v>
      </c>
      <c r="G793" t="n">
        <v>3554.9</v>
      </c>
      <c r="H793" t="n">
        <v>0</v>
      </c>
      <c r="I793">
        <f>DAY(EOMONTH(DATE(VALUE(LEFT(E793,4)),VALUE(RIGHT(E793,2)),1),0))</f>
        <v/>
      </c>
      <c r="J793">
        <f>VALUE(LEFT(E793,4))*12+VALUE(RIGHT(E793,2))-1</f>
        <v/>
      </c>
    </row>
    <row r="794">
      <c r="A794" t="inlineStr">
        <is>
          <t>El Trapial</t>
        </is>
      </c>
      <c r="B794" t="inlineStr">
        <is>
          <t>Neuquina</t>
        </is>
      </c>
      <c r="C794" t="inlineStr">
        <is>
          <t>CHEVRON ARGENTINA S.R.L.</t>
        </is>
      </c>
      <c r="D794" t="inlineStr">
        <is>
          <t>convencional</t>
        </is>
      </c>
      <c r="E794" t="inlineStr">
        <is>
          <t>2014-03</t>
        </is>
      </c>
      <c r="F794" t="n">
        <v>79926.7</v>
      </c>
      <c r="G794" t="n">
        <v>1435532.7</v>
      </c>
      <c r="H794" t="n">
        <v>1716711.7</v>
      </c>
      <c r="I794">
        <f>DAY(EOMONTH(DATE(VALUE(LEFT(E794,4)),VALUE(RIGHT(E794,2)),1),0))</f>
        <v/>
      </c>
      <c r="J794">
        <f>VALUE(LEFT(E794,4))*12+VALUE(RIGHT(E794,2))-1</f>
        <v/>
      </c>
    </row>
    <row r="795">
      <c r="A795" t="inlineStr">
        <is>
          <t>El Trapial</t>
        </is>
      </c>
      <c r="B795" t="inlineStr">
        <is>
          <t>Neuquina</t>
        </is>
      </c>
      <c r="C795" t="inlineStr">
        <is>
          <t>CHEVRON ARGENTINA S.R.L.</t>
        </is>
      </c>
      <c r="D795" t="inlineStr">
        <is>
          <t>no convencional</t>
        </is>
      </c>
      <c r="E795" t="inlineStr">
        <is>
          <t>2014-03</t>
        </is>
      </c>
      <c r="F795" t="n">
        <v>578.8</v>
      </c>
      <c r="G795" t="n">
        <v>1175</v>
      </c>
      <c r="H795" t="n">
        <v>0</v>
      </c>
      <c r="I795">
        <f>DAY(EOMONTH(DATE(VALUE(LEFT(E795,4)),VALUE(RIGHT(E795,2)),1),0))</f>
        <v/>
      </c>
      <c r="J795">
        <f>VALUE(LEFT(E795,4))*12+VALUE(RIGHT(E795,2))-1</f>
        <v/>
      </c>
    </row>
    <row r="796">
      <c r="A796" t="inlineStr">
        <is>
          <t>El Trapial</t>
        </is>
      </c>
      <c r="B796" t="inlineStr">
        <is>
          <t>Neuquina</t>
        </is>
      </c>
      <c r="C796" t="inlineStr">
        <is>
          <t>CHEVRON ARGENTINA S.R.L.</t>
        </is>
      </c>
      <c r="D796" t="inlineStr">
        <is>
          <t>convencional</t>
        </is>
      </c>
      <c r="E796" t="inlineStr">
        <is>
          <t>2014-04</t>
        </is>
      </c>
      <c r="F796" t="n">
        <v>72156.2</v>
      </c>
      <c r="G796" t="n">
        <v>1361320.3</v>
      </c>
      <c r="H796" t="n">
        <v>1625386.8</v>
      </c>
      <c r="I796">
        <f>DAY(EOMONTH(DATE(VALUE(LEFT(E796,4)),VALUE(RIGHT(E796,2)),1),0))</f>
        <v/>
      </c>
      <c r="J796">
        <f>VALUE(LEFT(E796,4))*12+VALUE(RIGHT(E796,2))-1</f>
        <v/>
      </c>
    </row>
    <row r="797">
      <c r="A797" t="inlineStr">
        <is>
          <t>El Trapial</t>
        </is>
      </c>
      <c r="B797" t="inlineStr">
        <is>
          <t>Neuquina</t>
        </is>
      </c>
      <c r="C797" t="inlineStr">
        <is>
          <t>CHEVRON ARGENTINA S.R.L.</t>
        </is>
      </c>
      <c r="D797" t="inlineStr">
        <is>
          <t>no convencional</t>
        </is>
      </c>
      <c r="E797" t="inlineStr">
        <is>
          <t>2014-04</t>
        </is>
      </c>
      <c r="F797" t="n">
        <v>91.09999999999999</v>
      </c>
      <c r="G797" t="n">
        <v>776</v>
      </c>
      <c r="H797" t="n">
        <v>0</v>
      </c>
      <c r="I797">
        <f>DAY(EOMONTH(DATE(VALUE(LEFT(E797,4)),VALUE(RIGHT(E797,2)),1),0))</f>
        <v/>
      </c>
      <c r="J797">
        <f>VALUE(LEFT(E797,4))*12+VALUE(RIGHT(E797,2))-1</f>
        <v/>
      </c>
    </row>
    <row r="798">
      <c r="A798" t="inlineStr">
        <is>
          <t>El Trapial</t>
        </is>
      </c>
      <c r="B798" t="inlineStr">
        <is>
          <t>Neuquina</t>
        </is>
      </c>
      <c r="C798" t="inlineStr">
        <is>
          <t>CHEVRON ARGENTINA S.R.L.</t>
        </is>
      </c>
      <c r="D798" t="inlineStr">
        <is>
          <t>convencional</t>
        </is>
      </c>
      <c r="E798" t="inlineStr">
        <is>
          <t>2014-05</t>
        </is>
      </c>
      <c r="F798" t="n">
        <v>73019.89999999999</v>
      </c>
      <c r="G798" t="n">
        <v>1420337.5</v>
      </c>
      <c r="H798" t="n">
        <v>1728346.5</v>
      </c>
      <c r="I798">
        <f>DAY(EOMONTH(DATE(VALUE(LEFT(E798,4)),VALUE(RIGHT(E798,2)),1),0))</f>
        <v/>
      </c>
      <c r="J798">
        <f>VALUE(LEFT(E798,4))*12+VALUE(RIGHT(E798,2))-1</f>
        <v/>
      </c>
    </row>
    <row r="799">
      <c r="A799" t="inlineStr">
        <is>
          <t>El Trapial</t>
        </is>
      </c>
      <c r="B799" t="inlineStr">
        <is>
          <t>Neuquina</t>
        </is>
      </c>
      <c r="C799" t="inlineStr">
        <is>
          <t>CHEVRON ARGENTINA S.R.L.</t>
        </is>
      </c>
      <c r="D799" t="inlineStr">
        <is>
          <t>no convencional</t>
        </is>
      </c>
      <c r="E799" t="inlineStr">
        <is>
          <t>2014-05</t>
        </is>
      </c>
      <c r="F799" t="n">
        <v>341.1</v>
      </c>
      <c r="G799" t="n">
        <v>116.7</v>
      </c>
      <c r="H799" t="n">
        <v>0</v>
      </c>
      <c r="I799">
        <f>DAY(EOMONTH(DATE(VALUE(LEFT(E799,4)),VALUE(RIGHT(E799,2)),1),0))</f>
        <v/>
      </c>
      <c r="J799">
        <f>VALUE(LEFT(E799,4))*12+VALUE(RIGHT(E799,2))-1</f>
        <v/>
      </c>
    </row>
    <row r="800">
      <c r="A800" t="inlineStr">
        <is>
          <t>El Trapial</t>
        </is>
      </c>
      <c r="B800" t="inlineStr">
        <is>
          <t>Neuquina</t>
        </is>
      </c>
      <c r="C800" t="inlineStr">
        <is>
          <t>CHEVRON ARGENTINA S.R.L.</t>
        </is>
      </c>
      <c r="D800" t="inlineStr">
        <is>
          <t>convencional</t>
        </is>
      </c>
      <c r="E800" t="inlineStr">
        <is>
          <t>2014-06</t>
        </is>
      </c>
      <c r="F800" t="n">
        <v>70116</v>
      </c>
      <c r="G800" t="n">
        <v>1383073.2</v>
      </c>
      <c r="H800" t="n">
        <v>1676237.2</v>
      </c>
      <c r="I800">
        <f>DAY(EOMONTH(DATE(VALUE(LEFT(E800,4)),VALUE(RIGHT(E800,2)),1),0))</f>
        <v/>
      </c>
      <c r="J800">
        <f>VALUE(LEFT(E800,4))*12+VALUE(RIGHT(E800,2))-1</f>
        <v/>
      </c>
    </row>
    <row r="801">
      <c r="A801" t="inlineStr">
        <is>
          <t>El Trapial</t>
        </is>
      </c>
      <c r="B801" t="inlineStr">
        <is>
          <t>Neuquina</t>
        </is>
      </c>
      <c r="C801" t="inlineStr">
        <is>
          <t>CHEVRON ARGENTINA S.R.L.</t>
        </is>
      </c>
      <c r="D801" t="inlineStr">
        <is>
          <t>no convencional</t>
        </is>
      </c>
      <c r="E801" t="inlineStr">
        <is>
          <t>2014-06</t>
        </is>
      </c>
      <c r="F801" t="n">
        <v>211.8</v>
      </c>
      <c r="G801" t="n">
        <v>249.1</v>
      </c>
      <c r="H801" t="n">
        <v>0</v>
      </c>
      <c r="I801">
        <f>DAY(EOMONTH(DATE(VALUE(LEFT(E801,4)),VALUE(RIGHT(E801,2)),1),0))</f>
        <v/>
      </c>
      <c r="J801">
        <f>VALUE(LEFT(E801,4))*12+VALUE(RIGHT(E801,2))-1</f>
        <v/>
      </c>
    </row>
    <row r="802">
      <c r="A802" t="inlineStr">
        <is>
          <t>El Trapial</t>
        </is>
      </c>
      <c r="B802" t="inlineStr">
        <is>
          <t>Neuquina</t>
        </is>
      </c>
      <c r="C802" t="inlineStr">
        <is>
          <t>CHEVRON ARGENTINA S.R.L.</t>
        </is>
      </c>
      <c r="D802" t="inlineStr">
        <is>
          <t>convencional</t>
        </is>
      </c>
      <c r="E802" t="inlineStr">
        <is>
          <t>2014-07</t>
        </is>
      </c>
      <c r="F802" t="n">
        <v>66192.3</v>
      </c>
      <c r="G802" t="n">
        <v>1391624.9</v>
      </c>
      <c r="H802" t="n">
        <v>1674917.3</v>
      </c>
      <c r="I802">
        <f>DAY(EOMONTH(DATE(VALUE(LEFT(E802,4)),VALUE(RIGHT(E802,2)),1),0))</f>
        <v/>
      </c>
      <c r="J802">
        <f>VALUE(LEFT(E802,4))*12+VALUE(RIGHT(E802,2))-1</f>
        <v/>
      </c>
    </row>
    <row r="803">
      <c r="A803" t="inlineStr">
        <is>
          <t>El Trapial</t>
        </is>
      </c>
      <c r="B803" t="inlineStr">
        <is>
          <t>Neuquina</t>
        </is>
      </c>
      <c r="C803" t="inlineStr">
        <is>
          <t>CHEVRON ARGENTINA S.R.L.</t>
        </is>
      </c>
      <c r="D803" t="inlineStr">
        <is>
          <t>no convencional</t>
        </is>
      </c>
      <c r="E803" t="inlineStr">
        <is>
          <t>2014-07</t>
        </is>
      </c>
      <c r="F803" t="n">
        <v>452.3</v>
      </c>
      <c r="G803" t="n">
        <v>498</v>
      </c>
      <c r="H803" t="n">
        <v>0</v>
      </c>
      <c r="I803">
        <f>DAY(EOMONTH(DATE(VALUE(LEFT(E803,4)),VALUE(RIGHT(E803,2)),1),0))</f>
        <v/>
      </c>
      <c r="J803">
        <f>VALUE(LEFT(E803,4))*12+VALUE(RIGHT(E803,2))-1</f>
        <v/>
      </c>
    </row>
    <row r="804">
      <c r="A804" t="inlineStr">
        <is>
          <t>El Trapial</t>
        </is>
      </c>
      <c r="B804" t="inlineStr">
        <is>
          <t>Neuquina</t>
        </is>
      </c>
      <c r="C804" t="inlineStr">
        <is>
          <t>CHEVRON ARGENTINA S.R.L.</t>
        </is>
      </c>
      <c r="D804" t="inlineStr">
        <is>
          <t>convencional</t>
        </is>
      </c>
      <c r="E804" t="inlineStr">
        <is>
          <t>2014-08</t>
        </is>
      </c>
      <c r="F804" t="n">
        <v>68998.89999999999</v>
      </c>
      <c r="G804" t="n">
        <v>1447420.7</v>
      </c>
      <c r="H804" t="n">
        <v>1731491.1</v>
      </c>
      <c r="I804">
        <f>DAY(EOMONTH(DATE(VALUE(LEFT(E804,4)),VALUE(RIGHT(E804,2)),1),0))</f>
        <v/>
      </c>
      <c r="J804">
        <f>VALUE(LEFT(E804,4))*12+VALUE(RIGHT(E804,2))-1</f>
        <v/>
      </c>
    </row>
    <row r="805">
      <c r="A805" t="inlineStr">
        <is>
          <t>El Trapial</t>
        </is>
      </c>
      <c r="B805" t="inlineStr">
        <is>
          <t>Neuquina</t>
        </is>
      </c>
      <c r="C805" t="inlineStr">
        <is>
          <t>CHEVRON ARGENTINA S.R.L.</t>
        </is>
      </c>
      <c r="D805" t="inlineStr">
        <is>
          <t>no convencional</t>
        </is>
      </c>
      <c r="E805" t="inlineStr">
        <is>
          <t>2014-08</t>
        </is>
      </c>
      <c r="F805" t="n">
        <v>367.9</v>
      </c>
      <c r="G805" t="n">
        <v>359.2</v>
      </c>
      <c r="H805" t="n">
        <v>0</v>
      </c>
      <c r="I805">
        <f>DAY(EOMONTH(DATE(VALUE(LEFT(E805,4)),VALUE(RIGHT(E805,2)),1),0))</f>
        <v/>
      </c>
      <c r="J805">
        <f>VALUE(LEFT(E805,4))*12+VALUE(RIGHT(E805,2))-1</f>
        <v/>
      </c>
    </row>
    <row r="806">
      <c r="A806" t="inlineStr">
        <is>
          <t>El Trapial</t>
        </is>
      </c>
      <c r="B806" t="inlineStr">
        <is>
          <t>Neuquina</t>
        </is>
      </c>
      <c r="C806" t="inlineStr">
        <is>
          <t>CHEVRON ARGENTINA S.R.L.</t>
        </is>
      </c>
      <c r="D806" t="inlineStr">
        <is>
          <t>convencional</t>
        </is>
      </c>
      <c r="E806" t="inlineStr">
        <is>
          <t>2014-09</t>
        </is>
      </c>
      <c r="F806" t="n">
        <v>67264.8</v>
      </c>
      <c r="G806" t="n">
        <v>1422995.8</v>
      </c>
      <c r="H806" t="n">
        <v>1678216.6</v>
      </c>
      <c r="I806">
        <f>DAY(EOMONTH(DATE(VALUE(LEFT(E806,4)),VALUE(RIGHT(E806,2)),1),0))</f>
        <v/>
      </c>
      <c r="J806">
        <f>VALUE(LEFT(E806,4))*12+VALUE(RIGHT(E806,2))-1</f>
        <v/>
      </c>
    </row>
    <row r="807">
      <c r="A807" t="inlineStr">
        <is>
          <t>El Trapial</t>
        </is>
      </c>
      <c r="B807" t="inlineStr">
        <is>
          <t>Neuquina</t>
        </is>
      </c>
      <c r="C807" t="inlineStr">
        <is>
          <t>CHEVRON ARGENTINA S.R.L.</t>
        </is>
      </c>
      <c r="D807" t="inlineStr">
        <is>
          <t>no convencional</t>
        </is>
      </c>
      <c r="E807" t="inlineStr">
        <is>
          <t>2014-09</t>
        </is>
      </c>
      <c r="F807" t="n">
        <v>276.6</v>
      </c>
      <c r="G807" t="n">
        <v>234.7</v>
      </c>
      <c r="H807" t="n">
        <v>0</v>
      </c>
      <c r="I807">
        <f>DAY(EOMONTH(DATE(VALUE(LEFT(E807,4)),VALUE(RIGHT(E807,2)),1),0))</f>
        <v/>
      </c>
      <c r="J807">
        <f>VALUE(LEFT(E807,4))*12+VALUE(RIGHT(E807,2))-1</f>
        <v/>
      </c>
    </row>
    <row r="808">
      <c r="A808" t="inlineStr">
        <is>
          <t>El Trapial</t>
        </is>
      </c>
      <c r="B808" t="inlineStr">
        <is>
          <t>Neuquina</t>
        </is>
      </c>
      <c r="C808" t="inlineStr">
        <is>
          <t>CHEVRON ARGENTINA S.R.L.</t>
        </is>
      </c>
      <c r="D808" t="inlineStr">
        <is>
          <t>convencional</t>
        </is>
      </c>
      <c r="E808" t="inlineStr">
        <is>
          <t>2014-10</t>
        </is>
      </c>
      <c r="F808" t="n">
        <v>67663.89999999999</v>
      </c>
      <c r="G808" t="n">
        <v>1494485.7</v>
      </c>
      <c r="H808" t="n">
        <v>1767945.7</v>
      </c>
      <c r="I808">
        <f>DAY(EOMONTH(DATE(VALUE(LEFT(E808,4)),VALUE(RIGHT(E808,2)),1),0))</f>
        <v/>
      </c>
      <c r="J808">
        <f>VALUE(LEFT(E808,4))*12+VALUE(RIGHT(E808,2))-1</f>
        <v/>
      </c>
    </row>
    <row r="809">
      <c r="A809" t="inlineStr">
        <is>
          <t>El Trapial</t>
        </is>
      </c>
      <c r="B809" t="inlineStr">
        <is>
          <t>Neuquina</t>
        </is>
      </c>
      <c r="C809" t="inlineStr">
        <is>
          <t>CHEVRON ARGENTINA S.R.L.</t>
        </is>
      </c>
      <c r="D809" t="inlineStr">
        <is>
          <t>no convencional</t>
        </is>
      </c>
      <c r="E809" t="inlineStr">
        <is>
          <t>2014-10</t>
        </is>
      </c>
      <c r="F809" t="n">
        <v>266.7</v>
      </c>
      <c r="G809" t="n">
        <v>348.8</v>
      </c>
      <c r="H809" t="n">
        <v>0</v>
      </c>
      <c r="I809">
        <f>DAY(EOMONTH(DATE(VALUE(LEFT(E809,4)),VALUE(RIGHT(E809,2)),1),0))</f>
        <v/>
      </c>
      <c r="J809">
        <f>VALUE(LEFT(E809,4))*12+VALUE(RIGHT(E809,2))-1</f>
        <v/>
      </c>
    </row>
    <row r="810">
      <c r="A810" t="inlineStr">
        <is>
          <t>El Trapial</t>
        </is>
      </c>
      <c r="B810" t="inlineStr">
        <is>
          <t>Neuquina</t>
        </is>
      </c>
      <c r="C810" t="inlineStr">
        <is>
          <t>CHEVRON ARGENTINA S.R.L.</t>
        </is>
      </c>
      <c r="D810" t="inlineStr">
        <is>
          <t>convencional</t>
        </is>
      </c>
      <c r="E810" t="inlineStr">
        <is>
          <t>2014-11</t>
        </is>
      </c>
      <c r="F810" t="n">
        <v>63949.7</v>
      </c>
      <c r="G810" t="n">
        <v>1462798.2</v>
      </c>
      <c r="H810" t="n">
        <v>1722855.2</v>
      </c>
      <c r="I810">
        <f>DAY(EOMONTH(DATE(VALUE(LEFT(E810,4)),VALUE(RIGHT(E810,2)),1),0))</f>
        <v/>
      </c>
      <c r="J810">
        <f>VALUE(LEFT(E810,4))*12+VALUE(RIGHT(E810,2))-1</f>
        <v/>
      </c>
    </row>
    <row r="811">
      <c r="A811" t="inlineStr">
        <is>
          <t>El Trapial</t>
        </is>
      </c>
      <c r="B811" t="inlineStr">
        <is>
          <t>Neuquina</t>
        </is>
      </c>
      <c r="C811" t="inlineStr">
        <is>
          <t>CHEVRON ARGENTINA S.R.L.</t>
        </is>
      </c>
      <c r="D811" t="inlineStr">
        <is>
          <t>no convencional</t>
        </is>
      </c>
      <c r="E811" t="inlineStr">
        <is>
          <t>2014-11</t>
        </is>
      </c>
      <c r="F811" t="n">
        <v>201.8</v>
      </c>
      <c r="G811" t="n">
        <v>290.7</v>
      </c>
      <c r="H811" t="n">
        <v>0</v>
      </c>
      <c r="I811">
        <f>DAY(EOMONTH(DATE(VALUE(LEFT(E811,4)),VALUE(RIGHT(E811,2)),1),0))</f>
        <v/>
      </c>
      <c r="J811">
        <f>VALUE(LEFT(E811,4))*12+VALUE(RIGHT(E811,2))-1</f>
        <v/>
      </c>
    </row>
    <row r="812">
      <c r="A812" t="inlineStr">
        <is>
          <t>El Trapial</t>
        </is>
      </c>
      <c r="B812" t="inlineStr">
        <is>
          <t>Neuquina</t>
        </is>
      </c>
      <c r="C812" t="inlineStr">
        <is>
          <t>CHEVRON ARGENTINA S.R.L.</t>
        </is>
      </c>
      <c r="D812" t="inlineStr">
        <is>
          <t>convencional</t>
        </is>
      </c>
      <c r="E812" t="inlineStr">
        <is>
          <t>2014-12</t>
        </is>
      </c>
      <c r="F812" t="n">
        <v>66127</v>
      </c>
      <c r="G812" t="n">
        <v>1510398.2</v>
      </c>
      <c r="H812" t="n">
        <v>1787451.9</v>
      </c>
      <c r="I812">
        <f>DAY(EOMONTH(DATE(VALUE(LEFT(E812,4)),VALUE(RIGHT(E812,2)),1),0))</f>
        <v/>
      </c>
      <c r="J812">
        <f>VALUE(LEFT(E812,4))*12+VALUE(RIGHT(E812,2))-1</f>
        <v/>
      </c>
    </row>
    <row r="813">
      <c r="A813" t="inlineStr">
        <is>
          <t>El Trapial</t>
        </is>
      </c>
      <c r="B813" t="inlineStr">
        <is>
          <t>Neuquina</t>
        </is>
      </c>
      <c r="C813" t="inlineStr">
        <is>
          <t>CHEVRON ARGENTINA S.R.L.</t>
        </is>
      </c>
      <c r="D813" t="inlineStr">
        <is>
          <t>no convencional</t>
        </is>
      </c>
      <c r="E813" t="inlineStr">
        <is>
          <t>2014-12</t>
        </is>
      </c>
      <c r="F813" t="n">
        <v>228.8</v>
      </c>
      <c r="G813" t="n">
        <v>291.9</v>
      </c>
      <c r="H813" t="n">
        <v>0</v>
      </c>
      <c r="I813">
        <f>DAY(EOMONTH(DATE(VALUE(LEFT(E813,4)),VALUE(RIGHT(E813,2)),1),0))</f>
        <v/>
      </c>
      <c r="J813">
        <f>VALUE(LEFT(E813,4))*12+VALUE(RIGHT(E813,2))-1</f>
        <v/>
      </c>
    </row>
    <row r="814">
      <c r="A814" t="inlineStr">
        <is>
          <t>El Trapial</t>
        </is>
      </c>
      <c r="B814" t="inlineStr">
        <is>
          <t>Neuquina</t>
        </is>
      </c>
      <c r="C814" t="inlineStr">
        <is>
          <t>CHEVRON ARGENTINA S.R.L.</t>
        </is>
      </c>
      <c r="D814" t="inlineStr">
        <is>
          <t>convencional</t>
        </is>
      </c>
      <c r="E814" t="inlineStr">
        <is>
          <t>2015-01</t>
        </is>
      </c>
      <c r="F814" t="n">
        <v>65297.1</v>
      </c>
      <c r="G814" t="n">
        <v>1504092.1</v>
      </c>
      <c r="H814" t="n">
        <v>1772201.5</v>
      </c>
      <c r="I814">
        <f>DAY(EOMONTH(DATE(VALUE(LEFT(E814,4)),VALUE(RIGHT(E814,2)),1),0))</f>
        <v/>
      </c>
      <c r="J814">
        <f>VALUE(LEFT(E814,4))*12+VALUE(RIGHT(E814,2))-1</f>
        <v/>
      </c>
    </row>
    <row r="815">
      <c r="A815" t="inlineStr">
        <is>
          <t>El Trapial</t>
        </is>
      </c>
      <c r="B815" t="inlineStr">
        <is>
          <t>Neuquina</t>
        </is>
      </c>
      <c r="C815" t="inlineStr">
        <is>
          <t>CHEVRON ARGENTINA S.R.L.</t>
        </is>
      </c>
      <c r="D815" t="inlineStr">
        <is>
          <t>no convencional</t>
        </is>
      </c>
      <c r="E815" t="inlineStr">
        <is>
          <t>2015-01</t>
        </is>
      </c>
      <c r="F815" t="n">
        <v>221.6</v>
      </c>
      <c r="G815" t="n">
        <v>170.8</v>
      </c>
      <c r="H815" t="n">
        <v>0</v>
      </c>
      <c r="I815">
        <f>DAY(EOMONTH(DATE(VALUE(LEFT(E815,4)),VALUE(RIGHT(E815,2)),1),0))</f>
        <v/>
      </c>
      <c r="J815">
        <f>VALUE(LEFT(E815,4))*12+VALUE(RIGHT(E815,2))-1</f>
        <v/>
      </c>
    </row>
    <row r="816">
      <c r="A816" t="inlineStr">
        <is>
          <t>El Trapial</t>
        </is>
      </c>
      <c r="B816" t="inlineStr">
        <is>
          <t>Neuquina</t>
        </is>
      </c>
      <c r="C816" t="inlineStr">
        <is>
          <t>CHEVRON ARGENTINA S.R.L.</t>
        </is>
      </c>
      <c r="D816" t="inlineStr">
        <is>
          <t>convencional</t>
        </is>
      </c>
      <c r="E816" t="inlineStr">
        <is>
          <t>2015-02</t>
        </is>
      </c>
      <c r="F816" t="n">
        <v>57143.5</v>
      </c>
      <c r="G816" t="n">
        <v>1337559.7</v>
      </c>
      <c r="H816" t="n">
        <v>2743165.4</v>
      </c>
      <c r="I816">
        <f>DAY(EOMONTH(DATE(VALUE(LEFT(E816,4)),VALUE(RIGHT(E816,2)),1),0))</f>
        <v/>
      </c>
      <c r="J816">
        <f>VALUE(LEFT(E816,4))*12+VALUE(RIGHT(E816,2))-1</f>
        <v/>
      </c>
    </row>
    <row r="817">
      <c r="A817" t="inlineStr">
        <is>
          <t>El Trapial</t>
        </is>
      </c>
      <c r="B817" t="inlineStr">
        <is>
          <t>Neuquina</t>
        </is>
      </c>
      <c r="C817" t="inlineStr">
        <is>
          <t>CHEVRON ARGENTINA S.R.L.</t>
        </is>
      </c>
      <c r="D817" t="inlineStr">
        <is>
          <t>no convencional</t>
        </is>
      </c>
      <c r="E817" t="inlineStr">
        <is>
          <t>2015-02</t>
        </is>
      </c>
      <c r="F817" t="n">
        <v>168.7</v>
      </c>
      <c r="G817" t="n">
        <v>96.2</v>
      </c>
      <c r="H817" t="n">
        <v>0</v>
      </c>
      <c r="I817">
        <f>DAY(EOMONTH(DATE(VALUE(LEFT(E817,4)),VALUE(RIGHT(E817,2)),1),0))</f>
        <v/>
      </c>
      <c r="J817">
        <f>VALUE(LEFT(E817,4))*12+VALUE(RIGHT(E817,2))-1</f>
        <v/>
      </c>
    </row>
    <row r="818">
      <c r="A818" t="inlineStr">
        <is>
          <t>El Trapial</t>
        </is>
      </c>
      <c r="B818" t="inlineStr">
        <is>
          <t>Neuquina</t>
        </is>
      </c>
      <c r="C818" t="inlineStr">
        <is>
          <t>CHEVRON ARGENTINA S.R.L.</t>
        </is>
      </c>
      <c r="D818" t="inlineStr">
        <is>
          <t>convencional</t>
        </is>
      </c>
      <c r="E818" t="inlineStr">
        <is>
          <t>2015-03</t>
        </is>
      </c>
      <c r="F818" t="n">
        <v>63587.5</v>
      </c>
      <c r="G818" t="n">
        <v>1490289</v>
      </c>
      <c r="H818" t="n">
        <v>1837970.3</v>
      </c>
      <c r="I818">
        <f>DAY(EOMONTH(DATE(VALUE(LEFT(E818,4)),VALUE(RIGHT(E818,2)),1),0))</f>
        <v/>
      </c>
      <c r="J818">
        <f>VALUE(LEFT(E818,4))*12+VALUE(RIGHT(E818,2))-1</f>
        <v/>
      </c>
    </row>
    <row r="819">
      <c r="A819" t="inlineStr">
        <is>
          <t>El Trapial</t>
        </is>
      </c>
      <c r="B819" t="inlineStr">
        <is>
          <t>Neuquina</t>
        </is>
      </c>
      <c r="C819" t="inlineStr">
        <is>
          <t>CHEVRON ARGENTINA S.R.L.</t>
        </is>
      </c>
      <c r="D819" t="inlineStr">
        <is>
          <t>no convencional</t>
        </is>
      </c>
      <c r="E819" t="inlineStr">
        <is>
          <t>2015-03</t>
        </is>
      </c>
      <c r="F819" t="n">
        <v>129.7</v>
      </c>
      <c r="G819" t="n">
        <v>81.2</v>
      </c>
      <c r="H819" t="n">
        <v>0</v>
      </c>
      <c r="I819">
        <f>DAY(EOMONTH(DATE(VALUE(LEFT(E819,4)),VALUE(RIGHT(E819,2)),1),0))</f>
        <v/>
      </c>
      <c r="J819">
        <f>VALUE(LEFT(E819,4))*12+VALUE(RIGHT(E819,2))-1</f>
        <v/>
      </c>
    </row>
    <row r="820">
      <c r="A820" t="inlineStr">
        <is>
          <t>El Trapial</t>
        </is>
      </c>
      <c r="B820" t="inlineStr">
        <is>
          <t>Neuquina</t>
        </is>
      </c>
      <c r="C820" t="inlineStr">
        <is>
          <t>CHEVRON ARGENTINA S.R.L.</t>
        </is>
      </c>
      <c r="D820" t="inlineStr">
        <is>
          <t>convencional</t>
        </is>
      </c>
      <c r="E820" t="inlineStr">
        <is>
          <t>2015-04</t>
        </is>
      </c>
      <c r="F820" t="n">
        <v>60080.4</v>
      </c>
      <c r="G820" t="n">
        <v>1438749.4</v>
      </c>
      <c r="H820" t="n">
        <v>1773442</v>
      </c>
      <c r="I820">
        <f>DAY(EOMONTH(DATE(VALUE(LEFT(E820,4)),VALUE(RIGHT(E820,2)),1),0))</f>
        <v/>
      </c>
      <c r="J820">
        <f>VALUE(LEFT(E820,4))*12+VALUE(RIGHT(E820,2))-1</f>
        <v/>
      </c>
    </row>
    <row r="821">
      <c r="A821" t="inlineStr">
        <is>
          <t>El Trapial</t>
        </is>
      </c>
      <c r="B821" t="inlineStr">
        <is>
          <t>Neuquina</t>
        </is>
      </c>
      <c r="C821" t="inlineStr">
        <is>
          <t>CHEVRON ARGENTINA S.R.L.</t>
        </is>
      </c>
      <c r="D821" t="inlineStr">
        <is>
          <t>no convencional</t>
        </is>
      </c>
      <c r="E821" t="inlineStr">
        <is>
          <t>2015-04</t>
        </is>
      </c>
      <c r="F821" t="n">
        <v>135.6</v>
      </c>
      <c r="G821" t="n">
        <v>76.8</v>
      </c>
      <c r="H821" t="n">
        <v>0</v>
      </c>
      <c r="I821">
        <f>DAY(EOMONTH(DATE(VALUE(LEFT(E821,4)),VALUE(RIGHT(E821,2)),1),0))</f>
        <v/>
      </c>
      <c r="J821">
        <f>VALUE(LEFT(E821,4))*12+VALUE(RIGHT(E821,2))-1</f>
        <v/>
      </c>
    </row>
    <row r="822">
      <c r="A822" t="inlineStr">
        <is>
          <t>El Trapial</t>
        </is>
      </c>
      <c r="B822" t="inlineStr">
        <is>
          <t>Neuquina</t>
        </is>
      </c>
      <c r="C822" t="inlineStr">
        <is>
          <t>CHEVRON ARGENTINA S.R.L.</t>
        </is>
      </c>
      <c r="D822" t="inlineStr">
        <is>
          <t>convencional</t>
        </is>
      </c>
      <c r="E822" t="inlineStr">
        <is>
          <t>2015-05</t>
        </is>
      </c>
      <c r="F822" t="n">
        <v>61611.9</v>
      </c>
      <c r="G822" t="n">
        <v>1489634.6</v>
      </c>
      <c r="H822" t="n">
        <v>1835031.8</v>
      </c>
      <c r="I822">
        <f>DAY(EOMONTH(DATE(VALUE(LEFT(E822,4)),VALUE(RIGHT(E822,2)),1),0))</f>
        <v/>
      </c>
      <c r="J822">
        <f>VALUE(LEFT(E822,4))*12+VALUE(RIGHT(E822,2))-1</f>
        <v/>
      </c>
    </row>
    <row r="823">
      <c r="A823" t="inlineStr">
        <is>
          <t>El Trapial</t>
        </is>
      </c>
      <c r="B823" t="inlineStr">
        <is>
          <t>Neuquina</t>
        </is>
      </c>
      <c r="C823" t="inlineStr">
        <is>
          <t>CHEVRON ARGENTINA S.R.L.</t>
        </is>
      </c>
      <c r="D823" t="inlineStr">
        <is>
          <t>no convencional</t>
        </is>
      </c>
      <c r="E823" t="inlineStr">
        <is>
          <t>2015-05</t>
        </is>
      </c>
      <c r="F823" t="n">
        <v>139.5</v>
      </c>
      <c r="G823" t="n">
        <v>77.5</v>
      </c>
      <c r="H823" t="n">
        <v>0</v>
      </c>
      <c r="I823">
        <f>DAY(EOMONTH(DATE(VALUE(LEFT(E823,4)),VALUE(RIGHT(E823,2)),1),0))</f>
        <v/>
      </c>
      <c r="J823">
        <f>VALUE(LEFT(E823,4))*12+VALUE(RIGHT(E823,2))-1</f>
        <v/>
      </c>
    </row>
    <row r="824">
      <c r="A824" t="inlineStr">
        <is>
          <t>El Trapial</t>
        </is>
      </c>
      <c r="B824" t="inlineStr">
        <is>
          <t>Neuquina</t>
        </is>
      </c>
      <c r="C824" t="inlineStr">
        <is>
          <t>CHEVRON ARGENTINA S.R.L.</t>
        </is>
      </c>
      <c r="D824" t="inlineStr">
        <is>
          <t>convencional</t>
        </is>
      </c>
      <c r="E824" t="inlineStr">
        <is>
          <t>2015-06</t>
        </is>
      </c>
      <c r="F824" t="n">
        <v>58313.8</v>
      </c>
      <c r="G824" t="n">
        <v>1447512.2</v>
      </c>
      <c r="H824" t="n">
        <v>1655265.8</v>
      </c>
      <c r="I824">
        <f>DAY(EOMONTH(DATE(VALUE(LEFT(E824,4)),VALUE(RIGHT(E824,2)),1),0))</f>
        <v/>
      </c>
      <c r="J824">
        <f>VALUE(LEFT(E824,4))*12+VALUE(RIGHT(E824,2))-1</f>
        <v/>
      </c>
    </row>
    <row r="825">
      <c r="A825" t="inlineStr">
        <is>
          <t>El Trapial</t>
        </is>
      </c>
      <c r="B825" t="inlineStr">
        <is>
          <t>Neuquina</t>
        </is>
      </c>
      <c r="C825" t="inlineStr">
        <is>
          <t>CHEVRON ARGENTINA S.R.L.</t>
        </is>
      </c>
      <c r="D825" t="inlineStr">
        <is>
          <t>no convencional</t>
        </is>
      </c>
      <c r="E825" t="inlineStr">
        <is>
          <t>2015-06</t>
        </is>
      </c>
      <c r="F825" t="n">
        <v>223.8</v>
      </c>
      <c r="G825" t="n">
        <v>127.5</v>
      </c>
      <c r="H825" t="n">
        <v>0</v>
      </c>
      <c r="I825">
        <f>DAY(EOMONTH(DATE(VALUE(LEFT(E825,4)),VALUE(RIGHT(E825,2)),1),0))</f>
        <v/>
      </c>
      <c r="J825">
        <f>VALUE(LEFT(E825,4))*12+VALUE(RIGHT(E825,2))-1</f>
        <v/>
      </c>
    </row>
    <row r="826">
      <c r="A826" t="inlineStr">
        <is>
          <t>El Trapial</t>
        </is>
      </c>
      <c r="B826" t="inlineStr">
        <is>
          <t>Neuquina</t>
        </is>
      </c>
      <c r="C826" t="inlineStr">
        <is>
          <t>CHEVRON ARGENTINA S.R.L.</t>
        </is>
      </c>
      <c r="D826" t="inlineStr">
        <is>
          <t>convencional</t>
        </is>
      </c>
      <c r="E826" t="inlineStr">
        <is>
          <t>2015-07</t>
        </is>
      </c>
      <c r="F826" t="n">
        <v>58125.3</v>
      </c>
      <c r="G826" t="n">
        <v>1517094.5</v>
      </c>
      <c r="H826" t="n">
        <v>1729344.5</v>
      </c>
      <c r="I826">
        <f>DAY(EOMONTH(DATE(VALUE(LEFT(E826,4)),VALUE(RIGHT(E826,2)),1),0))</f>
        <v/>
      </c>
      <c r="J826">
        <f>VALUE(LEFT(E826,4))*12+VALUE(RIGHT(E826,2))-1</f>
        <v/>
      </c>
    </row>
    <row r="827">
      <c r="A827" t="inlineStr">
        <is>
          <t>El Trapial</t>
        </is>
      </c>
      <c r="B827" t="inlineStr">
        <is>
          <t>Neuquina</t>
        </is>
      </c>
      <c r="C827" t="inlineStr">
        <is>
          <t>CHEVRON ARGENTINA S.R.L.</t>
        </is>
      </c>
      <c r="D827" t="inlineStr">
        <is>
          <t>no convencional</t>
        </is>
      </c>
      <c r="E827" t="inlineStr">
        <is>
          <t>2015-07</t>
        </is>
      </c>
      <c r="F827" t="n">
        <v>184.7</v>
      </c>
      <c r="G827" t="n">
        <v>165.1</v>
      </c>
      <c r="H827" t="n">
        <v>0</v>
      </c>
      <c r="I827">
        <f>DAY(EOMONTH(DATE(VALUE(LEFT(E827,4)),VALUE(RIGHT(E827,2)),1),0))</f>
        <v/>
      </c>
      <c r="J827">
        <f>VALUE(LEFT(E827,4))*12+VALUE(RIGHT(E827,2))-1</f>
        <v/>
      </c>
    </row>
    <row r="828">
      <c r="A828" t="inlineStr">
        <is>
          <t>El Trapial</t>
        </is>
      </c>
      <c r="B828" t="inlineStr">
        <is>
          <t>Neuquina</t>
        </is>
      </c>
      <c r="C828" t="inlineStr">
        <is>
          <t>CHEVRON ARGENTINA S.R.L.</t>
        </is>
      </c>
      <c r="D828" t="inlineStr">
        <is>
          <t>convencional</t>
        </is>
      </c>
      <c r="E828" t="inlineStr">
        <is>
          <t>2015-08</t>
        </is>
      </c>
      <c r="F828" t="n">
        <v>58319.9</v>
      </c>
      <c r="G828" t="n">
        <v>1518572.6</v>
      </c>
      <c r="H828" t="n">
        <v>1715930.7</v>
      </c>
      <c r="I828">
        <f>DAY(EOMONTH(DATE(VALUE(LEFT(E828,4)),VALUE(RIGHT(E828,2)),1),0))</f>
        <v/>
      </c>
      <c r="J828">
        <f>VALUE(LEFT(E828,4))*12+VALUE(RIGHT(E828,2))-1</f>
        <v/>
      </c>
    </row>
    <row r="829">
      <c r="A829" t="inlineStr">
        <is>
          <t>El Trapial</t>
        </is>
      </c>
      <c r="B829" t="inlineStr">
        <is>
          <t>Neuquina</t>
        </is>
      </c>
      <c r="C829" t="inlineStr">
        <is>
          <t>CHEVRON ARGENTINA S.R.L.</t>
        </is>
      </c>
      <c r="D829" t="inlineStr">
        <is>
          <t>no convencional</t>
        </is>
      </c>
      <c r="E829" t="inlineStr">
        <is>
          <t>2015-08</t>
        </is>
      </c>
      <c r="F829" t="n">
        <v>147.1</v>
      </c>
      <c r="G829" t="n">
        <v>220.5</v>
      </c>
      <c r="H829" t="n">
        <v>0</v>
      </c>
      <c r="I829">
        <f>DAY(EOMONTH(DATE(VALUE(LEFT(E829,4)),VALUE(RIGHT(E829,2)),1),0))</f>
        <v/>
      </c>
      <c r="J829">
        <f>VALUE(LEFT(E829,4))*12+VALUE(RIGHT(E829,2))-1</f>
        <v/>
      </c>
    </row>
    <row r="830">
      <c r="A830" t="inlineStr">
        <is>
          <t>El Trapial</t>
        </is>
      </c>
      <c r="B830" t="inlineStr">
        <is>
          <t>Neuquina</t>
        </is>
      </c>
      <c r="C830" t="inlineStr">
        <is>
          <t>CHEVRON ARGENTINA S.R.L.</t>
        </is>
      </c>
      <c r="D830" t="inlineStr">
        <is>
          <t>convencional</t>
        </is>
      </c>
      <c r="E830" t="inlineStr">
        <is>
          <t>2015-09</t>
        </is>
      </c>
      <c r="F830" t="n">
        <v>55016.9</v>
      </c>
      <c r="G830" t="n">
        <v>1481345</v>
      </c>
      <c r="H830" t="n">
        <v>1667958.6</v>
      </c>
      <c r="I830">
        <f>DAY(EOMONTH(DATE(VALUE(LEFT(E830,4)),VALUE(RIGHT(E830,2)),1),0))</f>
        <v/>
      </c>
      <c r="J830">
        <f>VALUE(LEFT(E830,4))*12+VALUE(RIGHT(E830,2))-1</f>
        <v/>
      </c>
    </row>
    <row r="831">
      <c r="A831" t="inlineStr">
        <is>
          <t>El Trapial</t>
        </is>
      </c>
      <c r="B831" t="inlineStr">
        <is>
          <t>Neuquina</t>
        </is>
      </c>
      <c r="C831" t="inlineStr">
        <is>
          <t>CHEVRON ARGENTINA S.R.L.</t>
        </is>
      </c>
      <c r="D831" t="inlineStr">
        <is>
          <t>no convencional</t>
        </is>
      </c>
      <c r="E831" t="inlineStr">
        <is>
          <t>2015-09</t>
        </is>
      </c>
      <c r="F831" t="n">
        <v>109.1</v>
      </c>
      <c r="G831" t="n">
        <v>160.2</v>
      </c>
      <c r="H831" t="n">
        <v>0</v>
      </c>
      <c r="I831">
        <f>DAY(EOMONTH(DATE(VALUE(LEFT(E831,4)),VALUE(RIGHT(E831,2)),1),0))</f>
        <v/>
      </c>
      <c r="J831">
        <f>VALUE(LEFT(E831,4))*12+VALUE(RIGHT(E831,2))-1</f>
        <v/>
      </c>
    </row>
    <row r="832">
      <c r="A832" t="inlineStr">
        <is>
          <t>El Trapial</t>
        </is>
      </c>
      <c r="B832" t="inlineStr">
        <is>
          <t>Neuquina</t>
        </is>
      </c>
      <c r="C832" t="inlineStr">
        <is>
          <t>CHEVRON ARGENTINA S.R.L.</t>
        </is>
      </c>
      <c r="D832" t="inlineStr">
        <is>
          <t>convencional</t>
        </is>
      </c>
      <c r="E832" t="inlineStr">
        <is>
          <t>2015-10</t>
        </is>
      </c>
      <c r="F832" t="n">
        <v>56209.5</v>
      </c>
      <c r="G832" t="n">
        <v>1512802.5</v>
      </c>
      <c r="H832" t="n">
        <v>1710245.8</v>
      </c>
      <c r="I832">
        <f>DAY(EOMONTH(DATE(VALUE(LEFT(E832,4)),VALUE(RIGHT(E832,2)),1),0))</f>
        <v/>
      </c>
      <c r="J832">
        <f>VALUE(LEFT(E832,4))*12+VALUE(RIGHT(E832,2))-1</f>
        <v/>
      </c>
    </row>
    <row r="833">
      <c r="A833" t="inlineStr">
        <is>
          <t>El Trapial</t>
        </is>
      </c>
      <c r="B833" t="inlineStr">
        <is>
          <t>Neuquina</t>
        </is>
      </c>
      <c r="C833" t="inlineStr">
        <is>
          <t>CHEVRON ARGENTINA S.R.L.</t>
        </is>
      </c>
      <c r="D833" t="inlineStr">
        <is>
          <t>no convencional</t>
        </is>
      </c>
      <c r="E833" t="inlineStr">
        <is>
          <t>2015-10</t>
        </is>
      </c>
      <c r="F833" t="n">
        <v>139.5</v>
      </c>
      <c r="G833" t="n">
        <v>158.2</v>
      </c>
      <c r="H833" t="n">
        <v>0</v>
      </c>
      <c r="I833">
        <f>DAY(EOMONTH(DATE(VALUE(LEFT(E833,4)),VALUE(RIGHT(E833,2)),1),0))</f>
        <v/>
      </c>
      <c r="J833">
        <f>VALUE(LEFT(E833,4))*12+VALUE(RIGHT(E833,2))-1</f>
        <v/>
      </c>
    </row>
    <row r="834">
      <c r="A834" t="inlineStr">
        <is>
          <t>El Trapial</t>
        </is>
      </c>
      <c r="B834" t="inlineStr">
        <is>
          <t>Neuquina</t>
        </is>
      </c>
      <c r="C834" t="inlineStr">
        <is>
          <t>CHEVRON ARGENTINA S.R.L.</t>
        </is>
      </c>
      <c r="D834" t="inlineStr">
        <is>
          <t>convencional</t>
        </is>
      </c>
      <c r="E834" t="inlineStr">
        <is>
          <t>2015-11</t>
        </is>
      </c>
      <c r="F834" t="n">
        <v>52873.3</v>
      </c>
      <c r="G834" t="n">
        <v>1449634.5</v>
      </c>
      <c r="H834" t="n">
        <v>1617774.9</v>
      </c>
      <c r="I834">
        <f>DAY(EOMONTH(DATE(VALUE(LEFT(E834,4)),VALUE(RIGHT(E834,2)),1),0))</f>
        <v/>
      </c>
      <c r="J834">
        <f>VALUE(LEFT(E834,4))*12+VALUE(RIGHT(E834,2))-1</f>
        <v/>
      </c>
    </row>
    <row r="835">
      <c r="A835" t="inlineStr">
        <is>
          <t>El Trapial</t>
        </is>
      </c>
      <c r="B835" t="inlineStr">
        <is>
          <t>Neuquina</t>
        </is>
      </c>
      <c r="C835" t="inlineStr">
        <is>
          <t>CHEVRON ARGENTINA S.R.L.</t>
        </is>
      </c>
      <c r="D835" t="inlineStr">
        <is>
          <t>no convencional</t>
        </is>
      </c>
      <c r="E835" t="inlineStr">
        <is>
          <t>2015-11</t>
        </is>
      </c>
      <c r="F835" t="n">
        <v>90.7</v>
      </c>
      <c r="G835" t="n">
        <v>148.8</v>
      </c>
      <c r="H835" t="n">
        <v>0</v>
      </c>
      <c r="I835">
        <f>DAY(EOMONTH(DATE(VALUE(LEFT(E835,4)),VALUE(RIGHT(E835,2)),1),0))</f>
        <v/>
      </c>
      <c r="J835">
        <f>VALUE(LEFT(E835,4))*12+VALUE(RIGHT(E835,2))-1</f>
        <v/>
      </c>
    </row>
    <row r="836">
      <c r="A836" t="inlineStr">
        <is>
          <t>El Trapial</t>
        </is>
      </c>
      <c r="B836" t="inlineStr">
        <is>
          <t>Neuquina</t>
        </is>
      </c>
      <c r="C836" t="inlineStr">
        <is>
          <t>CHEVRON ARGENTINA S.R.L.</t>
        </is>
      </c>
      <c r="D836" t="inlineStr">
        <is>
          <t>convencional</t>
        </is>
      </c>
      <c r="E836" t="inlineStr">
        <is>
          <t>2015-12</t>
        </is>
      </c>
      <c r="F836" t="n">
        <v>53184.6</v>
      </c>
      <c r="G836" t="n">
        <v>1497871.7</v>
      </c>
      <c r="H836" t="n">
        <v>1679808.6</v>
      </c>
      <c r="I836">
        <f>DAY(EOMONTH(DATE(VALUE(LEFT(E836,4)),VALUE(RIGHT(E836,2)),1),0))</f>
        <v/>
      </c>
      <c r="J836">
        <f>VALUE(LEFT(E836,4))*12+VALUE(RIGHT(E836,2))-1</f>
        <v/>
      </c>
    </row>
    <row r="837">
      <c r="A837" t="inlineStr">
        <is>
          <t>El Trapial</t>
        </is>
      </c>
      <c r="B837" t="inlineStr">
        <is>
          <t>Neuquina</t>
        </is>
      </c>
      <c r="C837" t="inlineStr">
        <is>
          <t>CHEVRON ARGENTINA S.R.L.</t>
        </is>
      </c>
      <c r="D837" t="inlineStr">
        <is>
          <t>no convencional</t>
        </is>
      </c>
      <c r="E837" t="inlineStr">
        <is>
          <t>2015-12</t>
        </is>
      </c>
      <c r="F837" t="n">
        <v>73.3</v>
      </c>
      <c r="G837" t="n">
        <v>123.7</v>
      </c>
      <c r="H837" t="n">
        <v>0</v>
      </c>
      <c r="I837">
        <f>DAY(EOMONTH(DATE(VALUE(LEFT(E837,4)),VALUE(RIGHT(E837,2)),1),0))</f>
        <v/>
      </c>
      <c r="J837">
        <f>VALUE(LEFT(E837,4))*12+VALUE(RIGHT(E837,2))-1</f>
        <v/>
      </c>
    </row>
    <row r="838">
      <c r="A838" t="inlineStr">
        <is>
          <t>El Trapial</t>
        </is>
      </c>
      <c r="B838" t="inlineStr">
        <is>
          <t>Neuquina</t>
        </is>
      </c>
      <c r="C838" t="inlineStr">
        <is>
          <t>CHEVRON ARGENTINA S.R.L.</t>
        </is>
      </c>
      <c r="D838" t="inlineStr">
        <is>
          <t>convencional</t>
        </is>
      </c>
      <c r="E838" t="inlineStr">
        <is>
          <t>2016-01</t>
        </is>
      </c>
      <c r="F838" t="n">
        <v>52007.3</v>
      </c>
      <c r="G838" t="n">
        <v>1460407.6</v>
      </c>
      <c r="H838" t="n">
        <v>1642416.6</v>
      </c>
      <c r="I838">
        <f>DAY(EOMONTH(DATE(VALUE(LEFT(E838,4)),VALUE(RIGHT(E838,2)),1),0))</f>
        <v/>
      </c>
      <c r="J838">
        <f>VALUE(LEFT(E838,4))*12+VALUE(RIGHT(E838,2))-1</f>
        <v/>
      </c>
    </row>
    <row r="839">
      <c r="A839" t="inlineStr">
        <is>
          <t>El Trapial</t>
        </is>
      </c>
      <c r="B839" t="inlineStr">
        <is>
          <t>Neuquina</t>
        </is>
      </c>
      <c r="C839" t="inlineStr">
        <is>
          <t>CHEVRON ARGENTINA S.R.L.</t>
        </is>
      </c>
      <c r="D839" t="inlineStr">
        <is>
          <t>no convencional</t>
        </is>
      </c>
      <c r="E839" t="inlineStr">
        <is>
          <t>2016-01</t>
        </is>
      </c>
      <c r="F839" t="n">
        <v>19.8</v>
      </c>
      <c r="G839" t="n">
        <v>0</v>
      </c>
      <c r="H839" t="n">
        <v>0</v>
      </c>
      <c r="I839">
        <f>DAY(EOMONTH(DATE(VALUE(LEFT(E839,4)),VALUE(RIGHT(E839,2)),1),0))</f>
        <v/>
      </c>
      <c r="J839">
        <f>VALUE(LEFT(E839,4))*12+VALUE(RIGHT(E839,2))-1</f>
        <v/>
      </c>
    </row>
    <row r="840">
      <c r="A840" t="inlineStr">
        <is>
          <t>El Trapial</t>
        </is>
      </c>
      <c r="B840" t="inlineStr">
        <is>
          <t>Neuquina</t>
        </is>
      </c>
      <c r="C840" t="inlineStr">
        <is>
          <t>CHEVRON ARGENTINA S.R.L.</t>
        </is>
      </c>
      <c r="D840" t="inlineStr">
        <is>
          <t>convencional</t>
        </is>
      </c>
      <c r="E840" t="inlineStr">
        <is>
          <t>2016-02</t>
        </is>
      </c>
      <c r="F840" t="n">
        <v>47561.9</v>
      </c>
      <c r="G840" t="n">
        <v>1376252.9</v>
      </c>
      <c r="H840" t="n">
        <v>1486569.3</v>
      </c>
      <c r="I840">
        <f>DAY(EOMONTH(DATE(VALUE(LEFT(E840,4)),VALUE(RIGHT(E840,2)),1),0))</f>
        <v/>
      </c>
      <c r="J840">
        <f>VALUE(LEFT(E840,4))*12+VALUE(RIGHT(E840,2))-1</f>
        <v/>
      </c>
    </row>
    <row r="841">
      <c r="A841" t="inlineStr">
        <is>
          <t>El Trapial</t>
        </is>
      </c>
      <c r="B841" t="inlineStr">
        <is>
          <t>Neuquina</t>
        </is>
      </c>
      <c r="C841" t="inlineStr">
        <is>
          <t>CHEVRON ARGENTINA S.R.L.</t>
        </is>
      </c>
      <c r="D841" t="inlineStr">
        <is>
          <t>no convencional</t>
        </is>
      </c>
      <c r="E841" t="inlineStr">
        <is>
          <t>2016-02</t>
        </is>
      </c>
      <c r="F841" t="n">
        <v>44.1</v>
      </c>
      <c r="G841" t="n">
        <v>0</v>
      </c>
      <c r="H841" t="n">
        <v>0</v>
      </c>
      <c r="I841">
        <f>DAY(EOMONTH(DATE(VALUE(LEFT(E841,4)),VALUE(RIGHT(E841,2)),1),0))</f>
        <v/>
      </c>
      <c r="J841">
        <f>VALUE(LEFT(E841,4))*12+VALUE(RIGHT(E841,2))-1</f>
        <v/>
      </c>
    </row>
    <row r="842">
      <c r="A842" t="inlineStr">
        <is>
          <t>El Trapial</t>
        </is>
      </c>
      <c r="B842" t="inlineStr">
        <is>
          <t>Neuquina</t>
        </is>
      </c>
      <c r="C842" t="inlineStr">
        <is>
          <t>CHEVRON ARGENTINA S.R.L.</t>
        </is>
      </c>
      <c r="D842" t="inlineStr">
        <is>
          <t>convencional</t>
        </is>
      </c>
      <c r="E842" t="inlineStr">
        <is>
          <t>2016-03</t>
        </is>
      </c>
      <c r="F842" t="n">
        <v>48937.8</v>
      </c>
      <c r="G842" t="n">
        <v>1424280</v>
      </c>
      <c r="H842" t="n">
        <v>1481857.6</v>
      </c>
      <c r="I842">
        <f>DAY(EOMONTH(DATE(VALUE(LEFT(E842,4)),VALUE(RIGHT(E842,2)),1),0))</f>
        <v/>
      </c>
      <c r="J842">
        <f>VALUE(LEFT(E842,4))*12+VALUE(RIGHT(E842,2))-1</f>
        <v/>
      </c>
    </row>
    <row r="843">
      <c r="A843" t="inlineStr">
        <is>
          <t>El Trapial</t>
        </is>
      </c>
      <c r="B843" t="inlineStr">
        <is>
          <t>Neuquina</t>
        </is>
      </c>
      <c r="C843" t="inlineStr">
        <is>
          <t>CHEVRON ARGENTINA S.R.L.</t>
        </is>
      </c>
      <c r="D843" t="inlineStr">
        <is>
          <t>no convencional</t>
        </is>
      </c>
      <c r="E843" t="inlineStr">
        <is>
          <t>2016-03</t>
        </is>
      </c>
      <c r="F843" t="n">
        <v>47.1</v>
      </c>
      <c r="G843" t="n">
        <v>0</v>
      </c>
      <c r="H843" t="n">
        <v>0</v>
      </c>
      <c r="I843">
        <f>DAY(EOMONTH(DATE(VALUE(LEFT(E843,4)),VALUE(RIGHT(E843,2)),1),0))</f>
        <v/>
      </c>
      <c r="J843">
        <f>VALUE(LEFT(E843,4))*12+VALUE(RIGHT(E843,2))-1</f>
        <v/>
      </c>
    </row>
    <row r="844">
      <c r="A844" t="inlineStr">
        <is>
          <t>El Trapial</t>
        </is>
      </c>
      <c r="B844" t="inlineStr">
        <is>
          <t>Neuquina</t>
        </is>
      </c>
      <c r="C844" t="inlineStr">
        <is>
          <t>CHEVRON ARGENTINA S.R.L.</t>
        </is>
      </c>
      <c r="D844" t="inlineStr">
        <is>
          <t>convencional</t>
        </is>
      </c>
      <c r="E844" t="inlineStr">
        <is>
          <t>2016-04</t>
        </is>
      </c>
      <c r="F844" t="n">
        <v>44490.6</v>
      </c>
      <c r="G844" t="n">
        <v>1310860</v>
      </c>
      <c r="H844" t="n">
        <v>1369639.5</v>
      </c>
      <c r="I844">
        <f>DAY(EOMONTH(DATE(VALUE(LEFT(E844,4)),VALUE(RIGHT(E844,2)),1),0))</f>
        <v/>
      </c>
      <c r="J844">
        <f>VALUE(LEFT(E844,4))*12+VALUE(RIGHT(E844,2))-1</f>
        <v/>
      </c>
    </row>
    <row r="845">
      <c r="A845" t="inlineStr">
        <is>
          <t>El Trapial</t>
        </is>
      </c>
      <c r="B845" t="inlineStr">
        <is>
          <t>Neuquina</t>
        </is>
      </c>
      <c r="C845" t="inlineStr">
        <is>
          <t>CHEVRON ARGENTINA S.R.L.</t>
        </is>
      </c>
      <c r="D845" t="inlineStr">
        <is>
          <t>no convencional</t>
        </is>
      </c>
      <c r="E845" t="inlineStr">
        <is>
          <t>2016-04</t>
        </is>
      </c>
      <c r="F845" t="n">
        <v>67.40000000000001</v>
      </c>
      <c r="G845" t="n">
        <v>27.3</v>
      </c>
      <c r="H845" t="n">
        <v>0</v>
      </c>
      <c r="I845">
        <f>DAY(EOMONTH(DATE(VALUE(LEFT(E845,4)),VALUE(RIGHT(E845,2)),1),0))</f>
        <v/>
      </c>
      <c r="J845">
        <f>VALUE(LEFT(E845,4))*12+VALUE(RIGHT(E845,2))-1</f>
        <v/>
      </c>
    </row>
    <row r="846">
      <c r="A846" t="inlineStr">
        <is>
          <t>El Trapial</t>
        </is>
      </c>
      <c r="B846" t="inlineStr">
        <is>
          <t>Neuquina</t>
        </is>
      </c>
      <c r="C846" t="inlineStr">
        <is>
          <t>CHEVRON ARGENTINA S.R.L.</t>
        </is>
      </c>
      <c r="D846" t="inlineStr">
        <is>
          <t>convencional</t>
        </is>
      </c>
      <c r="E846" t="inlineStr">
        <is>
          <t>2016-05</t>
        </is>
      </c>
      <c r="F846" t="n">
        <v>43070.1</v>
      </c>
      <c r="G846" t="n">
        <v>1314988.9</v>
      </c>
      <c r="H846" t="n">
        <v>1368468.5</v>
      </c>
      <c r="I846">
        <f>DAY(EOMONTH(DATE(VALUE(LEFT(E846,4)),VALUE(RIGHT(E846,2)),1),0))</f>
        <v/>
      </c>
      <c r="J846">
        <f>VALUE(LEFT(E846,4))*12+VALUE(RIGHT(E846,2))-1</f>
        <v/>
      </c>
    </row>
    <row r="847">
      <c r="A847" t="inlineStr">
        <is>
          <t>El Trapial</t>
        </is>
      </c>
      <c r="B847" t="inlineStr">
        <is>
          <t>Neuquina</t>
        </is>
      </c>
      <c r="C847" t="inlineStr">
        <is>
          <t>CHEVRON ARGENTINA S.R.L.</t>
        </is>
      </c>
      <c r="D847" t="inlineStr">
        <is>
          <t>no convencional</t>
        </is>
      </c>
      <c r="E847" t="inlineStr">
        <is>
          <t>2016-05</t>
        </is>
      </c>
      <c r="F847" t="n">
        <v>122</v>
      </c>
      <c r="G847" t="n">
        <v>37.9</v>
      </c>
      <c r="H847" t="n">
        <v>0</v>
      </c>
      <c r="I847">
        <f>DAY(EOMONTH(DATE(VALUE(LEFT(E847,4)),VALUE(RIGHT(E847,2)),1),0))</f>
        <v/>
      </c>
      <c r="J847">
        <f>VALUE(LEFT(E847,4))*12+VALUE(RIGHT(E847,2))-1</f>
        <v/>
      </c>
    </row>
    <row r="848">
      <c r="A848" t="inlineStr">
        <is>
          <t>El Trapial</t>
        </is>
      </c>
      <c r="B848" t="inlineStr">
        <is>
          <t>Neuquina</t>
        </is>
      </c>
      <c r="C848" t="inlineStr">
        <is>
          <t>CHEVRON ARGENTINA S.R.L.</t>
        </is>
      </c>
      <c r="D848" t="inlineStr">
        <is>
          <t>convencional</t>
        </is>
      </c>
      <c r="E848" t="inlineStr">
        <is>
          <t>2016-06</t>
        </is>
      </c>
      <c r="F848" t="n">
        <v>37991.5</v>
      </c>
      <c r="G848" t="n">
        <v>1195502.3</v>
      </c>
      <c r="H848" t="n">
        <v>1286086</v>
      </c>
      <c r="I848">
        <f>DAY(EOMONTH(DATE(VALUE(LEFT(E848,4)),VALUE(RIGHT(E848,2)),1),0))</f>
        <v/>
      </c>
      <c r="J848">
        <f>VALUE(LEFT(E848,4))*12+VALUE(RIGHT(E848,2))-1</f>
        <v/>
      </c>
    </row>
    <row r="849">
      <c r="A849" t="inlineStr">
        <is>
          <t>El Trapial</t>
        </is>
      </c>
      <c r="B849" t="inlineStr">
        <is>
          <t>Neuquina</t>
        </is>
      </c>
      <c r="C849" t="inlineStr">
        <is>
          <t>CHEVRON ARGENTINA S.R.L.</t>
        </is>
      </c>
      <c r="D849" t="inlineStr">
        <is>
          <t>no convencional</t>
        </is>
      </c>
      <c r="E849" t="inlineStr">
        <is>
          <t>2016-06</t>
        </is>
      </c>
      <c r="F849" t="n">
        <v>71.5</v>
      </c>
      <c r="G849" t="n">
        <v>4.9</v>
      </c>
      <c r="H849" t="n">
        <v>0</v>
      </c>
      <c r="I849">
        <f>DAY(EOMONTH(DATE(VALUE(LEFT(E849,4)),VALUE(RIGHT(E849,2)),1),0))</f>
        <v/>
      </c>
      <c r="J849">
        <f>VALUE(LEFT(E849,4))*12+VALUE(RIGHT(E849,2))-1</f>
        <v/>
      </c>
    </row>
    <row r="850">
      <c r="A850" t="inlineStr">
        <is>
          <t>El Trapial</t>
        </is>
      </c>
      <c r="B850" t="inlineStr">
        <is>
          <t>Neuquina</t>
        </is>
      </c>
      <c r="C850" t="inlineStr">
        <is>
          <t>CHEVRON ARGENTINA S.R.L.</t>
        </is>
      </c>
      <c r="D850" t="inlineStr">
        <is>
          <t>convencional</t>
        </is>
      </c>
      <c r="E850" t="inlineStr">
        <is>
          <t>2016-07</t>
        </is>
      </c>
      <c r="F850" t="n">
        <v>37468.7</v>
      </c>
      <c r="G850" t="n">
        <v>1231960</v>
      </c>
      <c r="H850" t="n">
        <v>1363051.2</v>
      </c>
      <c r="I850">
        <f>DAY(EOMONTH(DATE(VALUE(LEFT(E850,4)),VALUE(RIGHT(E850,2)),1),0))</f>
        <v/>
      </c>
      <c r="J850">
        <f>VALUE(LEFT(E850,4))*12+VALUE(RIGHT(E850,2))-1</f>
        <v/>
      </c>
    </row>
    <row r="851">
      <c r="A851" t="inlineStr">
        <is>
          <t>El Trapial</t>
        </is>
      </c>
      <c r="B851" t="inlineStr">
        <is>
          <t>Neuquina</t>
        </is>
      </c>
      <c r="C851" t="inlineStr">
        <is>
          <t>CHEVRON ARGENTINA S.R.L.</t>
        </is>
      </c>
      <c r="D851" t="inlineStr">
        <is>
          <t>no convencional</t>
        </is>
      </c>
      <c r="E851" t="inlineStr">
        <is>
          <t>2016-07</t>
        </is>
      </c>
      <c r="F851" t="n">
        <v>5.4</v>
      </c>
      <c r="G851" t="n">
        <v>5.5</v>
      </c>
      <c r="H851" t="n">
        <v>0</v>
      </c>
      <c r="I851">
        <f>DAY(EOMONTH(DATE(VALUE(LEFT(E851,4)),VALUE(RIGHT(E851,2)),1),0))</f>
        <v/>
      </c>
      <c r="J851">
        <f>VALUE(LEFT(E851,4))*12+VALUE(RIGHT(E851,2))-1</f>
        <v/>
      </c>
    </row>
    <row r="852">
      <c r="A852" t="inlineStr">
        <is>
          <t>El Trapial</t>
        </is>
      </c>
      <c r="B852" t="inlineStr">
        <is>
          <t>Neuquina</t>
        </is>
      </c>
      <c r="C852" t="inlineStr">
        <is>
          <t>CHEVRON ARGENTINA S.R.L.</t>
        </is>
      </c>
      <c r="D852" t="inlineStr">
        <is>
          <t>convencional</t>
        </is>
      </c>
      <c r="E852" t="inlineStr">
        <is>
          <t>2016-08</t>
        </is>
      </c>
      <c r="F852" t="n">
        <v>37325.8</v>
      </c>
      <c r="G852" t="n">
        <v>1213479.7</v>
      </c>
      <c r="H852" t="n">
        <v>1373743.8</v>
      </c>
      <c r="I852">
        <f>DAY(EOMONTH(DATE(VALUE(LEFT(E852,4)),VALUE(RIGHT(E852,2)),1),0))</f>
        <v/>
      </c>
      <c r="J852">
        <f>VALUE(LEFT(E852,4))*12+VALUE(RIGHT(E852,2))-1</f>
        <v/>
      </c>
    </row>
    <row r="853">
      <c r="A853" t="inlineStr">
        <is>
          <t>El Trapial</t>
        </is>
      </c>
      <c r="B853" t="inlineStr">
        <is>
          <t>Neuquina</t>
        </is>
      </c>
      <c r="C853" t="inlineStr">
        <is>
          <t>CHEVRON ARGENTINA S.R.L.</t>
        </is>
      </c>
      <c r="D853" t="inlineStr">
        <is>
          <t>no convencional</t>
        </is>
      </c>
      <c r="E853" t="inlineStr">
        <is>
          <t>2016-08</t>
        </is>
      </c>
      <c r="F853" t="n">
        <v>72.2</v>
      </c>
      <c r="G853" t="n">
        <v>12.4</v>
      </c>
      <c r="H853" t="n">
        <v>0</v>
      </c>
      <c r="I853">
        <f>DAY(EOMONTH(DATE(VALUE(LEFT(E853,4)),VALUE(RIGHT(E853,2)),1),0))</f>
        <v/>
      </c>
      <c r="J853">
        <f>VALUE(LEFT(E853,4))*12+VALUE(RIGHT(E853,2))-1</f>
        <v/>
      </c>
    </row>
    <row r="854">
      <c r="A854" t="inlineStr">
        <is>
          <t>El Trapial</t>
        </is>
      </c>
      <c r="B854" t="inlineStr">
        <is>
          <t>Neuquina</t>
        </is>
      </c>
      <c r="C854" t="inlineStr">
        <is>
          <t>CHEVRON ARGENTINA S.R.L.</t>
        </is>
      </c>
      <c r="D854" t="inlineStr">
        <is>
          <t>convencional</t>
        </is>
      </c>
      <c r="E854" t="inlineStr">
        <is>
          <t>2016-09</t>
        </is>
      </c>
      <c r="F854" t="n">
        <v>36120.4</v>
      </c>
      <c r="G854" t="n">
        <v>1204199</v>
      </c>
      <c r="H854" t="n">
        <v>1347506.4</v>
      </c>
      <c r="I854">
        <f>DAY(EOMONTH(DATE(VALUE(LEFT(E854,4)),VALUE(RIGHT(E854,2)),1),0))</f>
        <v/>
      </c>
      <c r="J854">
        <f>VALUE(LEFT(E854,4))*12+VALUE(RIGHT(E854,2))-1</f>
        <v/>
      </c>
    </row>
    <row r="855">
      <c r="A855" t="inlineStr">
        <is>
          <t>El Trapial</t>
        </is>
      </c>
      <c r="B855" t="inlineStr">
        <is>
          <t>Neuquina</t>
        </is>
      </c>
      <c r="C855" t="inlineStr">
        <is>
          <t>CHEVRON ARGENTINA S.R.L.</t>
        </is>
      </c>
      <c r="D855" t="inlineStr">
        <is>
          <t>no convencional</t>
        </is>
      </c>
      <c r="E855" t="inlineStr">
        <is>
          <t>2016-09</t>
        </is>
      </c>
      <c r="F855" t="n">
        <v>69.59999999999999</v>
      </c>
      <c r="G855" t="n">
        <v>8.699999999999999</v>
      </c>
      <c r="H855" t="n">
        <v>0</v>
      </c>
      <c r="I855">
        <f>DAY(EOMONTH(DATE(VALUE(LEFT(E855,4)),VALUE(RIGHT(E855,2)),1),0))</f>
        <v/>
      </c>
      <c r="J855">
        <f>VALUE(LEFT(E855,4))*12+VALUE(RIGHT(E855,2))-1</f>
        <v/>
      </c>
    </row>
    <row r="856">
      <c r="A856" t="inlineStr">
        <is>
          <t>El Trapial</t>
        </is>
      </c>
      <c r="B856" t="inlineStr">
        <is>
          <t>Neuquina</t>
        </is>
      </c>
      <c r="C856" t="inlineStr">
        <is>
          <t>CHEVRON ARGENTINA S.R.L.</t>
        </is>
      </c>
      <c r="D856" t="inlineStr">
        <is>
          <t>convencional</t>
        </is>
      </c>
      <c r="E856" t="inlineStr">
        <is>
          <t>2016-10</t>
        </is>
      </c>
      <c r="F856" t="n">
        <v>37908.8</v>
      </c>
      <c r="G856" t="n">
        <v>1256376</v>
      </c>
      <c r="H856" t="n">
        <v>1393842.8</v>
      </c>
      <c r="I856">
        <f>DAY(EOMONTH(DATE(VALUE(LEFT(E856,4)),VALUE(RIGHT(E856,2)),1),0))</f>
        <v/>
      </c>
      <c r="J856">
        <f>VALUE(LEFT(E856,4))*12+VALUE(RIGHT(E856,2))-1</f>
        <v/>
      </c>
    </row>
    <row r="857">
      <c r="A857" t="inlineStr">
        <is>
          <t>El Trapial</t>
        </is>
      </c>
      <c r="B857" t="inlineStr">
        <is>
          <t>Neuquina</t>
        </is>
      </c>
      <c r="C857" t="inlineStr">
        <is>
          <t>CHEVRON ARGENTINA S.R.L.</t>
        </is>
      </c>
      <c r="D857" t="inlineStr">
        <is>
          <t>no convencional</t>
        </is>
      </c>
      <c r="E857" t="inlineStr">
        <is>
          <t>2016-10</t>
        </is>
      </c>
      <c r="F857" t="n">
        <v>116.2</v>
      </c>
      <c r="G857" t="n">
        <v>97.09999999999999</v>
      </c>
      <c r="H857" t="n">
        <v>0</v>
      </c>
      <c r="I857">
        <f>DAY(EOMONTH(DATE(VALUE(LEFT(E857,4)),VALUE(RIGHT(E857,2)),1),0))</f>
        <v/>
      </c>
      <c r="J857">
        <f>VALUE(LEFT(E857,4))*12+VALUE(RIGHT(E857,2))-1</f>
        <v/>
      </c>
    </row>
    <row r="858">
      <c r="A858" t="inlineStr">
        <is>
          <t>El Trapial</t>
        </is>
      </c>
      <c r="B858" t="inlineStr">
        <is>
          <t>Neuquina</t>
        </is>
      </c>
      <c r="C858" t="inlineStr">
        <is>
          <t>CHEVRON ARGENTINA S.R.L.</t>
        </is>
      </c>
      <c r="D858" t="inlineStr">
        <is>
          <t>convencional</t>
        </is>
      </c>
      <c r="E858" t="inlineStr">
        <is>
          <t>2016-11</t>
        </is>
      </c>
      <c r="F858" t="n">
        <v>36354.8</v>
      </c>
      <c r="G858" t="n">
        <v>1207842.8</v>
      </c>
      <c r="H858" t="n">
        <v>1364022.4</v>
      </c>
      <c r="I858">
        <f>DAY(EOMONTH(DATE(VALUE(LEFT(E858,4)),VALUE(RIGHT(E858,2)),1),0))</f>
        <v/>
      </c>
      <c r="J858">
        <f>VALUE(LEFT(E858,4))*12+VALUE(RIGHT(E858,2))-1</f>
        <v/>
      </c>
    </row>
    <row r="859">
      <c r="A859" t="inlineStr">
        <is>
          <t>El Trapial</t>
        </is>
      </c>
      <c r="B859" t="inlineStr">
        <is>
          <t>Neuquina</t>
        </is>
      </c>
      <c r="C859" t="inlineStr">
        <is>
          <t>CHEVRON ARGENTINA S.R.L.</t>
        </is>
      </c>
      <c r="D859" t="inlineStr">
        <is>
          <t>no convencional</t>
        </is>
      </c>
      <c r="E859" t="inlineStr">
        <is>
          <t>2016-11</t>
        </is>
      </c>
      <c r="F859" t="n">
        <v>124.2</v>
      </c>
      <c r="G859" t="n">
        <v>116.4</v>
      </c>
      <c r="H859" t="n">
        <v>0</v>
      </c>
      <c r="I859">
        <f>DAY(EOMONTH(DATE(VALUE(LEFT(E859,4)),VALUE(RIGHT(E859,2)),1),0))</f>
        <v/>
      </c>
      <c r="J859">
        <f>VALUE(LEFT(E859,4))*12+VALUE(RIGHT(E859,2))-1</f>
        <v/>
      </c>
    </row>
    <row r="860">
      <c r="A860" t="inlineStr">
        <is>
          <t>El Trapial</t>
        </is>
      </c>
      <c r="B860" t="inlineStr">
        <is>
          <t>Neuquina</t>
        </is>
      </c>
      <c r="C860" t="inlineStr">
        <is>
          <t>CHEVRON ARGENTINA S.R.L.</t>
        </is>
      </c>
      <c r="D860" t="inlineStr">
        <is>
          <t>convencional</t>
        </is>
      </c>
      <c r="E860" t="inlineStr">
        <is>
          <t>2016-12</t>
        </is>
      </c>
      <c r="F860" t="n">
        <v>36627.6</v>
      </c>
      <c r="G860" t="n">
        <v>1239698.2</v>
      </c>
      <c r="H860" t="n">
        <v>1402317.5</v>
      </c>
      <c r="I860">
        <f>DAY(EOMONTH(DATE(VALUE(LEFT(E860,4)),VALUE(RIGHT(E860,2)),1),0))</f>
        <v/>
      </c>
      <c r="J860">
        <f>VALUE(LEFT(E860,4))*12+VALUE(RIGHT(E860,2))-1</f>
        <v/>
      </c>
    </row>
    <row r="861">
      <c r="A861" t="inlineStr">
        <is>
          <t>El Trapial</t>
        </is>
      </c>
      <c r="B861" t="inlineStr">
        <is>
          <t>Neuquina</t>
        </is>
      </c>
      <c r="C861" t="inlineStr">
        <is>
          <t>CHEVRON ARGENTINA S.R.L.</t>
        </is>
      </c>
      <c r="D861" t="inlineStr">
        <is>
          <t>no convencional</t>
        </is>
      </c>
      <c r="E861" t="inlineStr">
        <is>
          <t>2016-12</t>
        </is>
      </c>
      <c r="F861" t="n">
        <v>128.3</v>
      </c>
      <c r="G861" t="n">
        <v>120.3</v>
      </c>
      <c r="H861" t="n">
        <v>0</v>
      </c>
      <c r="I861">
        <f>DAY(EOMONTH(DATE(VALUE(LEFT(E861,4)),VALUE(RIGHT(E861,2)),1),0))</f>
        <v/>
      </c>
      <c r="J861">
        <f>VALUE(LEFT(E861,4))*12+VALUE(RIGHT(E861,2))-1</f>
        <v/>
      </c>
    </row>
    <row r="862">
      <c r="A862" t="inlineStr">
        <is>
          <t>El Trapial</t>
        </is>
      </c>
      <c r="B862" t="inlineStr">
        <is>
          <t>Neuquina</t>
        </is>
      </c>
      <c r="C862" t="inlineStr">
        <is>
          <t>CHEVRON ARGENTINA S.R.L.</t>
        </is>
      </c>
      <c r="D862" t="inlineStr">
        <is>
          <t>convencional</t>
        </is>
      </c>
      <c r="E862" t="inlineStr">
        <is>
          <t>2017-01</t>
        </is>
      </c>
      <c r="F862" t="n">
        <v>35635.4</v>
      </c>
      <c r="G862" t="n">
        <v>1219934.1</v>
      </c>
      <c r="H862" t="n">
        <v>1399091.8</v>
      </c>
      <c r="I862">
        <f>DAY(EOMONTH(DATE(VALUE(LEFT(E862,4)),VALUE(RIGHT(E862,2)),1),0))</f>
        <v/>
      </c>
      <c r="J862">
        <f>VALUE(LEFT(E862,4))*12+VALUE(RIGHT(E862,2))-1</f>
        <v/>
      </c>
    </row>
    <row r="863">
      <c r="A863" t="inlineStr">
        <is>
          <t>El Trapial</t>
        </is>
      </c>
      <c r="B863" t="inlineStr">
        <is>
          <t>Neuquina</t>
        </is>
      </c>
      <c r="C863" t="inlineStr">
        <is>
          <t>CHEVRON ARGENTINA S.R.L.</t>
        </is>
      </c>
      <c r="D863" t="inlineStr">
        <is>
          <t>no convencional</t>
        </is>
      </c>
      <c r="E863" t="inlineStr">
        <is>
          <t>2017-01</t>
        </is>
      </c>
      <c r="F863" t="n">
        <v>44.6</v>
      </c>
      <c r="G863" t="n">
        <v>0</v>
      </c>
      <c r="H863" t="n">
        <v>0</v>
      </c>
      <c r="I863">
        <f>DAY(EOMONTH(DATE(VALUE(LEFT(E863,4)),VALUE(RIGHT(E863,2)),1),0))</f>
        <v/>
      </c>
      <c r="J863">
        <f>VALUE(LEFT(E863,4))*12+VALUE(RIGHT(E863,2))-1</f>
        <v/>
      </c>
    </row>
    <row r="864">
      <c r="A864" t="inlineStr">
        <is>
          <t>El Trapial</t>
        </is>
      </c>
      <c r="B864" t="inlineStr">
        <is>
          <t>Neuquina</t>
        </is>
      </c>
      <c r="C864" t="inlineStr">
        <is>
          <t>CHEVRON ARGENTINA S.R.L.</t>
        </is>
      </c>
      <c r="D864" t="inlineStr">
        <is>
          <t>convencional</t>
        </is>
      </c>
      <c r="E864" t="inlineStr">
        <is>
          <t>2017-02</t>
        </is>
      </c>
      <c r="F864" t="n">
        <v>31594.9</v>
      </c>
      <c r="G864" t="n">
        <v>1103574.9</v>
      </c>
      <c r="H864" t="n">
        <v>1275870.6</v>
      </c>
      <c r="I864">
        <f>DAY(EOMONTH(DATE(VALUE(LEFT(E864,4)),VALUE(RIGHT(E864,2)),1),0))</f>
        <v/>
      </c>
      <c r="J864">
        <f>VALUE(LEFT(E864,4))*12+VALUE(RIGHT(E864,2))-1</f>
        <v/>
      </c>
    </row>
    <row r="865">
      <c r="A865" t="inlineStr">
        <is>
          <t>El Trapial</t>
        </is>
      </c>
      <c r="B865" t="inlineStr">
        <is>
          <t>Neuquina</t>
        </is>
      </c>
      <c r="C865" t="inlineStr">
        <is>
          <t>CHEVRON ARGENTINA S.R.L.</t>
        </is>
      </c>
      <c r="D865" t="inlineStr">
        <is>
          <t>no convencional</t>
        </is>
      </c>
      <c r="E865" t="inlineStr">
        <is>
          <t>2017-02</t>
        </is>
      </c>
      <c r="F865" t="n">
        <v>58</v>
      </c>
      <c r="G865" t="n">
        <v>9.5</v>
      </c>
      <c r="H865" t="n">
        <v>0</v>
      </c>
      <c r="I865">
        <f>DAY(EOMONTH(DATE(VALUE(LEFT(E865,4)),VALUE(RIGHT(E865,2)),1),0))</f>
        <v/>
      </c>
      <c r="J865">
        <f>VALUE(LEFT(E865,4))*12+VALUE(RIGHT(E865,2))-1</f>
        <v/>
      </c>
    </row>
    <row r="866">
      <c r="A866" t="inlineStr">
        <is>
          <t>El Trapial</t>
        </is>
      </c>
      <c r="B866" t="inlineStr">
        <is>
          <t>Neuquina</t>
        </is>
      </c>
      <c r="C866" t="inlineStr">
        <is>
          <t>CHEVRON ARGENTINA S.R.L.</t>
        </is>
      </c>
      <c r="D866" t="inlineStr">
        <is>
          <t>convencional</t>
        </is>
      </c>
      <c r="E866" t="inlineStr">
        <is>
          <t>2017-03</t>
        </is>
      </c>
      <c r="F866" t="n">
        <v>34278</v>
      </c>
      <c r="G866" t="n">
        <v>1207693.7</v>
      </c>
      <c r="H866" t="n">
        <v>1414237.2</v>
      </c>
      <c r="I866">
        <f>DAY(EOMONTH(DATE(VALUE(LEFT(E866,4)),VALUE(RIGHT(E866,2)),1),0))</f>
        <v/>
      </c>
      <c r="J866">
        <f>VALUE(LEFT(E866,4))*12+VALUE(RIGHT(E866,2))-1</f>
        <v/>
      </c>
    </row>
    <row r="867">
      <c r="A867" t="inlineStr">
        <is>
          <t>El Trapial</t>
        </is>
      </c>
      <c r="B867" t="inlineStr">
        <is>
          <t>Neuquina</t>
        </is>
      </c>
      <c r="C867" t="inlineStr">
        <is>
          <t>CHEVRON ARGENTINA S.R.L.</t>
        </is>
      </c>
      <c r="D867" t="inlineStr">
        <is>
          <t>no convencional</t>
        </is>
      </c>
      <c r="E867" t="inlineStr">
        <is>
          <t>2017-03</t>
        </is>
      </c>
      <c r="F867" t="n">
        <v>147</v>
      </c>
      <c r="G867" t="n">
        <v>66.3</v>
      </c>
      <c r="H867" t="n">
        <v>0</v>
      </c>
      <c r="I867">
        <f>DAY(EOMONTH(DATE(VALUE(LEFT(E867,4)),VALUE(RIGHT(E867,2)),1),0))</f>
        <v/>
      </c>
      <c r="J867">
        <f>VALUE(LEFT(E867,4))*12+VALUE(RIGHT(E867,2))-1</f>
        <v/>
      </c>
    </row>
    <row r="868">
      <c r="A868" t="inlineStr">
        <is>
          <t>El Trapial</t>
        </is>
      </c>
      <c r="B868" t="inlineStr">
        <is>
          <t>Neuquina</t>
        </is>
      </c>
      <c r="C868" t="inlineStr">
        <is>
          <t>CHEVRON ARGENTINA S.R.L.</t>
        </is>
      </c>
      <c r="D868" t="inlineStr">
        <is>
          <t>convencional</t>
        </is>
      </c>
      <c r="E868" t="inlineStr">
        <is>
          <t>2017-04</t>
        </is>
      </c>
      <c r="F868" t="n">
        <v>32669.4</v>
      </c>
      <c r="G868" t="n">
        <v>1165047.5</v>
      </c>
      <c r="H868" t="n">
        <v>1361732.9</v>
      </c>
      <c r="I868">
        <f>DAY(EOMONTH(DATE(VALUE(LEFT(E868,4)),VALUE(RIGHT(E868,2)),1),0))</f>
        <v/>
      </c>
      <c r="J868">
        <f>VALUE(LEFT(E868,4))*12+VALUE(RIGHT(E868,2))-1</f>
        <v/>
      </c>
    </row>
    <row r="869">
      <c r="A869" t="inlineStr">
        <is>
          <t>El Trapial</t>
        </is>
      </c>
      <c r="B869" t="inlineStr">
        <is>
          <t>Neuquina</t>
        </is>
      </c>
      <c r="C869" t="inlineStr">
        <is>
          <t>CHEVRON ARGENTINA S.R.L.</t>
        </is>
      </c>
      <c r="D869" t="inlineStr">
        <is>
          <t>no convencional</t>
        </is>
      </c>
      <c r="E869" t="inlineStr">
        <is>
          <t>2017-04</t>
        </is>
      </c>
      <c r="F869" t="n">
        <v>162.6</v>
      </c>
      <c r="G869" t="n">
        <v>90.3</v>
      </c>
      <c r="H869" t="n">
        <v>0</v>
      </c>
      <c r="I869">
        <f>DAY(EOMONTH(DATE(VALUE(LEFT(E869,4)),VALUE(RIGHT(E869,2)),1),0))</f>
        <v/>
      </c>
      <c r="J869">
        <f>VALUE(LEFT(E869,4))*12+VALUE(RIGHT(E869,2))-1</f>
        <v/>
      </c>
    </row>
    <row r="870">
      <c r="A870" t="inlineStr">
        <is>
          <t>El Trapial</t>
        </is>
      </c>
      <c r="B870" t="inlineStr">
        <is>
          <t>Neuquina</t>
        </is>
      </c>
      <c r="C870" t="inlineStr">
        <is>
          <t>CHEVRON ARGENTINA S.R.L.</t>
        </is>
      </c>
      <c r="D870" t="inlineStr">
        <is>
          <t>convencional</t>
        </is>
      </c>
      <c r="E870" t="inlineStr">
        <is>
          <t>2017-05</t>
        </is>
      </c>
      <c r="F870" t="n">
        <v>33353.2</v>
      </c>
      <c r="G870" t="n">
        <v>1205958.3</v>
      </c>
      <c r="H870" t="n">
        <v>1398928.1</v>
      </c>
      <c r="I870">
        <f>DAY(EOMONTH(DATE(VALUE(LEFT(E870,4)),VALUE(RIGHT(E870,2)),1),0))</f>
        <v/>
      </c>
      <c r="J870">
        <f>VALUE(LEFT(E870,4))*12+VALUE(RIGHT(E870,2))-1</f>
        <v/>
      </c>
    </row>
    <row r="871">
      <c r="A871" t="inlineStr">
        <is>
          <t>El Trapial</t>
        </is>
      </c>
      <c r="B871" t="inlineStr">
        <is>
          <t>Neuquina</t>
        </is>
      </c>
      <c r="C871" t="inlineStr">
        <is>
          <t>CHEVRON ARGENTINA S.R.L.</t>
        </is>
      </c>
      <c r="D871" t="inlineStr">
        <is>
          <t>no convencional</t>
        </is>
      </c>
      <c r="E871" t="inlineStr">
        <is>
          <t>2017-05</t>
        </is>
      </c>
      <c r="F871" t="n">
        <v>85.8</v>
      </c>
      <c r="G871" t="n">
        <v>108.1</v>
      </c>
      <c r="H871" t="n">
        <v>0</v>
      </c>
      <c r="I871">
        <f>DAY(EOMONTH(DATE(VALUE(LEFT(E871,4)),VALUE(RIGHT(E871,2)),1),0))</f>
        <v/>
      </c>
      <c r="J871">
        <f>VALUE(LEFT(E871,4))*12+VALUE(RIGHT(E871,2))-1</f>
        <v/>
      </c>
    </row>
    <row r="872">
      <c r="A872" t="inlineStr">
        <is>
          <t>El Trapial</t>
        </is>
      </c>
      <c r="B872" t="inlineStr">
        <is>
          <t>Neuquina</t>
        </is>
      </c>
      <c r="C872" t="inlineStr">
        <is>
          <t>CHEVRON ARGENTINA S.R.L.</t>
        </is>
      </c>
      <c r="D872" t="inlineStr">
        <is>
          <t>convencional</t>
        </is>
      </c>
      <c r="E872" t="inlineStr">
        <is>
          <t>2017-06</t>
        </is>
      </c>
      <c r="F872" t="n">
        <v>32038.2</v>
      </c>
      <c r="G872" t="n">
        <v>1175135.7</v>
      </c>
      <c r="H872" t="n">
        <v>1334014.9</v>
      </c>
      <c r="I872">
        <f>DAY(EOMONTH(DATE(VALUE(LEFT(E872,4)),VALUE(RIGHT(E872,2)),1),0))</f>
        <v/>
      </c>
      <c r="J872">
        <f>VALUE(LEFT(E872,4))*12+VALUE(RIGHT(E872,2))-1</f>
        <v/>
      </c>
    </row>
    <row r="873">
      <c r="A873" t="inlineStr">
        <is>
          <t>El Trapial</t>
        </is>
      </c>
      <c r="B873" t="inlineStr">
        <is>
          <t>Neuquina</t>
        </is>
      </c>
      <c r="C873" t="inlineStr">
        <is>
          <t>CHEVRON ARGENTINA S.R.L.</t>
        </is>
      </c>
      <c r="D873" t="inlineStr">
        <is>
          <t>no convencional</t>
        </is>
      </c>
      <c r="E873" t="inlineStr">
        <is>
          <t>2017-06</t>
        </is>
      </c>
      <c r="F873" t="n">
        <v>107.8</v>
      </c>
      <c r="G873" t="n">
        <v>33.8</v>
      </c>
      <c r="H873" t="n">
        <v>0</v>
      </c>
      <c r="I873">
        <f>DAY(EOMONTH(DATE(VALUE(LEFT(E873,4)),VALUE(RIGHT(E873,2)),1),0))</f>
        <v/>
      </c>
      <c r="J873">
        <f>VALUE(LEFT(E873,4))*12+VALUE(RIGHT(E873,2))-1</f>
        <v/>
      </c>
    </row>
    <row r="874">
      <c r="A874" t="inlineStr">
        <is>
          <t>El Trapial</t>
        </is>
      </c>
      <c r="B874" t="inlineStr">
        <is>
          <t>Neuquina</t>
        </is>
      </c>
      <c r="C874" t="inlineStr">
        <is>
          <t>CHEVRON ARGENTINA S.R.L.</t>
        </is>
      </c>
      <c r="D874" t="inlineStr">
        <is>
          <t>convencional</t>
        </is>
      </c>
      <c r="E874" t="inlineStr">
        <is>
          <t>2017-07</t>
        </is>
      </c>
      <c r="F874" t="n">
        <v>32041.9</v>
      </c>
      <c r="G874" t="n">
        <v>1163118.5</v>
      </c>
      <c r="H874" t="n">
        <v>1338767.5</v>
      </c>
      <c r="I874">
        <f>DAY(EOMONTH(DATE(VALUE(LEFT(E874,4)),VALUE(RIGHT(E874,2)),1),0))</f>
        <v/>
      </c>
      <c r="J874">
        <f>VALUE(LEFT(E874,4))*12+VALUE(RIGHT(E874,2))-1</f>
        <v/>
      </c>
    </row>
    <row r="875">
      <c r="A875" t="inlineStr">
        <is>
          <t>El Trapial</t>
        </is>
      </c>
      <c r="B875" t="inlineStr">
        <is>
          <t>Neuquina</t>
        </is>
      </c>
      <c r="C875" t="inlineStr">
        <is>
          <t>CHEVRON ARGENTINA S.R.L.</t>
        </is>
      </c>
      <c r="D875" t="inlineStr">
        <is>
          <t>no convencional</t>
        </is>
      </c>
      <c r="E875" t="inlineStr">
        <is>
          <t>2017-07</t>
        </is>
      </c>
      <c r="F875" t="n">
        <v>143.1</v>
      </c>
      <c r="G875" t="n">
        <v>226.9</v>
      </c>
      <c r="H875" t="n">
        <v>0</v>
      </c>
      <c r="I875">
        <f>DAY(EOMONTH(DATE(VALUE(LEFT(E875,4)),VALUE(RIGHT(E875,2)),1),0))</f>
        <v/>
      </c>
      <c r="J875">
        <f>VALUE(LEFT(E875,4))*12+VALUE(RIGHT(E875,2))-1</f>
        <v/>
      </c>
    </row>
    <row r="876">
      <c r="A876" t="inlineStr">
        <is>
          <t>El Trapial</t>
        </is>
      </c>
      <c r="B876" t="inlineStr">
        <is>
          <t>Neuquina</t>
        </is>
      </c>
      <c r="C876" t="inlineStr">
        <is>
          <t>CHEVRON ARGENTINA S.R.L.</t>
        </is>
      </c>
      <c r="D876" t="inlineStr">
        <is>
          <t>convencional</t>
        </is>
      </c>
      <c r="E876" t="inlineStr">
        <is>
          <t>2017-08</t>
        </is>
      </c>
      <c r="F876" t="n">
        <v>31802.5</v>
      </c>
      <c r="G876" t="n">
        <v>1157221.5</v>
      </c>
      <c r="H876" t="n">
        <v>1339434.3</v>
      </c>
      <c r="I876">
        <f>DAY(EOMONTH(DATE(VALUE(LEFT(E876,4)),VALUE(RIGHT(E876,2)),1),0))</f>
        <v/>
      </c>
      <c r="J876">
        <f>VALUE(LEFT(E876,4))*12+VALUE(RIGHT(E876,2))-1</f>
        <v/>
      </c>
    </row>
    <row r="877">
      <c r="A877" t="inlineStr">
        <is>
          <t>El Trapial</t>
        </is>
      </c>
      <c r="B877" t="inlineStr">
        <is>
          <t>Neuquina</t>
        </is>
      </c>
      <c r="C877" t="inlineStr">
        <is>
          <t>CHEVRON ARGENTINA S.R.L.</t>
        </is>
      </c>
      <c r="D877" t="inlineStr">
        <is>
          <t>no convencional</t>
        </is>
      </c>
      <c r="E877" t="inlineStr">
        <is>
          <t>2017-08</t>
        </is>
      </c>
      <c r="F877" t="n">
        <v>109.4</v>
      </c>
      <c r="G877" t="n">
        <v>264.2</v>
      </c>
      <c r="H877" t="n">
        <v>0</v>
      </c>
      <c r="I877">
        <f>DAY(EOMONTH(DATE(VALUE(LEFT(E877,4)),VALUE(RIGHT(E877,2)),1),0))</f>
        <v/>
      </c>
      <c r="J877">
        <f>VALUE(LEFT(E877,4))*12+VALUE(RIGHT(E877,2))-1</f>
        <v/>
      </c>
    </row>
    <row r="878">
      <c r="A878" t="inlineStr">
        <is>
          <t>El Trapial</t>
        </is>
      </c>
      <c r="B878" t="inlineStr">
        <is>
          <t>Neuquina</t>
        </is>
      </c>
      <c r="C878" t="inlineStr">
        <is>
          <t>CHEVRON ARGENTINA S.R.L.</t>
        </is>
      </c>
      <c r="D878" t="inlineStr">
        <is>
          <t>convencional</t>
        </is>
      </c>
      <c r="E878" t="inlineStr">
        <is>
          <t>2017-09</t>
        </is>
      </c>
      <c r="F878" t="n">
        <v>31669.8</v>
      </c>
      <c r="G878" t="n">
        <v>1121267.9</v>
      </c>
      <c r="H878" t="n">
        <v>1295352.4</v>
      </c>
      <c r="I878">
        <f>DAY(EOMONTH(DATE(VALUE(LEFT(E878,4)),VALUE(RIGHT(E878,2)),1),0))</f>
        <v/>
      </c>
      <c r="J878">
        <f>VALUE(LEFT(E878,4))*12+VALUE(RIGHT(E878,2))-1</f>
        <v/>
      </c>
    </row>
    <row r="879">
      <c r="A879" t="inlineStr">
        <is>
          <t>El Trapial</t>
        </is>
      </c>
      <c r="B879" t="inlineStr">
        <is>
          <t>Neuquina</t>
        </is>
      </c>
      <c r="C879" t="inlineStr">
        <is>
          <t>CHEVRON ARGENTINA S.R.L.</t>
        </is>
      </c>
      <c r="D879" t="inlineStr">
        <is>
          <t>no convencional</t>
        </is>
      </c>
      <c r="E879" t="inlineStr">
        <is>
          <t>2017-09</t>
        </is>
      </c>
      <c r="F879" t="n">
        <v>30.2</v>
      </c>
      <c r="G879" t="n">
        <v>108.1</v>
      </c>
      <c r="H879" t="n">
        <v>0</v>
      </c>
      <c r="I879">
        <f>DAY(EOMONTH(DATE(VALUE(LEFT(E879,4)),VALUE(RIGHT(E879,2)),1),0))</f>
        <v/>
      </c>
      <c r="J879">
        <f>VALUE(LEFT(E879,4))*12+VALUE(RIGHT(E879,2))-1</f>
        <v/>
      </c>
    </row>
    <row r="880">
      <c r="A880" t="inlineStr">
        <is>
          <t>El Trapial</t>
        </is>
      </c>
      <c r="B880" t="inlineStr">
        <is>
          <t>Neuquina</t>
        </is>
      </c>
      <c r="C880" t="inlineStr">
        <is>
          <t>CHEVRON ARGENTINA S.R.L.</t>
        </is>
      </c>
      <c r="D880" t="inlineStr">
        <is>
          <t>convencional</t>
        </is>
      </c>
      <c r="E880" t="inlineStr">
        <is>
          <t>2017-10</t>
        </is>
      </c>
      <c r="F880" t="n">
        <v>32653.3</v>
      </c>
      <c r="G880" t="n">
        <v>1170562.6</v>
      </c>
      <c r="H880" t="n">
        <v>1342949</v>
      </c>
      <c r="I880">
        <f>DAY(EOMONTH(DATE(VALUE(LEFT(E880,4)),VALUE(RIGHT(E880,2)),1),0))</f>
        <v/>
      </c>
      <c r="J880">
        <f>VALUE(LEFT(E880,4))*12+VALUE(RIGHT(E880,2))-1</f>
        <v/>
      </c>
    </row>
    <row r="881">
      <c r="A881" t="inlineStr">
        <is>
          <t>El Trapial</t>
        </is>
      </c>
      <c r="B881" t="inlineStr">
        <is>
          <t>Neuquina</t>
        </is>
      </c>
      <c r="C881" t="inlineStr">
        <is>
          <t>CHEVRON ARGENTINA S.R.L.</t>
        </is>
      </c>
      <c r="D881" t="inlineStr">
        <is>
          <t>no convencional</t>
        </is>
      </c>
      <c r="E881" t="inlineStr">
        <is>
          <t>2017-10</t>
        </is>
      </c>
      <c r="F881" t="n">
        <v>51</v>
      </c>
      <c r="G881" t="n">
        <v>70.40000000000001</v>
      </c>
      <c r="H881" t="n">
        <v>0</v>
      </c>
      <c r="I881">
        <f>DAY(EOMONTH(DATE(VALUE(LEFT(E881,4)),VALUE(RIGHT(E881,2)),1),0))</f>
        <v/>
      </c>
      <c r="J881">
        <f>VALUE(LEFT(E881,4))*12+VALUE(RIGHT(E881,2))-1</f>
        <v/>
      </c>
    </row>
    <row r="882">
      <c r="A882" t="inlineStr">
        <is>
          <t>El Trapial</t>
        </is>
      </c>
      <c r="B882" t="inlineStr">
        <is>
          <t>Neuquina</t>
        </is>
      </c>
      <c r="C882" t="inlineStr">
        <is>
          <t>CHEVRON ARGENTINA S.R.L.</t>
        </is>
      </c>
      <c r="D882" t="inlineStr">
        <is>
          <t>convencional</t>
        </is>
      </c>
      <c r="E882" t="inlineStr">
        <is>
          <t>2017-11</t>
        </is>
      </c>
      <c r="F882" t="n">
        <v>30538.2</v>
      </c>
      <c r="G882" t="n">
        <v>1131254.9</v>
      </c>
      <c r="H882" t="n">
        <v>1296634.4</v>
      </c>
      <c r="I882">
        <f>DAY(EOMONTH(DATE(VALUE(LEFT(E882,4)),VALUE(RIGHT(E882,2)),1),0))</f>
        <v/>
      </c>
      <c r="J882">
        <f>VALUE(LEFT(E882,4))*12+VALUE(RIGHT(E882,2))-1</f>
        <v/>
      </c>
    </row>
    <row r="883">
      <c r="A883" t="inlineStr">
        <is>
          <t>El Trapial</t>
        </is>
      </c>
      <c r="B883" t="inlineStr">
        <is>
          <t>Neuquina</t>
        </is>
      </c>
      <c r="C883" t="inlineStr">
        <is>
          <t>CHEVRON ARGENTINA S.R.L.</t>
        </is>
      </c>
      <c r="D883" t="inlineStr">
        <is>
          <t>no convencional</t>
        </is>
      </c>
      <c r="E883" t="inlineStr">
        <is>
          <t>2017-11</t>
        </is>
      </c>
      <c r="F883" t="n">
        <v>58.3</v>
      </c>
      <c r="G883" t="n">
        <v>63.4</v>
      </c>
      <c r="H883" t="n">
        <v>0</v>
      </c>
      <c r="I883">
        <f>DAY(EOMONTH(DATE(VALUE(LEFT(E883,4)),VALUE(RIGHT(E883,2)),1),0))</f>
        <v/>
      </c>
      <c r="J883">
        <f>VALUE(LEFT(E883,4))*12+VALUE(RIGHT(E883,2))-1</f>
        <v/>
      </c>
    </row>
    <row r="884">
      <c r="A884" t="inlineStr">
        <is>
          <t>El Trapial</t>
        </is>
      </c>
      <c r="B884" t="inlineStr">
        <is>
          <t>Neuquina</t>
        </is>
      </c>
      <c r="C884" t="inlineStr">
        <is>
          <t>CHEVRON ARGENTINA S.R.L.</t>
        </is>
      </c>
      <c r="D884" t="inlineStr">
        <is>
          <t>convencional</t>
        </is>
      </c>
      <c r="E884" t="inlineStr">
        <is>
          <t>2017-12</t>
        </is>
      </c>
      <c r="F884" t="n">
        <v>31267.3</v>
      </c>
      <c r="G884" t="n">
        <v>1161053.8</v>
      </c>
      <c r="H884" t="n">
        <v>1314489.6</v>
      </c>
      <c r="I884">
        <f>DAY(EOMONTH(DATE(VALUE(LEFT(E884,4)),VALUE(RIGHT(E884,2)),1),0))</f>
        <v/>
      </c>
      <c r="J884">
        <f>VALUE(LEFT(E884,4))*12+VALUE(RIGHT(E884,2))-1</f>
        <v/>
      </c>
    </row>
    <row r="885">
      <c r="A885" t="inlineStr">
        <is>
          <t>El Trapial</t>
        </is>
      </c>
      <c r="B885" t="inlineStr">
        <is>
          <t>Neuquina</t>
        </is>
      </c>
      <c r="C885" t="inlineStr">
        <is>
          <t>CHEVRON ARGENTINA S.R.L.</t>
        </is>
      </c>
      <c r="D885" t="inlineStr">
        <is>
          <t>no convencional</t>
        </is>
      </c>
      <c r="E885" t="inlineStr">
        <is>
          <t>2017-12</t>
        </is>
      </c>
      <c r="F885" t="n">
        <v>51.7</v>
      </c>
      <c r="G885" t="n">
        <v>80.59999999999999</v>
      </c>
      <c r="H885" t="n">
        <v>0</v>
      </c>
      <c r="I885">
        <f>DAY(EOMONTH(DATE(VALUE(LEFT(E885,4)),VALUE(RIGHT(E885,2)),1),0))</f>
        <v/>
      </c>
      <c r="J885">
        <f>VALUE(LEFT(E885,4))*12+VALUE(RIGHT(E885,2))-1</f>
        <v/>
      </c>
    </row>
    <row r="886">
      <c r="A886" t="inlineStr">
        <is>
          <t>El Trapial</t>
        </is>
      </c>
      <c r="B886" t="inlineStr">
        <is>
          <t>Neuquina</t>
        </is>
      </c>
      <c r="C886" t="inlineStr">
        <is>
          <t>CHEVRON ARGENTINA S.R.L.</t>
        </is>
      </c>
      <c r="D886" t="inlineStr">
        <is>
          <t>convencional</t>
        </is>
      </c>
      <c r="E886" t="inlineStr">
        <is>
          <t>2018-01</t>
        </is>
      </c>
      <c r="F886" t="n">
        <v>30596.4</v>
      </c>
      <c r="G886" t="n">
        <v>1147703.8</v>
      </c>
      <c r="H886" t="n">
        <v>1291445.3</v>
      </c>
      <c r="I886">
        <f>DAY(EOMONTH(DATE(VALUE(LEFT(E886,4)),VALUE(RIGHT(E886,2)),1),0))</f>
        <v/>
      </c>
      <c r="J886">
        <f>VALUE(LEFT(E886,4))*12+VALUE(RIGHT(E886,2))-1</f>
        <v/>
      </c>
    </row>
    <row r="887">
      <c r="A887" t="inlineStr">
        <is>
          <t>El Trapial</t>
        </is>
      </c>
      <c r="B887" t="inlineStr">
        <is>
          <t>Neuquina</t>
        </is>
      </c>
      <c r="C887" t="inlineStr">
        <is>
          <t>CHEVRON ARGENTINA S.R.L.</t>
        </is>
      </c>
      <c r="D887" t="inlineStr">
        <is>
          <t>no convencional</t>
        </is>
      </c>
      <c r="E887" t="inlineStr">
        <is>
          <t>2018-01</t>
        </is>
      </c>
      <c r="F887" t="n">
        <v>71.59999999999999</v>
      </c>
      <c r="G887" t="n">
        <v>82.3</v>
      </c>
      <c r="H887" t="n">
        <v>0</v>
      </c>
      <c r="I887">
        <f>DAY(EOMONTH(DATE(VALUE(LEFT(E887,4)),VALUE(RIGHT(E887,2)),1),0))</f>
        <v/>
      </c>
      <c r="J887">
        <f>VALUE(LEFT(E887,4))*12+VALUE(RIGHT(E887,2))-1</f>
        <v/>
      </c>
    </row>
    <row r="888">
      <c r="A888" t="inlineStr">
        <is>
          <t>El Trapial</t>
        </is>
      </c>
      <c r="B888" t="inlineStr">
        <is>
          <t>Neuquina</t>
        </is>
      </c>
      <c r="C888" t="inlineStr">
        <is>
          <t>CHEVRON ARGENTINA S.R.L.</t>
        </is>
      </c>
      <c r="D888" t="inlineStr">
        <is>
          <t>convencional</t>
        </is>
      </c>
      <c r="E888" t="inlineStr">
        <is>
          <t>2018-02</t>
        </is>
      </c>
      <c r="F888" t="n">
        <v>26820.5</v>
      </c>
      <c r="G888" t="n">
        <v>1033769.3</v>
      </c>
      <c r="H888" t="n">
        <v>1203981.5</v>
      </c>
      <c r="I888">
        <f>DAY(EOMONTH(DATE(VALUE(LEFT(E888,4)),VALUE(RIGHT(E888,2)),1),0))</f>
        <v/>
      </c>
      <c r="J888">
        <f>VALUE(LEFT(E888,4))*12+VALUE(RIGHT(E888,2))-1</f>
        <v/>
      </c>
    </row>
    <row r="889">
      <c r="A889" t="inlineStr">
        <is>
          <t>El Trapial</t>
        </is>
      </c>
      <c r="B889" t="inlineStr">
        <is>
          <t>Neuquina</t>
        </is>
      </c>
      <c r="C889" t="inlineStr">
        <is>
          <t>CHEVRON ARGENTINA S.R.L.</t>
        </is>
      </c>
      <c r="D889" t="inlineStr">
        <is>
          <t>no convencional</t>
        </is>
      </c>
      <c r="E889" t="inlineStr">
        <is>
          <t>2018-02</t>
        </is>
      </c>
      <c r="F889" t="n">
        <v>65.5</v>
      </c>
      <c r="G889" t="n">
        <v>69.90000000000001</v>
      </c>
      <c r="H889" t="n">
        <v>0</v>
      </c>
      <c r="I889">
        <f>DAY(EOMONTH(DATE(VALUE(LEFT(E889,4)),VALUE(RIGHT(E889,2)),1),0))</f>
        <v/>
      </c>
      <c r="J889">
        <f>VALUE(LEFT(E889,4))*12+VALUE(RIGHT(E889,2))-1</f>
        <v/>
      </c>
    </row>
    <row r="890">
      <c r="A890" t="inlineStr">
        <is>
          <t>El Trapial</t>
        </is>
      </c>
      <c r="B890" t="inlineStr">
        <is>
          <t>Neuquina</t>
        </is>
      </c>
      <c r="C890" t="inlineStr">
        <is>
          <t>CHEVRON ARGENTINA S.R.L.</t>
        </is>
      </c>
      <c r="D890" t="inlineStr">
        <is>
          <t>convencional</t>
        </is>
      </c>
      <c r="E890" t="inlineStr">
        <is>
          <t>2018-03</t>
        </is>
      </c>
      <c r="F890" t="n">
        <v>30777</v>
      </c>
      <c r="G890" t="n">
        <v>1138612.7</v>
      </c>
      <c r="H890" t="n">
        <v>1297108.3</v>
      </c>
      <c r="I890">
        <f>DAY(EOMONTH(DATE(VALUE(LEFT(E890,4)),VALUE(RIGHT(E890,2)),1),0))</f>
        <v/>
      </c>
      <c r="J890">
        <f>VALUE(LEFT(E890,4))*12+VALUE(RIGHT(E890,2))-1</f>
        <v/>
      </c>
    </row>
    <row r="891">
      <c r="A891" t="inlineStr">
        <is>
          <t>El Trapial</t>
        </is>
      </c>
      <c r="B891" t="inlineStr">
        <is>
          <t>Neuquina</t>
        </is>
      </c>
      <c r="C891" t="inlineStr">
        <is>
          <t>CHEVRON ARGENTINA S.R.L.</t>
        </is>
      </c>
      <c r="D891" t="inlineStr">
        <is>
          <t>no convencional</t>
        </is>
      </c>
      <c r="E891" t="inlineStr">
        <is>
          <t>2018-03</t>
        </is>
      </c>
      <c r="F891" t="n">
        <v>0</v>
      </c>
      <c r="G891" t="n">
        <v>79</v>
      </c>
      <c r="H891" t="n">
        <v>0</v>
      </c>
      <c r="I891">
        <f>DAY(EOMONTH(DATE(VALUE(LEFT(E891,4)),VALUE(RIGHT(E891,2)),1),0))</f>
        <v/>
      </c>
      <c r="J891">
        <f>VALUE(LEFT(E891,4))*12+VALUE(RIGHT(E891,2))-1</f>
        <v/>
      </c>
    </row>
    <row r="892">
      <c r="A892" t="inlineStr">
        <is>
          <t>El Trapial</t>
        </is>
      </c>
      <c r="B892" t="inlineStr">
        <is>
          <t>Neuquina</t>
        </is>
      </c>
      <c r="C892" t="inlineStr">
        <is>
          <t>CHEVRON ARGENTINA S.R.L.</t>
        </is>
      </c>
      <c r="D892" t="inlineStr">
        <is>
          <t>convencional</t>
        </is>
      </c>
      <c r="E892" t="inlineStr">
        <is>
          <t>2018-04</t>
        </is>
      </c>
      <c r="F892" t="n">
        <v>29398</v>
      </c>
      <c r="G892" t="n">
        <v>1095998.3</v>
      </c>
      <c r="H892" t="n">
        <v>1261994.1</v>
      </c>
      <c r="I892">
        <f>DAY(EOMONTH(DATE(VALUE(LEFT(E892,4)),VALUE(RIGHT(E892,2)),1),0))</f>
        <v/>
      </c>
      <c r="J892">
        <f>VALUE(LEFT(E892,4))*12+VALUE(RIGHT(E892,2))-1</f>
        <v/>
      </c>
    </row>
    <row r="893">
      <c r="A893" t="inlineStr">
        <is>
          <t>El Trapial</t>
        </is>
      </c>
      <c r="B893" t="inlineStr">
        <is>
          <t>Neuquina</t>
        </is>
      </c>
      <c r="C893" t="inlineStr">
        <is>
          <t>CHEVRON ARGENTINA S.R.L.</t>
        </is>
      </c>
      <c r="D893" t="inlineStr">
        <is>
          <t>no convencional</t>
        </is>
      </c>
      <c r="E893" t="inlineStr">
        <is>
          <t>2018-04</t>
        </is>
      </c>
      <c r="F893" t="n">
        <v>23</v>
      </c>
      <c r="G893" t="n">
        <v>118.6</v>
      </c>
      <c r="H893" t="n">
        <v>0</v>
      </c>
      <c r="I893">
        <f>DAY(EOMONTH(DATE(VALUE(LEFT(E893,4)),VALUE(RIGHT(E893,2)),1),0))</f>
        <v/>
      </c>
      <c r="J893">
        <f>VALUE(LEFT(E893,4))*12+VALUE(RIGHT(E893,2))-1</f>
        <v/>
      </c>
    </row>
    <row r="894">
      <c r="A894" t="inlineStr">
        <is>
          <t>El Trapial</t>
        </is>
      </c>
      <c r="B894" t="inlineStr">
        <is>
          <t>Neuquina</t>
        </is>
      </c>
      <c r="C894" t="inlineStr">
        <is>
          <t>CHEVRON ARGENTINA S.R.L.</t>
        </is>
      </c>
      <c r="D894" t="inlineStr">
        <is>
          <t>convencional</t>
        </is>
      </c>
      <c r="E894" t="inlineStr">
        <is>
          <t>2018-05</t>
        </is>
      </c>
      <c r="F894" t="n">
        <v>29621.5</v>
      </c>
      <c r="G894" t="n">
        <v>1111531.3</v>
      </c>
      <c r="H894" t="n">
        <v>1285654.2</v>
      </c>
      <c r="I894">
        <f>DAY(EOMONTH(DATE(VALUE(LEFT(E894,4)),VALUE(RIGHT(E894,2)),1),0))</f>
        <v/>
      </c>
      <c r="J894">
        <f>VALUE(LEFT(E894,4))*12+VALUE(RIGHT(E894,2))-1</f>
        <v/>
      </c>
    </row>
    <row r="895">
      <c r="A895" t="inlineStr">
        <is>
          <t>El Trapial</t>
        </is>
      </c>
      <c r="B895" t="inlineStr">
        <is>
          <t>Neuquina</t>
        </is>
      </c>
      <c r="C895" t="inlineStr">
        <is>
          <t>CHEVRON ARGENTINA S.R.L.</t>
        </is>
      </c>
      <c r="D895" t="inlineStr">
        <is>
          <t>no convencional</t>
        </is>
      </c>
      <c r="E895" t="inlineStr">
        <is>
          <t>2018-05</t>
        </is>
      </c>
      <c r="F895" t="n">
        <v>16.4</v>
      </c>
      <c r="G895" t="n">
        <v>67</v>
      </c>
      <c r="H895" t="n">
        <v>0</v>
      </c>
      <c r="I895">
        <f>DAY(EOMONTH(DATE(VALUE(LEFT(E895,4)),VALUE(RIGHT(E895,2)),1),0))</f>
        <v/>
      </c>
      <c r="J895">
        <f>VALUE(LEFT(E895,4))*12+VALUE(RIGHT(E895,2))-1</f>
        <v/>
      </c>
    </row>
    <row r="896">
      <c r="A896" t="inlineStr">
        <is>
          <t>El Trapial</t>
        </is>
      </c>
      <c r="B896" t="inlineStr">
        <is>
          <t>Neuquina</t>
        </is>
      </c>
      <c r="C896" t="inlineStr">
        <is>
          <t>CHEVRON ARGENTINA S.R.L.</t>
        </is>
      </c>
      <c r="D896" t="inlineStr">
        <is>
          <t>convencional</t>
        </is>
      </c>
      <c r="E896" t="inlineStr">
        <is>
          <t>2018-06</t>
        </is>
      </c>
      <c r="F896" t="n">
        <v>28385.4</v>
      </c>
      <c r="G896" t="n">
        <v>1086940.3</v>
      </c>
      <c r="H896" t="n">
        <v>1250215.6</v>
      </c>
      <c r="I896">
        <f>DAY(EOMONTH(DATE(VALUE(LEFT(E896,4)),VALUE(RIGHT(E896,2)),1),0))</f>
        <v/>
      </c>
      <c r="J896">
        <f>VALUE(LEFT(E896,4))*12+VALUE(RIGHT(E896,2))-1</f>
        <v/>
      </c>
    </row>
    <row r="897">
      <c r="A897" t="inlineStr">
        <is>
          <t>El Trapial</t>
        </is>
      </c>
      <c r="B897" t="inlineStr">
        <is>
          <t>Neuquina</t>
        </is>
      </c>
      <c r="C897" t="inlineStr">
        <is>
          <t>CHEVRON ARGENTINA S.R.L.</t>
        </is>
      </c>
      <c r="D897" t="inlineStr">
        <is>
          <t>no convencional</t>
        </is>
      </c>
      <c r="E897" t="inlineStr">
        <is>
          <t>2018-06</t>
        </is>
      </c>
      <c r="F897" t="n">
        <v>25.6</v>
      </c>
      <c r="G897" t="n">
        <v>50.1</v>
      </c>
      <c r="H897" t="n">
        <v>0</v>
      </c>
      <c r="I897">
        <f>DAY(EOMONTH(DATE(VALUE(LEFT(E897,4)),VALUE(RIGHT(E897,2)),1),0))</f>
        <v/>
      </c>
      <c r="J897">
        <f>VALUE(LEFT(E897,4))*12+VALUE(RIGHT(E897,2))-1</f>
        <v/>
      </c>
    </row>
    <row r="898">
      <c r="A898" t="inlineStr">
        <is>
          <t>El Trapial</t>
        </is>
      </c>
      <c r="B898" t="inlineStr">
        <is>
          <t>Neuquina</t>
        </is>
      </c>
      <c r="C898" t="inlineStr">
        <is>
          <t>CHEVRON ARGENTINA S.R.L.</t>
        </is>
      </c>
      <c r="D898" t="inlineStr">
        <is>
          <t>convencional</t>
        </is>
      </c>
      <c r="E898" t="inlineStr">
        <is>
          <t>2018-07</t>
        </is>
      </c>
      <c r="F898" t="n">
        <v>28986.9</v>
      </c>
      <c r="G898" t="n">
        <v>1122980.1</v>
      </c>
      <c r="H898" t="n">
        <v>1298527.3</v>
      </c>
      <c r="I898">
        <f>DAY(EOMONTH(DATE(VALUE(LEFT(E898,4)),VALUE(RIGHT(E898,2)),1),0))</f>
        <v/>
      </c>
      <c r="J898">
        <f>VALUE(LEFT(E898,4))*12+VALUE(RIGHT(E898,2))-1</f>
        <v/>
      </c>
    </row>
    <row r="899">
      <c r="A899" t="inlineStr">
        <is>
          <t>El Trapial</t>
        </is>
      </c>
      <c r="B899" t="inlineStr">
        <is>
          <t>Neuquina</t>
        </is>
      </c>
      <c r="C899" t="inlineStr">
        <is>
          <t>CHEVRON ARGENTINA S.R.L.</t>
        </is>
      </c>
      <c r="D899" t="inlineStr">
        <is>
          <t>no convencional</t>
        </is>
      </c>
      <c r="E899" t="inlineStr">
        <is>
          <t>2018-07</t>
        </is>
      </c>
      <c r="F899" t="n">
        <v>35</v>
      </c>
      <c r="G899" t="n">
        <v>21.4</v>
      </c>
      <c r="H899" t="n">
        <v>0</v>
      </c>
      <c r="I899">
        <f>DAY(EOMONTH(DATE(VALUE(LEFT(E899,4)),VALUE(RIGHT(E899,2)),1),0))</f>
        <v/>
      </c>
      <c r="J899">
        <f>VALUE(LEFT(E899,4))*12+VALUE(RIGHT(E899,2))-1</f>
        <v/>
      </c>
    </row>
    <row r="900">
      <c r="A900" t="inlineStr">
        <is>
          <t>El Trapial</t>
        </is>
      </c>
      <c r="B900" t="inlineStr">
        <is>
          <t>Neuquina</t>
        </is>
      </c>
      <c r="C900" t="inlineStr">
        <is>
          <t>CHEVRON ARGENTINA S.R.L.</t>
        </is>
      </c>
      <c r="D900" t="inlineStr">
        <is>
          <t>convencional</t>
        </is>
      </c>
      <c r="E900" t="inlineStr">
        <is>
          <t>2018-08</t>
        </is>
      </c>
      <c r="F900" t="n">
        <v>29285.5</v>
      </c>
      <c r="G900" t="n">
        <v>1117939.8</v>
      </c>
      <c r="H900" t="n">
        <v>1300292.1</v>
      </c>
      <c r="I900">
        <f>DAY(EOMONTH(DATE(VALUE(LEFT(E900,4)),VALUE(RIGHT(E900,2)),1),0))</f>
        <v/>
      </c>
      <c r="J900">
        <f>VALUE(LEFT(E900,4))*12+VALUE(RIGHT(E900,2))-1</f>
        <v/>
      </c>
    </row>
    <row r="901">
      <c r="A901" t="inlineStr">
        <is>
          <t>El Trapial</t>
        </is>
      </c>
      <c r="B901" t="inlineStr">
        <is>
          <t>Neuquina</t>
        </is>
      </c>
      <c r="C901" t="inlineStr">
        <is>
          <t>CHEVRON ARGENTINA S.R.L.</t>
        </is>
      </c>
      <c r="D901" t="inlineStr">
        <is>
          <t>no convencional</t>
        </is>
      </c>
      <c r="E901" t="inlineStr">
        <is>
          <t>2018-08</t>
        </is>
      </c>
      <c r="F901" t="n">
        <v>38.4</v>
      </c>
      <c r="G901" t="n">
        <v>12.7</v>
      </c>
      <c r="H901" t="n">
        <v>0</v>
      </c>
      <c r="I901">
        <f>DAY(EOMONTH(DATE(VALUE(LEFT(E901,4)),VALUE(RIGHT(E901,2)),1),0))</f>
        <v/>
      </c>
      <c r="J901">
        <f>VALUE(LEFT(E901,4))*12+VALUE(RIGHT(E901,2))-1</f>
        <v/>
      </c>
    </row>
    <row r="902">
      <c r="A902" t="inlineStr">
        <is>
          <t>El Trapial</t>
        </is>
      </c>
      <c r="B902" t="inlineStr">
        <is>
          <t>Neuquina</t>
        </is>
      </c>
      <c r="C902" t="inlineStr">
        <is>
          <t>CHEVRON ARGENTINA S.R.L.</t>
        </is>
      </c>
      <c r="D902" t="inlineStr">
        <is>
          <t>convencional</t>
        </is>
      </c>
      <c r="E902" t="inlineStr">
        <is>
          <t>2018-09</t>
        </is>
      </c>
      <c r="F902" t="n">
        <v>27592.7</v>
      </c>
      <c r="G902" t="n">
        <v>1077326.6</v>
      </c>
      <c r="H902" t="n">
        <v>1242589.1</v>
      </c>
      <c r="I902">
        <f>DAY(EOMONTH(DATE(VALUE(LEFT(E902,4)),VALUE(RIGHT(E902,2)),1),0))</f>
        <v/>
      </c>
      <c r="J902">
        <f>VALUE(LEFT(E902,4))*12+VALUE(RIGHT(E902,2))-1</f>
        <v/>
      </c>
    </row>
    <row r="903">
      <c r="A903" t="inlineStr">
        <is>
          <t>El Trapial</t>
        </is>
      </c>
      <c r="B903" t="inlineStr">
        <is>
          <t>Neuquina</t>
        </is>
      </c>
      <c r="C903" t="inlineStr">
        <is>
          <t>CHEVRON ARGENTINA S.R.L.</t>
        </is>
      </c>
      <c r="D903" t="inlineStr">
        <is>
          <t>no convencional</t>
        </is>
      </c>
      <c r="E903" t="inlineStr">
        <is>
          <t>2018-09</t>
        </is>
      </c>
      <c r="F903" t="n">
        <v>21.2</v>
      </c>
      <c r="G903" t="n">
        <v>6.5</v>
      </c>
      <c r="H903" t="n">
        <v>0</v>
      </c>
      <c r="I903">
        <f>DAY(EOMONTH(DATE(VALUE(LEFT(E903,4)),VALUE(RIGHT(E903,2)),1),0))</f>
        <v/>
      </c>
      <c r="J903">
        <f>VALUE(LEFT(E903,4))*12+VALUE(RIGHT(E903,2))-1</f>
        <v/>
      </c>
    </row>
    <row r="904">
      <c r="A904" t="inlineStr">
        <is>
          <t>El Trapial</t>
        </is>
      </c>
      <c r="B904" t="inlineStr">
        <is>
          <t>Neuquina</t>
        </is>
      </c>
      <c r="C904" t="inlineStr">
        <is>
          <t>CHEVRON ARGENTINA S.R.L.</t>
        </is>
      </c>
      <c r="D904" t="inlineStr">
        <is>
          <t>convencional</t>
        </is>
      </c>
      <c r="E904" t="inlineStr">
        <is>
          <t>2018-10</t>
        </is>
      </c>
      <c r="F904" t="n">
        <v>27285.1</v>
      </c>
      <c r="G904" t="n">
        <v>1099187.4</v>
      </c>
      <c r="H904" t="n">
        <v>1287829.7</v>
      </c>
      <c r="I904">
        <f>DAY(EOMONTH(DATE(VALUE(LEFT(E904,4)),VALUE(RIGHT(E904,2)),1),0))</f>
        <v/>
      </c>
      <c r="J904">
        <f>VALUE(LEFT(E904,4))*12+VALUE(RIGHT(E904,2))-1</f>
        <v/>
      </c>
    </row>
    <row r="905">
      <c r="A905" t="inlineStr">
        <is>
          <t>El Trapial</t>
        </is>
      </c>
      <c r="B905" t="inlineStr">
        <is>
          <t>Neuquina</t>
        </is>
      </c>
      <c r="C905" t="inlineStr">
        <is>
          <t>CHEVRON ARGENTINA S.R.L.</t>
        </is>
      </c>
      <c r="D905" t="inlineStr">
        <is>
          <t>no convencional</t>
        </is>
      </c>
      <c r="E905" t="inlineStr">
        <is>
          <t>2018-10</t>
        </is>
      </c>
      <c r="F905" t="n">
        <v>26.9</v>
      </c>
      <c r="G905" t="n">
        <v>8.199999999999999</v>
      </c>
      <c r="H905" t="n">
        <v>0</v>
      </c>
      <c r="I905">
        <f>DAY(EOMONTH(DATE(VALUE(LEFT(E905,4)),VALUE(RIGHT(E905,2)),1),0))</f>
        <v/>
      </c>
      <c r="J905">
        <f>VALUE(LEFT(E905,4))*12+VALUE(RIGHT(E905,2))-1</f>
        <v/>
      </c>
    </row>
    <row r="906">
      <c r="A906" t="inlineStr">
        <is>
          <t>El Trapial</t>
        </is>
      </c>
      <c r="B906" t="inlineStr">
        <is>
          <t>Neuquina</t>
        </is>
      </c>
      <c r="C906" t="inlineStr">
        <is>
          <t>CHEVRON ARGENTINA S.R.L.</t>
        </is>
      </c>
      <c r="D906" t="inlineStr">
        <is>
          <t>convencional</t>
        </is>
      </c>
      <c r="E906" t="inlineStr">
        <is>
          <t>2018-11</t>
        </is>
      </c>
      <c r="F906" t="n">
        <v>25915.3</v>
      </c>
      <c r="G906" t="n">
        <v>1061145.6</v>
      </c>
      <c r="H906" t="n">
        <v>1171511.1</v>
      </c>
      <c r="I906">
        <f>DAY(EOMONTH(DATE(VALUE(LEFT(E906,4)),VALUE(RIGHT(E906,2)),1),0))</f>
        <v/>
      </c>
      <c r="J906">
        <f>VALUE(LEFT(E906,4))*12+VALUE(RIGHT(E906,2))-1</f>
        <v/>
      </c>
    </row>
    <row r="907">
      <c r="A907" t="inlineStr">
        <is>
          <t>El Trapial</t>
        </is>
      </c>
      <c r="B907" t="inlineStr">
        <is>
          <t>Neuquina</t>
        </is>
      </c>
      <c r="C907" t="inlineStr">
        <is>
          <t>CHEVRON ARGENTINA S.R.L.</t>
        </is>
      </c>
      <c r="D907" t="inlineStr">
        <is>
          <t>no convencional</t>
        </is>
      </c>
      <c r="E907" t="inlineStr">
        <is>
          <t>2018-11</t>
        </is>
      </c>
      <c r="F907" t="n">
        <v>13.7</v>
      </c>
      <c r="G907" t="n">
        <v>4.2</v>
      </c>
      <c r="H907" t="n">
        <v>0</v>
      </c>
      <c r="I907">
        <f>DAY(EOMONTH(DATE(VALUE(LEFT(E907,4)),VALUE(RIGHT(E907,2)),1),0))</f>
        <v/>
      </c>
      <c r="J907">
        <f>VALUE(LEFT(E907,4))*12+VALUE(RIGHT(E907,2))-1</f>
        <v/>
      </c>
    </row>
    <row r="908">
      <c r="A908" t="inlineStr">
        <is>
          <t>El Trapial</t>
        </is>
      </c>
      <c r="B908" t="inlineStr">
        <is>
          <t>Neuquina</t>
        </is>
      </c>
      <c r="C908" t="inlineStr">
        <is>
          <t>CHEVRON ARGENTINA S.R.L.</t>
        </is>
      </c>
      <c r="D908" t="inlineStr">
        <is>
          <t>convencional</t>
        </is>
      </c>
      <c r="E908" t="inlineStr">
        <is>
          <t>2018-12</t>
        </is>
      </c>
      <c r="F908" t="n">
        <v>27004.2</v>
      </c>
      <c r="G908" t="n">
        <v>1093860.9</v>
      </c>
      <c r="H908" t="n">
        <v>1276065.5</v>
      </c>
      <c r="I908">
        <f>DAY(EOMONTH(DATE(VALUE(LEFT(E908,4)),VALUE(RIGHT(E908,2)),1),0))</f>
        <v/>
      </c>
      <c r="J908">
        <f>VALUE(LEFT(E908,4))*12+VALUE(RIGHT(E908,2))-1</f>
        <v/>
      </c>
    </row>
    <row r="909">
      <c r="A909" t="inlineStr">
        <is>
          <t>El Trapial</t>
        </is>
      </c>
      <c r="B909" t="inlineStr">
        <is>
          <t>Neuquina</t>
        </is>
      </c>
      <c r="C909" t="inlineStr">
        <is>
          <t>CHEVRON ARGENTINA S.R.L.</t>
        </is>
      </c>
      <c r="D909" t="inlineStr">
        <is>
          <t>no convencional</t>
        </is>
      </c>
      <c r="E909" t="inlineStr">
        <is>
          <t>2018-12</t>
        </is>
      </c>
      <c r="F909" t="n">
        <v>38.8</v>
      </c>
      <c r="G909" t="n">
        <v>11.8</v>
      </c>
      <c r="H909" t="n">
        <v>0</v>
      </c>
      <c r="I909">
        <f>DAY(EOMONTH(DATE(VALUE(LEFT(E909,4)),VALUE(RIGHT(E909,2)),1),0))</f>
        <v/>
      </c>
      <c r="J909">
        <f>VALUE(LEFT(E909,4))*12+VALUE(RIGHT(E909,2))-1</f>
        <v/>
      </c>
    </row>
    <row r="910">
      <c r="A910" t="inlineStr">
        <is>
          <t>El Trapial</t>
        </is>
      </c>
      <c r="B910" t="inlineStr">
        <is>
          <t>Neuquina</t>
        </is>
      </c>
      <c r="C910" t="inlineStr">
        <is>
          <t>CHEVRON ARGENTINA S.R.L.</t>
        </is>
      </c>
      <c r="D910" t="inlineStr">
        <is>
          <t>convencional</t>
        </is>
      </c>
      <c r="E910" t="inlineStr">
        <is>
          <t>2019-01</t>
        </is>
      </c>
      <c r="F910" t="n">
        <v>26474.1</v>
      </c>
      <c r="G910" t="n">
        <v>1082490.6</v>
      </c>
      <c r="H910" t="n">
        <v>1272435.3</v>
      </c>
      <c r="I910">
        <f>DAY(EOMONTH(DATE(VALUE(LEFT(E910,4)),VALUE(RIGHT(E910,2)),1),0))</f>
        <v/>
      </c>
      <c r="J910">
        <f>VALUE(LEFT(E910,4))*12+VALUE(RIGHT(E910,2))-1</f>
        <v/>
      </c>
    </row>
    <row r="911">
      <c r="A911" t="inlineStr">
        <is>
          <t>El Trapial</t>
        </is>
      </c>
      <c r="B911" t="inlineStr">
        <is>
          <t>Neuquina</t>
        </is>
      </c>
      <c r="C911" t="inlineStr">
        <is>
          <t>CHEVRON ARGENTINA S.R.L.</t>
        </is>
      </c>
      <c r="D911" t="inlineStr">
        <is>
          <t>no convencional</t>
        </is>
      </c>
      <c r="E911" t="inlineStr">
        <is>
          <t>2019-01</t>
        </is>
      </c>
      <c r="F911" t="n">
        <v>78.90000000000001</v>
      </c>
      <c r="G911" t="n">
        <v>55.4</v>
      </c>
      <c r="H911" t="n">
        <v>0</v>
      </c>
      <c r="I911">
        <f>DAY(EOMONTH(DATE(VALUE(LEFT(E911,4)),VALUE(RIGHT(E911,2)),1),0))</f>
        <v/>
      </c>
      <c r="J911">
        <f>VALUE(LEFT(E911,4))*12+VALUE(RIGHT(E911,2))-1</f>
        <v/>
      </c>
    </row>
    <row r="912">
      <c r="A912" t="inlineStr">
        <is>
          <t>El Trapial</t>
        </is>
      </c>
      <c r="B912" t="inlineStr">
        <is>
          <t>Neuquina</t>
        </is>
      </c>
      <c r="C912" t="inlineStr">
        <is>
          <t>CHEVRON ARGENTINA S.R.L.</t>
        </is>
      </c>
      <c r="D912" t="inlineStr">
        <is>
          <t>convencional</t>
        </is>
      </c>
      <c r="E912" t="inlineStr">
        <is>
          <t>2019-02</t>
        </is>
      </c>
      <c r="F912" t="n">
        <v>23186.9</v>
      </c>
      <c r="G912" t="n">
        <v>974996</v>
      </c>
      <c r="H912" t="n">
        <v>1128089.4</v>
      </c>
      <c r="I912">
        <f>DAY(EOMONTH(DATE(VALUE(LEFT(E912,4)),VALUE(RIGHT(E912,2)),1),0))</f>
        <v/>
      </c>
      <c r="J912">
        <f>VALUE(LEFT(E912,4))*12+VALUE(RIGHT(E912,2))-1</f>
        <v/>
      </c>
    </row>
    <row r="913">
      <c r="A913" t="inlineStr">
        <is>
          <t>El Trapial</t>
        </is>
      </c>
      <c r="B913" t="inlineStr">
        <is>
          <t>Neuquina</t>
        </is>
      </c>
      <c r="C913" t="inlineStr">
        <is>
          <t>CHEVRON ARGENTINA S.R.L.</t>
        </is>
      </c>
      <c r="D913" t="inlineStr">
        <is>
          <t>no convencional</t>
        </is>
      </c>
      <c r="E913" t="inlineStr">
        <is>
          <t>2019-02</t>
        </is>
      </c>
      <c r="F913" t="n">
        <v>26.1</v>
      </c>
      <c r="G913" t="n">
        <v>64.40000000000001</v>
      </c>
      <c r="H913" t="n">
        <v>0</v>
      </c>
      <c r="I913">
        <f>DAY(EOMONTH(DATE(VALUE(LEFT(E913,4)),VALUE(RIGHT(E913,2)),1),0))</f>
        <v/>
      </c>
      <c r="J913">
        <f>VALUE(LEFT(E913,4))*12+VALUE(RIGHT(E913,2))-1</f>
        <v/>
      </c>
    </row>
    <row r="914">
      <c r="A914" t="inlineStr">
        <is>
          <t>El Trapial</t>
        </is>
      </c>
      <c r="B914" t="inlineStr">
        <is>
          <t>Neuquina</t>
        </is>
      </c>
      <c r="C914" t="inlineStr">
        <is>
          <t>CHEVRON ARGENTINA S.R.L.</t>
        </is>
      </c>
      <c r="D914" t="inlineStr">
        <is>
          <t>convencional</t>
        </is>
      </c>
      <c r="E914" t="inlineStr">
        <is>
          <t>2019-03</t>
        </is>
      </c>
      <c r="F914" t="n">
        <v>26027.2</v>
      </c>
      <c r="G914" t="n">
        <v>1074736</v>
      </c>
      <c r="H914" t="n">
        <v>1240109.1</v>
      </c>
      <c r="I914">
        <f>DAY(EOMONTH(DATE(VALUE(LEFT(E914,4)),VALUE(RIGHT(E914,2)),1),0))</f>
        <v/>
      </c>
      <c r="J914">
        <f>VALUE(LEFT(E914,4))*12+VALUE(RIGHT(E914,2))-1</f>
        <v/>
      </c>
    </row>
    <row r="915">
      <c r="A915" t="inlineStr">
        <is>
          <t>El Trapial</t>
        </is>
      </c>
      <c r="B915" t="inlineStr">
        <is>
          <t>Neuquina</t>
        </is>
      </c>
      <c r="C915" t="inlineStr">
        <is>
          <t>CHEVRON ARGENTINA S.R.L.</t>
        </is>
      </c>
      <c r="D915" t="inlineStr">
        <is>
          <t>no convencional</t>
        </is>
      </c>
      <c r="E915" t="inlineStr">
        <is>
          <t>2019-03</t>
        </is>
      </c>
      <c r="F915" t="n">
        <v>37.8</v>
      </c>
      <c r="G915" t="n">
        <v>89.8</v>
      </c>
      <c r="H915" t="n">
        <v>0</v>
      </c>
      <c r="I915">
        <f>DAY(EOMONTH(DATE(VALUE(LEFT(E915,4)),VALUE(RIGHT(E915,2)),1),0))</f>
        <v/>
      </c>
      <c r="J915">
        <f>VALUE(LEFT(E915,4))*12+VALUE(RIGHT(E915,2))-1</f>
        <v/>
      </c>
    </row>
    <row r="916">
      <c r="A916" t="inlineStr">
        <is>
          <t>El Trapial</t>
        </is>
      </c>
      <c r="B916" t="inlineStr">
        <is>
          <t>Neuquina</t>
        </is>
      </c>
      <c r="C916" t="inlineStr">
        <is>
          <t>CHEVRON ARGENTINA S.R.L.</t>
        </is>
      </c>
      <c r="D916" t="inlineStr">
        <is>
          <t>convencional</t>
        </is>
      </c>
      <c r="E916" t="inlineStr">
        <is>
          <t>2019-04</t>
        </is>
      </c>
      <c r="F916" t="n">
        <v>25529.8</v>
      </c>
      <c r="G916" t="n">
        <v>1034014.7</v>
      </c>
      <c r="H916" t="n">
        <v>1178917.4</v>
      </c>
      <c r="I916">
        <f>DAY(EOMONTH(DATE(VALUE(LEFT(E916,4)),VALUE(RIGHT(E916,2)),1),0))</f>
        <v/>
      </c>
      <c r="J916">
        <f>VALUE(LEFT(E916,4))*12+VALUE(RIGHT(E916,2))-1</f>
        <v/>
      </c>
    </row>
    <row r="917">
      <c r="A917" t="inlineStr">
        <is>
          <t>El Trapial</t>
        </is>
      </c>
      <c r="B917" t="inlineStr">
        <is>
          <t>Neuquina</t>
        </is>
      </c>
      <c r="C917" t="inlineStr">
        <is>
          <t>CHEVRON ARGENTINA S.R.L.</t>
        </is>
      </c>
      <c r="D917" t="inlineStr">
        <is>
          <t>no convencional</t>
        </is>
      </c>
      <c r="E917" t="inlineStr">
        <is>
          <t>2019-04</t>
        </is>
      </c>
      <c r="F917" t="n">
        <v>43.2</v>
      </c>
      <c r="G917" t="n">
        <v>71.09999999999999</v>
      </c>
      <c r="H917" t="n">
        <v>0</v>
      </c>
      <c r="I917">
        <f>DAY(EOMONTH(DATE(VALUE(LEFT(E917,4)),VALUE(RIGHT(E917,2)),1),0))</f>
        <v/>
      </c>
      <c r="J917">
        <f>VALUE(LEFT(E917,4))*12+VALUE(RIGHT(E917,2))-1</f>
        <v/>
      </c>
    </row>
    <row r="918">
      <c r="A918" t="inlineStr">
        <is>
          <t>El Trapial</t>
        </is>
      </c>
      <c r="B918" t="inlineStr">
        <is>
          <t>Neuquina</t>
        </is>
      </c>
      <c r="C918" t="inlineStr">
        <is>
          <t>CHEVRON ARGENTINA S.R.L.</t>
        </is>
      </c>
      <c r="D918" t="inlineStr">
        <is>
          <t>convencional</t>
        </is>
      </c>
      <c r="E918" t="inlineStr">
        <is>
          <t>2019-05</t>
        </is>
      </c>
      <c r="F918" t="n">
        <v>26246.3</v>
      </c>
      <c r="G918" t="n">
        <v>1076708.5</v>
      </c>
      <c r="H918" t="n">
        <v>1209729.2</v>
      </c>
      <c r="I918">
        <f>DAY(EOMONTH(DATE(VALUE(LEFT(E918,4)),VALUE(RIGHT(E918,2)),1),0))</f>
        <v/>
      </c>
      <c r="J918">
        <f>VALUE(LEFT(E918,4))*12+VALUE(RIGHT(E918,2))-1</f>
        <v/>
      </c>
    </row>
    <row r="919">
      <c r="A919" t="inlineStr">
        <is>
          <t>El Trapial</t>
        </is>
      </c>
      <c r="B919" t="inlineStr">
        <is>
          <t>Neuquina</t>
        </is>
      </c>
      <c r="C919" t="inlineStr">
        <is>
          <t>CHEVRON ARGENTINA S.R.L.</t>
        </is>
      </c>
      <c r="D919" t="inlineStr">
        <is>
          <t>no convencional</t>
        </is>
      </c>
      <c r="E919" t="inlineStr">
        <is>
          <t>2019-05</t>
        </is>
      </c>
      <c r="F919" t="n">
        <v>44.6</v>
      </c>
      <c r="G919" t="n">
        <v>73.5</v>
      </c>
      <c r="H919" t="n">
        <v>0</v>
      </c>
      <c r="I919">
        <f>DAY(EOMONTH(DATE(VALUE(LEFT(E919,4)),VALUE(RIGHT(E919,2)),1),0))</f>
        <v/>
      </c>
      <c r="J919">
        <f>VALUE(LEFT(E919,4))*12+VALUE(RIGHT(E919,2))-1</f>
        <v/>
      </c>
    </row>
    <row r="920">
      <c r="A920" t="inlineStr">
        <is>
          <t>El Trapial</t>
        </is>
      </c>
      <c r="B920" t="inlineStr">
        <is>
          <t>Neuquina</t>
        </is>
      </c>
      <c r="C920" t="inlineStr">
        <is>
          <t>CHEVRON ARGENTINA S.R.L.</t>
        </is>
      </c>
      <c r="D920" t="inlineStr">
        <is>
          <t>convencional</t>
        </is>
      </c>
      <c r="E920" t="inlineStr">
        <is>
          <t>2019-06</t>
        </is>
      </c>
      <c r="F920" t="n">
        <v>23994.8</v>
      </c>
      <c r="G920" t="n">
        <v>992181</v>
      </c>
      <c r="H920" t="n">
        <v>1121194.3</v>
      </c>
      <c r="I920">
        <f>DAY(EOMONTH(DATE(VALUE(LEFT(E920,4)),VALUE(RIGHT(E920,2)),1),0))</f>
        <v/>
      </c>
      <c r="J920">
        <f>VALUE(LEFT(E920,4))*12+VALUE(RIGHT(E920,2))-1</f>
        <v/>
      </c>
    </row>
    <row r="921">
      <c r="A921" t="inlineStr">
        <is>
          <t>El Trapial</t>
        </is>
      </c>
      <c r="B921" t="inlineStr">
        <is>
          <t>Neuquina</t>
        </is>
      </c>
      <c r="C921" t="inlineStr">
        <is>
          <t>CHEVRON ARGENTINA S.R.L.</t>
        </is>
      </c>
      <c r="D921" t="inlineStr">
        <is>
          <t>no convencional</t>
        </is>
      </c>
      <c r="E921" t="inlineStr">
        <is>
          <t>2019-06</t>
        </is>
      </c>
      <c r="F921" t="n">
        <v>25.2</v>
      </c>
      <c r="G921" t="n">
        <v>41.5</v>
      </c>
      <c r="H921" t="n">
        <v>0</v>
      </c>
      <c r="I921">
        <f>DAY(EOMONTH(DATE(VALUE(LEFT(E921,4)),VALUE(RIGHT(E921,2)),1),0))</f>
        <v/>
      </c>
      <c r="J921">
        <f>VALUE(LEFT(E921,4))*12+VALUE(RIGHT(E921,2))-1</f>
        <v/>
      </c>
    </row>
    <row r="922">
      <c r="A922" t="inlineStr">
        <is>
          <t>El Trapial</t>
        </is>
      </c>
      <c r="B922" t="inlineStr">
        <is>
          <t>Neuquina</t>
        </is>
      </c>
      <c r="C922" t="inlineStr">
        <is>
          <t>CHEVRON ARGENTINA S.R.L.</t>
        </is>
      </c>
      <c r="D922" t="inlineStr">
        <is>
          <t>convencional</t>
        </is>
      </c>
      <c r="E922" t="inlineStr">
        <is>
          <t>2019-07</t>
        </is>
      </c>
      <c r="F922" t="n">
        <v>26329.3</v>
      </c>
      <c r="G922" t="n">
        <v>1071089.4</v>
      </c>
      <c r="H922" t="n">
        <v>1227039.3</v>
      </c>
      <c r="I922">
        <f>DAY(EOMONTH(DATE(VALUE(LEFT(E922,4)),VALUE(RIGHT(E922,2)),1),0))</f>
        <v/>
      </c>
      <c r="J922">
        <f>VALUE(LEFT(E922,4))*12+VALUE(RIGHT(E922,2))-1</f>
        <v/>
      </c>
    </row>
    <row r="923">
      <c r="A923" t="inlineStr">
        <is>
          <t>El Trapial</t>
        </is>
      </c>
      <c r="B923" t="inlineStr">
        <is>
          <t>Neuquina</t>
        </is>
      </c>
      <c r="C923" t="inlineStr">
        <is>
          <t>CHEVRON ARGENTINA S.R.L.</t>
        </is>
      </c>
      <c r="D923" t="inlineStr">
        <is>
          <t>no convencional</t>
        </is>
      </c>
      <c r="E923" t="inlineStr">
        <is>
          <t>2019-07</t>
        </is>
      </c>
      <c r="F923" t="n">
        <v>46.7</v>
      </c>
      <c r="G923" t="n">
        <v>80.3</v>
      </c>
      <c r="H923" t="n">
        <v>0</v>
      </c>
      <c r="I923">
        <f>DAY(EOMONTH(DATE(VALUE(LEFT(E923,4)),VALUE(RIGHT(E923,2)),1),0))</f>
        <v/>
      </c>
      <c r="J923">
        <f>VALUE(LEFT(E923,4))*12+VALUE(RIGHT(E923,2))-1</f>
        <v/>
      </c>
    </row>
    <row r="924">
      <c r="A924" t="inlineStr">
        <is>
          <t>El Trapial</t>
        </is>
      </c>
      <c r="B924" t="inlineStr">
        <is>
          <t>Neuquina</t>
        </is>
      </c>
      <c r="C924" t="inlineStr">
        <is>
          <t>CHEVRON ARGENTINA S.R.L.</t>
        </is>
      </c>
      <c r="D924" t="inlineStr">
        <is>
          <t>convencional</t>
        </is>
      </c>
      <c r="E924" t="inlineStr">
        <is>
          <t>2019-08</t>
        </is>
      </c>
      <c r="F924" t="n">
        <v>26490</v>
      </c>
      <c r="G924" t="n">
        <v>1073362.4</v>
      </c>
      <c r="H924" t="n">
        <v>1209959.2</v>
      </c>
      <c r="I924">
        <f>DAY(EOMONTH(DATE(VALUE(LEFT(E924,4)),VALUE(RIGHT(E924,2)),1),0))</f>
        <v/>
      </c>
      <c r="J924">
        <f>VALUE(LEFT(E924,4))*12+VALUE(RIGHT(E924,2))-1</f>
        <v/>
      </c>
    </row>
    <row r="925">
      <c r="A925" t="inlineStr">
        <is>
          <t>El Trapial</t>
        </is>
      </c>
      <c r="B925" t="inlineStr">
        <is>
          <t>Neuquina</t>
        </is>
      </c>
      <c r="C925" t="inlineStr">
        <is>
          <t>CHEVRON ARGENTINA S.R.L.</t>
        </is>
      </c>
      <c r="D925" t="inlineStr">
        <is>
          <t>no convencional</t>
        </is>
      </c>
      <c r="E925" t="inlineStr">
        <is>
          <t>2019-08</t>
        </is>
      </c>
      <c r="F925" t="n">
        <v>70.09999999999999</v>
      </c>
      <c r="G925" t="n">
        <v>128.7</v>
      </c>
      <c r="H925" t="n">
        <v>0</v>
      </c>
      <c r="I925">
        <f>DAY(EOMONTH(DATE(VALUE(LEFT(E925,4)),VALUE(RIGHT(E925,2)),1),0))</f>
        <v/>
      </c>
      <c r="J925">
        <f>VALUE(LEFT(E925,4))*12+VALUE(RIGHT(E925,2))-1</f>
        <v/>
      </c>
    </row>
    <row r="926">
      <c r="A926" t="inlineStr">
        <is>
          <t>El Trapial</t>
        </is>
      </c>
      <c r="B926" t="inlineStr">
        <is>
          <t>Neuquina</t>
        </is>
      </c>
      <c r="C926" t="inlineStr">
        <is>
          <t>CHEVRON ARGENTINA S.R.L.</t>
        </is>
      </c>
      <c r="D926" t="inlineStr">
        <is>
          <t>convencional</t>
        </is>
      </c>
      <c r="E926" t="inlineStr">
        <is>
          <t>2019-09</t>
        </is>
      </c>
      <c r="F926" t="n">
        <v>25222.2</v>
      </c>
      <c r="G926" t="n">
        <v>1032350.6</v>
      </c>
      <c r="H926" t="n">
        <v>1157766.4</v>
      </c>
      <c r="I926">
        <f>DAY(EOMONTH(DATE(VALUE(LEFT(E926,4)),VALUE(RIGHT(E926,2)),1),0))</f>
        <v/>
      </c>
      <c r="J926">
        <f>VALUE(LEFT(E926,4))*12+VALUE(RIGHT(E926,2))-1</f>
        <v/>
      </c>
    </row>
    <row r="927">
      <c r="A927" t="inlineStr">
        <is>
          <t>El Trapial</t>
        </is>
      </c>
      <c r="B927" t="inlineStr">
        <is>
          <t>Neuquina</t>
        </is>
      </c>
      <c r="C927" t="inlineStr">
        <is>
          <t>CHEVRON ARGENTINA S.R.L.</t>
        </is>
      </c>
      <c r="D927" t="inlineStr">
        <is>
          <t>no convencional</t>
        </is>
      </c>
      <c r="E927" t="inlineStr">
        <is>
          <t>2019-09</t>
        </is>
      </c>
      <c r="F927" t="n">
        <v>67.8</v>
      </c>
      <c r="G927" t="n">
        <v>124.5</v>
      </c>
      <c r="H927" t="n">
        <v>0</v>
      </c>
      <c r="I927">
        <f>DAY(EOMONTH(DATE(VALUE(LEFT(E927,4)),VALUE(RIGHT(E927,2)),1),0))</f>
        <v/>
      </c>
      <c r="J927">
        <f>VALUE(LEFT(E927,4))*12+VALUE(RIGHT(E927,2))-1</f>
        <v/>
      </c>
    </row>
    <row r="928">
      <c r="A928" t="inlineStr">
        <is>
          <t>El Trapial</t>
        </is>
      </c>
      <c r="B928" t="inlineStr">
        <is>
          <t>Neuquina</t>
        </is>
      </c>
      <c r="C928" t="inlineStr">
        <is>
          <t>CHEVRON ARGENTINA S.R.L.</t>
        </is>
      </c>
      <c r="D928" t="inlineStr">
        <is>
          <t>convencional</t>
        </is>
      </c>
      <c r="E928" t="inlineStr">
        <is>
          <t>2019-10</t>
        </is>
      </c>
      <c r="F928" t="n">
        <v>26168</v>
      </c>
      <c r="G928" t="n">
        <v>1066888.2</v>
      </c>
      <c r="H928" t="n">
        <v>1180865.3</v>
      </c>
      <c r="I928">
        <f>DAY(EOMONTH(DATE(VALUE(LEFT(E928,4)),VALUE(RIGHT(E928,2)),1),0))</f>
        <v/>
      </c>
      <c r="J928">
        <f>VALUE(LEFT(E928,4))*12+VALUE(RIGHT(E928,2))-1</f>
        <v/>
      </c>
    </row>
    <row r="929">
      <c r="A929" t="inlineStr">
        <is>
          <t>El Trapial</t>
        </is>
      </c>
      <c r="B929" t="inlineStr">
        <is>
          <t>Neuquina</t>
        </is>
      </c>
      <c r="C929" t="inlineStr">
        <is>
          <t>CHEVRON ARGENTINA S.R.L.</t>
        </is>
      </c>
      <c r="D929" t="inlineStr">
        <is>
          <t>no convencional</t>
        </is>
      </c>
      <c r="E929" t="inlineStr">
        <is>
          <t>2019-10</t>
        </is>
      </c>
      <c r="F929" t="n">
        <v>70.09999999999999</v>
      </c>
      <c r="G929" t="n">
        <v>128.7</v>
      </c>
      <c r="H929" t="n">
        <v>0</v>
      </c>
      <c r="I929">
        <f>DAY(EOMONTH(DATE(VALUE(LEFT(E929,4)),VALUE(RIGHT(E929,2)),1),0))</f>
        <v/>
      </c>
      <c r="J929">
        <f>VALUE(LEFT(E929,4))*12+VALUE(RIGHT(E929,2))-1</f>
        <v/>
      </c>
    </row>
    <row r="930">
      <c r="A930" t="inlineStr">
        <is>
          <t>El Trapial</t>
        </is>
      </c>
      <c r="B930" t="inlineStr">
        <is>
          <t>Neuquina</t>
        </is>
      </c>
      <c r="C930" t="inlineStr">
        <is>
          <t>CHEVRON ARGENTINA S.R.L.</t>
        </is>
      </c>
      <c r="D930" t="inlineStr">
        <is>
          <t>convencional</t>
        </is>
      </c>
      <c r="E930" t="inlineStr">
        <is>
          <t>2019-11</t>
        </is>
      </c>
      <c r="F930" t="n">
        <v>25665.6</v>
      </c>
      <c r="G930" t="n">
        <v>1017383</v>
      </c>
      <c r="H930" t="n">
        <v>1138273.2</v>
      </c>
      <c r="I930">
        <f>DAY(EOMONTH(DATE(VALUE(LEFT(E930,4)),VALUE(RIGHT(E930,2)),1),0))</f>
        <v/>
      </c>
      <c r="J930">
        <f>VALUE(LEFT(E930,4))*12+VALUE(RIGHT(E930,2))-1</f>
        <v/>
      </c>
    </row>
    <row r="931">
      <c r="A931" t="inlineStr">
        <is>
          <t>El Trapial</t>
        </is>
      </c>
      <c r="B931" t="inlineStr">
        <is>
          <t>Neuquina</t>
        </is>
      </c>
      <c r="C931" t="inlineStr">
        <is>
          <t>CHEVRON ARGENTINA S.R.L.</t>
        </is>
      </c>
      <c r="D931" t="inlineStr">
        <is>
          <t>no convencional</t>
        </is>
      </c>
      <c r="E931" t="inlineStr">
        <is>
          <t>2019-11</t>
        </is>
      </c>
      <c r="F931" t="n">
        <v>62.5</v>
      </c>
      <c r="G931" t="n">
        <v>114.8</v>
      </c>
      <c r="H931" t="n">
        <v>0</v>
      </c>
      <c r="I931">
        <f>DAY(EOMONTH(DATE(VALUE(LEFT(E931,4)),VALUE(RIGHT(E931,2)),1),0))</f>
        <v/>
      </c>
      <c r="J931">
        <f>VALUE(LEFT(E931,4))*12+VALUE(RIGHT(E931,2))-1</f>
        <v/>
      </c>
    </row>
    <row r="932">
      <c r="A932" t="inlineStr">
        <is>
          <t>El Trapial</t>
        </is>
      </c>
      <c r="B932" t="inlineStr">
        <is>
          <t>Neuquina</t>
        </is>
      </c>
      <c r="C932" t="inlineStr">
        <is>
          <t>CHEVRON ARGENTINA S.R.L.</t>
        </is>
      </c>
      <c r="D932" t="inlineStr">
        <is>
          <t>convencional</t>
        </is>
      </c>
      <c r="E932" t="inlineStr">
        <is>
          <t>2019-12</t>
        </is>
      </c>
      <c r="F932" t="n">
        <v>25460.2</v>
      </c>
      <c r="G932" t="n">
        <v>1043825.6</v>
      </c>
      <c r="H932" t="n">
        <v>1162489.9</v>
      </c>
      <c r="I932">
        <f>DAY(EOMONTH(DATE(VALUE(LEFT(E932,4)),VALUE(RIGHT(E932,2)),1),0))</f>
        <v/>
      </c>
      <c r="J932">
        <f>VALUE(LEFT(E932,4))*12+VALUE(RIGHT(E932,2))-1</f>
        <v/>
      </c>
    </row>
    <row r="933">
      <c r="A933" t="inlineStr">
        <is>
          <t>El Trapial</t>
        </is>
      </c>
      <c r="B933" t="inlineStr">
        <is>
          <t>Neuquina</t>
        </is>
      </c>
      <c r="C933" t="inlineStr">
        <is>
          <t>CHEVRON ARGENTINA S.R.L.</t>
        </is>
      </c>
      <c r="D933" t="inlineStr">
        <is>
          <t>no convencional</t>
        </is>
      </c>
      <c r="E933" t="inlineStr">
        <is>
          <t>2019-12</t>
        </is>
      </c>
      <c r="F933" t="n">
        <v>67.8</v>
      </c>
      <c r="G933" t="n">
        <v>124.5</v>
      </c>
      <c r="H933" t="n">
        <v>0</v>
      </c>
      <c r="I933">
        <f>DAY(EOMONTH(DATE(VALUE(LEFT(E933,4)),VALUE(RIGHT(E933,2)),1),0))</f>
        <v/>
      </c>
      <c r="J933">
        <f>VALUE(LEFT(E933,4))*12+VALUE(RIGHT(E933,2))-1</f>
        <v/>
      </c>
    </row>
    <row r="934">
      <c r="A934" t="inlineStr">
        <is>
          <t>El Trapial</t>
        </is>
      </c>
      <c r="B934" t="inlineStr">
        <is>
          <t>Neuquina</t>
        </is>
      </c>
      <c r="C934" t="inlineStr">
        <is>
          <t>CHEVRON ARGENTINA S.R.L.</t>
        </is>
      </c>
      <c r="D934" t="inlineStr">
        <is>
          <t>convencional</t>
        </is>
      </c>
      <c r="E934" t="inlineStr">
        <is>
          <t>2020-01</t>
        </is>
      </c>
      <c r="F934" t="n">
        <v>25318.9</v>
      </c>
      <c r="G934" t="n">
        <v>1047045.2</v>
      </c>
      <c r="H934" t="n">
        <v>1183885</v>
      </c>
      <c r="I934">
        <f>DAY(EOMONTH(DATE(VALUE(LEFT(E934,4)),VALUE(RIGHT(E934,2)),1),0))</f>
        <v/>
      </c>
      <c r="J934">
        <f>VALUE(LEFT(E934,4))*12+VALUE(RIGHT(E934,2))-1</f>
        <v/>
      </c>
    </row>
    <row r="935">
      <c r="A935" t="inlineStr">
        <is>
          <t>El Trapial</t>
        </is>
      </c>
      <c r="B935" t="inlineStr">
        <is>
          <t>Neuquina</t>
        </is>
      </c>
      <c r="C935" t="inlineStr">
        <is>
          <t>CHEVRON ARGENTINA S.R.L.</t>
        </is>
      </c>
      <c r="D935" t="inlineStr">
        <is>
          <t>no convencional</t>
        </is>
      </c>
      <c r="E935" t="inlineStr">
        <is>
          <t>2020-01</t>
        </is>
      </c>
      <c r="F935" t="n">
        <v>70.09999999999999</v>
      </c>
      <c r="G935" t="n">
        <v>128.7</v>
      </c>
      <c r="H935" t="n">
        <v>0</v>
      </c>
      <c r="I935">
        <f>DAY(EOMONTH(DATE(VALUE(LEFT(E935,4)),VALUE(RIGHT(E935,2)),1),0))</f>
        <v/>
      </c>
      <c r="J935">
        <f>VALUE(LEFT(E935,4))*12+VALUE(RIGHT(E935,2))-1</f>
        <v/>
      </c>
    </row>
    <row r="936">
      <c r="A936" t="inlineStr">
        <is>
          <t>El Trapial</t>
        </is>
      </c>
      <c r="B936" t="inlineStr">
        <is>
          <t>Neuquina</t>
        </is>
      </c>
      <c r="C936" t="inlineStr">
        <is>
          <t>CHEVRON ARGENTINA S.R.L.</t>
        </is>
      </c>
      <c r="D936" t="inlineStr">
        <is>
          <t>convencional</t>
        </is>
      </c>
      <c r="E936" t="inlineStr">
        <is>
          <t>2020-02</t>
        </is>
      </c>
      <c r="F936" t="n">
        <v>23955.5</v>
      </c>
      <c r="G936" t="n">
        <v>968879.2</v>
      </c>
      <c r="H936" t="n">
        <v>1092684.6</v>
      </c>
      <c r="I936">
        <f>DAY(EOMONTH(DATE(VALUE(LEFT(E936,4)),VALUE(RIGHT(E936,2)),1),0))</f>
        <v/>
      </c>
      <c r="J936">
        <f>VALUE(LEFT(E936,4))*12+VALUE(RIGHT(E936,2))-1</f>
        <v/>
      </c>
    </row>
    <row r="937">
      <c r="A937" t="inlineStr">
        <is>
          <t>El Trapial</t>
        </is>
      </c>
      <c r="B937" t="inlineStr">
        <is>
          <t>Neuquina</t>
        </is>
      </c>
      <c r="C937" t="inlineStr">
        <is>
          <t>CHEVRON ARGENTINA S.R.L.</t>
        </is>
      </c>
      <c r="D937" t="inlineStr">
        <is>
          <t>no convencional</t>
        </is>
      </c>
      <c r="E937" t="inlineStr">
        <is>
          <t>2020-02</t>
        </is>
      </c>
      <c r="F937" t="n">
        <v>65.5</v>
      </c>
      <c r="G937" t="n">
        <v>120.3</v>
      </c>
      <c r="H937" t="n">
        <v>0</v>
      </c>
      <c r="I937">
        <f>DAY(EOMONTH(DATE(VALUE(LEFT(E937,4)),VALUE(RIGHT(E937,2)),1),0))</f>
        <v/>
      </c>
      <c r="J937">
        <f>VALUE(LEFT(E937,4))*12+VALUE(RIGHT(E937,2))-1</f>
        <v/>
      </c>
    </row>
    <row r="938">
      <c r="A938" t="inlineStr">
        <is>
          <t>El Trapial</t>
        </is>
      </c>
      <c r="B938" t="inlineStr">
        <is>
          <t>Neuquina</t>
        </is>
      </c>
      <c r="C938" t="inlineStr">
        <is>
          <t>CHEVRON ARGENTINA S.R.L.</t>
        </is>
      </c>
      <c r="D938" t="inlineStr">
        <is>
          <t>convencional</t>
        </is>
      </c>
      <c r="E938" t="inlineStr">
        <is>
          <t>2020-03</t>
        </is>
      </c>
      <c r="F938" t="n">
        <v>23544.6</v>
      </c>
      <c r="G938" t="n">
        <v>1005674.1</v>
      </c>
      <c r="H938" t="n">
        <v>1153588.7</v>
      </c>
      <c r="I938">
        <f>DAY(EOMONTH(DATE(VALUE(LEFT(E938,4)),VALUE(RIGHT(E938,2)),1),0))</f>
        <v/>
      </c>
      <c r="J938">
        <f>VALUE(LEFT(E938,4))*12+VALUE(RIGHT(E938,2))-1</f>
        <v/>
      </c>
    </row>
    <row r="939">
      <c r="A939" t="inlineStr">
        <is>
          <t>El Trapial</t>
        </is>
      </c>
      <c r="B939" t="inlineStr">
        <is>
          <t>Neuquina</t>
        </is>
      </c>
      <c r="C939" t="inlineStr">
        <is>
          <t>CHEVRON ARGENTINA S.R.L.</t>
        </is>
      </c>
      <c r="D939" t="inlineStr">
        <is>
          <t>no convencional</t>
        </is>
      </c>
      <c r="E939" t="inlineStr">
        <is>
          <t>2020-03</t>
        </is>
      </c>
      <c r="F939" t="n">
        <v>5.4</v>
      </c>
      <c r="G939" t="n">
        <v>9.9</v>
      </c>
      <c r="H939" t="n">
        <v>0</v>
      </c>
      <c r="I939">
        <f>DAY(EOMONTH(DATE(VALUE(LEFT(E939,4)),VALUE(RIGHT(E939,2)),1),0))</f>
        <v/>
      </c>
      <c r="J939">
        <f>VALUE(LEFT(E939,4))*12+VALUE(RIGHT(E939,2))-1</f>
        <v/>
      </c>
    </row>
    <row r="940">
      <c r="A940" t="inlineStr">
        <is>
          <t>El Trapial</t>
        </is>
      </c>
      <c r="B940" t="inlineStr">
        <is>
          <t>Neuquina</t>
        </is>
      </c>
      <c r="C940" t="inlineStr">
        <is>
          <t>CHEVRON ARGENTINA S.R.L.</t>
        </is>
      </c>
      <c r="D940" t="inlineStr">
        <is>
          <t>convencional</t>
        </is>
      </c>
      <c r="E940" t="inlineStr">
        <is>
          <t>2020-04</t>
        </is>
      </c>
      <c r="F940" t="n">
        <v>23555</v>
      </c>
      <c r="G940" t="n">
        <v>968745.3</v>
      </c>
      <c r="H940" t="n">
        <v>1139220.7</v>
      </c>
      <c r="I940">
        <f>DAY(EOMONTH(DATE(VALUE(LEFT(E940,4)),VALUE(RIGHT(E940,2)),1),0))</f>
        <v/>
      </c>
      <c r="J940">
        <f>VALUE(LEFT(E940,4))*12+VALUE(RIGHT(E940,2))-1</f>
        <v/>
      </c>
    </row>
    <row r="941">
      <c r="A941" t="inlineStr">
        <is>
          <t>El Trapial</t>
        </is>
      </c>
      <c r="B941" t="inlineStr">
        <is>
          <t>Neuquina</t>
        </is>
      </c>
      <c r="C941" t="inlineStr">
        <is>
          <t>CHEVRON ARGENTINA S.R.L.</t>
        </is>
      </c>
      <c r="D941" t="inlineStr">
        <is>
          <t>no convencional</t>
        </is>
      </c>
      <c r="E941" t="inlineStr">
        <is>
          <t>2020-04</t>
        </is>
      </c>
      <c r="F941" t="n">
        <v>0</v>
      </c>
      <c r="G941" t="n">
        <v>0</v>
      </c>
      <c r="H941" t="n">
        <v>0</v>
      </c>
      <c r="I941">
        <f>DAY(EOMONTH(DATE(VALUE(LEFT(E941,4)),VALUE(RIGHT(E941,2)),1),0))</f>
        <v/>
      </c>
      <c r="J941">
        <f>VALUE(LEFT(E941,4))*12+VALUE(RIGHT(E941,2))-1</f>
        <v/>
      </c>
    </row>
    <row r="942">
      <c r="A942" t="inlineStr">
        <is>
          <t>El Trapial</t>
        </is>
      </c>
      <c r="B942" t="inlineStr">
        <is>
          <t>Neuquina</t>
        </is>
      </c>
      <c r="C942" t="inlineStr">
        <is>
          <t>CHEVRON ARGENTINA S.R.L.</t>
        </is>
      </c>
      <c r="D942" t="inlineStr">
        <is>
          <t>convencional</t>
        </is>
      </c>
      <c r="E942" t="inlineStr">
        <is>
          <t>2020-05</t>
        </is>
      </c>
      <c r="F942" t="n">
        <v>24206.8</v>
      </c>
      <c r="G942" t="n">
        <v>957055.4</v>
      </c>
      <c r="H942" t="n">
        <v>1126551.8</v>
      </c>
      <c r="I942">
        <f>DAY(EOMONTH(DATE(VALUE(LEFT(E942,4)),VALUE(RIGHT(E942,2)),1),0))</f>
        <v/>
      </c>
      <c r="J942">
        <f>VALUE(LEFT(E942,4))*12+VALUE(RIGHT(E942,2))-1</f>
        <v/>
      </c>
    </row>
    <row r="943">
      <c r="A943" t="inlineStr">
        <is>
          <t>El Trapial</t>
        </is>
      </c>
      <c r="B943" t="inlineStr">
        <is>
          <t>Neuquina</t>
        </is>
      </c>
      <c r="C943" t="inlineStr">
        <is>
          <t>CHEVRON ARGENTINA S.R.L.</t>
        </is>
      </c>
      <c r="D943" t="inlineStr">
        <is>
          <t>no convencional</t>
        </is>
      </c>
      <c r="E943" t="inlineStr">
        <is>
          <t>2020-05</t>
        </is>
      </c>
      <c r="F943" t="n">
        <v>2.3</v>
      </c>
      <c r="G943" t="n">
        <v>4.2</v>
      </c>
      <c r="H943" t="n">
        <v>0</v>
      </c>
      <c r="I943">
        <f>DAY(EOMONTH(DATE(VALUE(LEFT(E943,4)),VALUE(RIGHT(E943,2)),1),0))</f>
        <v/>
      </c>
      <c r="J943">
        <f>VALUE(LEFT(E943,4))*12+VALUE(RIGHT(E943,2))-1</f>
        <v/>
      </c>
    </row>
    <row r="944">
      <c r="A944" t="inlineStr">
        <is>
          <t>El Trapial</t>
        </is>
      </c>
      <c r="B944" t="inlineStr">
        <is>
          <t>Neuquina</t>
        </is>
      </c>
      <c r="C944" t="inlineStr">
        <is>
          <t>CHEVRON ARGENTINA S.R.L.</t>
        </is>
      </c>
      <c r="D944" t="inlineStr">
        <is>
          <t>convencional</t>
        </is>
      </c>
      <c r="E944" t="inlineStr">
        <is>
          <t>2020-06</t>
        </is>
      </c>
      <c r="F944" t="n">
        <v>23158</v>
      </c>
      <c r="G944" t="n">
        <v>929043.3</v>
      </c>
      <c r="H944" t="n">
        <v>1020253.7</v>
      </c>
      <c r="I944">
        <f>DAY(EOMONTH(DATE(VALUE(LEFT(E944,4)),VALUE(RIGHT(E944,2)),1),0))</f>
        <v/>
      </c>
      <c r="J944">
        <f>VALUE(LEFT(E944,4))*12+VALUE(RIGHT(E944,2))-1</f>
        <v/>
      </c>
    </row>
    <row r="945">
      <c r="A945" t="inlineStr">
        <is>
          <t>El Trapial</t>
        </is>
      </c>
      <c r="B945" t="inlineStr">
        <is>
          <t>Neuquina</t>
        </is>
      </c>
      <c r="C945" t="inlineStr">
        <is>
          <t>CHEVRON ARGENTINA S.R.L.</t>
        </is>
      </c>
      <c r="D945" t="inlineStr">
        <is>
          <t>no convencional</t>
        </is>
      </c>
      <c r="E945" t="inlineStr">
        <is>
          <t>2020-06</t>
        </is>
      </c>
      <c r="F945" t="n">
        <v>0</v>
      </c>
      <c r="G945" t="n">
        <v>0</v>
      </c>
      <c r="H945" t="n">
        <v>0</v>
      </c>
      <c r="I945">
        <f>DAY(EOMONTH(DATE(VALUE(LEFT(E945,4)),VALUE(RIGHT(E945,2)),1),0))</f>
        <v/>
      </c>
      <c r="J945">
        <f>VALUE(LEFT(E945,4))*12+VALUE(RIGHT(E945,2))-1</f>
        <v/>
      </c>
    </row>
    <row r="946">
      <c r="A946" t="inlineStr">
        <is>
          <t>El Trapial</t>
        </is>
      </c>
      <c r="B946" t="inlineStr">
        <is>
          <t>Neuquina</t>
        </is>
      </c>
      <c r="C946" t="inlineStr">
        <is>
          <t>CHEVRON ARGENTINA S.R.L.</t>
        </is>
      </c>
      <c r="D946" t="inlineStr">
        <is>
          <t>convencional</t>
        </is>
      </c>
      <c r="E946" t="inlineStr">
        <is>
          <t>2020-07</t>
        </is>
      </c>
      <c r="F946" t="n">
        <v>22909.9</v>
      </c>
      <c r="G946" t="n">
        <v>958274.5</v>
      </c>
      <c r="H946" t="n">
        <v>1056949.5</v>
      </c>
      <c r="I946">
        <f>DAY(EOMONTH(DATE(VALUE(LEFT(E946,4)),VALUE(RIGHT(E946,2)),1),0))</f>
        <v/>
      </c>
      <c r="J946">
        <f>VALUE(LEFT(E946,4))*12+VALUE(RIGHT(E946,2))-1</f>
        <v/>
      </c>
    </row>
    <row r="947">
      <c r="A947" t="inlineStr">
        <is>
          <t>El Trapial</t>
        </is>
      </c>
      <c r="B947" t="inlineStr">
        <is>
          <t>Neuquina</t>
        </is>
      </c>
      <c r="C947" t="inlineStr">
        <is>
          <t>CHEVRON ARGENTINA S.R.L.</t>
        </is>
      </c>
      <c r="D947" t="inlineStr">
        <is>
          <t>no convencional</t>
        </is>
      </c>
      <c r="E947" t="inlineStr">
        <is>
          <t>2020-07</t>
        </is>
      </c>
      <c r="F947" t="n">
        <v>0</v>
      </c>
      <c r="G947" t="n">
        <v>0</v>
      </c>
      <c r="H947" t="n">
        <v>0</v>
      </c>
      <c r="I947">
        <f>DAY(EOMONTH(DATE(VALUE(LEFT(E947,4)),VALUE(RIGHT(E947,2)),1),0))</f>
        <v/>
      </c>
      <c r="J947">
        <f>VALUE(LEFT(E947,4))*12+VALUE(RIGHT(E947,2))-1</f>
        <v/>
      </c>
    </row>
    <row r="948">
      <c r="A948" t="inlineStr">
        <is>
          <t>El Trapial</t>
        </is>
      </c>
      <c r="B948" t="inlineStr">
        <is>
          <t>Neuquina</t>
        </is>
      </c>
      <c r="C948" t="inlineStr">
        <is>
          <t>CHEVRON ARGENTINA S.R.L.</t>
        </is>
      </c>
      <c r="D948" t="inlineStr">
        <is>
          <t>convencional</t>
        </is>
      </c>
      <c r="E948" t="inlineStr">
        <is>
          <t>2020-08</t>
        </is>
      </c>
      <c r="F948" t="n">
        <v>23246</v>
      </c>
      <c r="G948" t="n">
        <v>969027.7</v>
      </c>
      <c r="H948" t="n">
        <v>1078771.4</v>
      </c>
      <c r="I948">
        <f>DAY(EOMONTH(DATE(VALUE(LEFT(E948,4)),VALUE(RIGHT(E948,2)),1),0))</f>
        <v/>
      </c>
      <c r="J948">
        <f>VALUE(LEFT(E948,4))*12+VALUE(RIGHT(E948,2))-1</f>
        <v/>
      </c>
    </row>
    <row r="949">
      <c r="A949" t="inlineStr">
        <is>
          <t>El Trapial</t>
        </is>
      </c>
      <c r="B949" t="inlineStr">
        <is>
          <t>Neuquina</t>
        </is>
      </c>
      <c r="C949" t="inlineStr">
        <is>
          <t>CHEVRON ARGENTINA S.R.L.</t>
        </is>
      </c>
      <c r="D949" t="inlineStr">
        <is>
          <t>no convencional</t>
        </is>
      </c>
      <c r="E949" t="inlineStr">
        <is>
          <t>2020-08</t>
        </is>
      </c>
      <c r="F949" t="n">
        <v>0</v>
      </c>
      <c r="G949" t="n">
        <v>0</v>
      </c>
      <c r="H949" t="n">
        <v>0</v>
      </c>
      <c r="I949">
        <f>DAY(EOMONTH(DATE(VALUE(LEFT(E949,4)),VALUE(RIGHT(E949,2)),1),0))</f>
        <v/>
      </c>
      <c r="J949">
        <f>VALUE(LEFT(E949,4))*12+VALUE(RIGHT(E949,2))-1</f>
        <v/>
      </c>
    </row>
    <row r="950">
      <c r="A950" t="inlineStr">
        <is>
          <t>El Trapial</t>
        </is>
      </c>
      <c r="B950" t="inlineStr">
        <is>
          <t>Neuquina</t>
        </is>
      </c>
      <c r="C950" t="inlineStr">
        <is>
          <t>CHEVRON ARGENTINA S.R.L.</t>
        </is>
      </c>
      <c r="D950" t="inlineStr">
        <is>
          <t>convencional</t>
        </is>
      </c>
      <c r="E950" t="inlineStr">
        <is>
          <t>2020-09</t>
        </is>
      </c>
      <c r="F950" t="n">
        <v>22442</v>
      </c>
      <c r="G950" t="n">
        <v>942074.2</v>
      </c>
      <c r="H950" t="n">
        <v>1021652.2</v>
      </c>
      <c r="I950">
        <f>DAY(EOMONTH(DATE(VALUE(LEFT(E950,4)),VALUE(RIGHT(E950,2)),1),0))</f>
        <v/>
      </c>
      <c r="J950">
        <f>VALUE(LEFT(E950,4))*12+VALUE(RIGHT(E950,2))-1</f>
        <v/>
      </c>
    </row>
    <row r="951">
      <c r="A951" t="inlineStr">
        <is>
          <t>El Trapial</t>
        </is>
      </c>
      <c r="B951" t="inlineStr">
        <is>
          <t>Neuquina</t>
        </is>
      </c>
      <c r="C951" t="inlineStr">
        <is>
          <t>CHEVRON ARGENTINA S.R.L.</t>
        </is>
      </c>
      <c r="D951" t="inlineStr">
        <is>
          <t>no convencional</t>
        </is>
      </c>
      <c r="E951" t="inlineStr">
        <is>
          <t>2020-09</t>
        </is>
      </c>
      <c r="F951" t="n">
        <v>0</v>
      </c>
      <c r="G951" t="n">
        <v>0</v>
      </c>
      <c r="H951" t="n">
        <v>0</v>
      </c>
      <c r="I951">
        <f>DAY(EOMONTH(DATE(VALUE(LEFT(E951,4)),VALUE(RIGHT(E951,2)),1),0))</f>
        <v/>
      </c>
      <c r="J951">
        <f>VALUE(LEFT(E951,4))*12+VALUE(RIGHT(E951,2))-1</f>
        <v/>
      </c>
    </row>
    <row r="952">
      <c r="A952" t="inlineStr">
        <is>
          <t>El Trapial</t>
        </is>
      </c>
      <c r="B952" t="inlineStr">
        <is>
          <t>Neuquina</t>
        </is>
      </c>
      <c r="C952" t="inlineStr">
        <is>
          <t>CHEVRON ARGENTINA S.R.L.</t>
        </is>
      </c>
      <c r="D952" t="inlineStr">
        <is>
          <t>convencional</t>
        </is>
      </c>
      <c r="E952" t="inlineStr">
        <is>
          <t>2020-10</t>
        </is>
      </c>
      <c r="F952" t="n">
        <v>22847.9</v>
      </c>
      <c r="G952" t="n">
        <v>964913.5</v>
      </c>
      <c r="H952" t="n">
        <v>1047240.9</v>
      </c>
      <c r="I952">
        <f>DAY(EOMONTH(DATE(VALUE(LEFT(E952,4)),VALUE(RIGHT(E952,2)),1),0))</f>
        <v/>
      </c>
      <c r="J952">
        <f>VALUE(LEFT(E952,4))*12+VALUE(RIGHT(E952,2))-1</f>
        <v/>
      </c>
    </row>
    <row r="953">
      <c r="A953" t="inlineStr">
        <is>
          <t>El Trapial</t>
        </is>
      </c>
      <c r="B953" t="inlineStr">
        <is>
          <t>Neuquina</t>
        </is>
      </c>
      <c r="C953" t="inlineStr">
        <is>
          <t>CHEVRON ARGENTINA S.R.L.</t>
        </is>
      </c>
      <c r="D953" t="inlineStr">
        <is>
          <t>no convencional</t>
        </is>
      </c>
      <c r="E953" t="inlineStr">
        <is>
          <t>2020-10</t>
        </is>
      </c>
      <c r="F953" t="n">
        <v>0</v>
      </c>
      <c r="G953" t="n">
        <v>0</v>
      </c>
      <c r="H953" t="n">
        <v>0</v>
      </c>
      <c r="I953">
        <f>DAY(EOMONTH(DATE(VALUE(LEFT(E953,4)),VALUE(RIGHT(E953,2)),1),0))</f>
        <v/>
      </c>
      <c r="J953">
        <f>VALUE(LEFT(E953,4))*12+VALUE(RIGHT(E953,2))-1</f>
        <v/>
      </c>
    </row>
    <row r="954">
      <c r="A954" t="inlineStr">
        <is>
          <t>El Trapial</t>
        </is>
      </c>
      <c r="B954" t="inlineStr">
        <is>
          <t>Neuquina</t>
        </is>
      </c>
      <c r="C954" t="inlineStr">
        <is>
          <t>CHEVRON ARGENTINA S.R.L.</t>
        </is>
      </c>
      <c r="D954" t="inlineStr">
        <is>
          <t>convencional</t>
        </is>
      </c>
      <c r="E954" t="inlineStr">
        <is>
          <t>2020-11</t>
        </is>
      </c>
      <c r="F954" t="n">
        <v>21787</v>
      </c>
      <c r="G954" t="n">
        <v>922749.8</v>
      </c>
      <c r="H954" t="n">
        <v>1017647.8</v>
      </c>
      <c r="I954">
        <f>DAY(EOMONTH(DATE(VALUE(LEFT(E954,4)),VALUE(RIGHT(E954,2)),1),0))</f>
        <v/>
      </c>
      <c r="J954">
        <f>VALUE(LEFT(E954,4))*12+VALUE(RIGHT(E954,2))-1</f>
        <v/>
      </c>
    </row>
    <row r="955">
      <c r="A955" t="inlineStr">
        <is>
          <t>El Trapial</t>
        </is>
      </c>
      <c r="B955" t="inlineStr">
        <is>
          <t>Neuquina</t>
        </is>
      </c>
      <c r="C955" t="inlineStr">
        <is>
          <t>CHEVRON ARGENTINA S.R.L.</t>
        </is>
      </c>
      <c r="D955" t="inlineStr">
        <is>
          <t>no convencional</t>
        </is>
      </c>
      <c r="E955" t="inlineStr">
        <is>
          <t>2020-11</t>
        </is>
      </c>
      <c r="F955" t="n">
        <v>1844</v>
      </c>
      <c r="G955" t="n">
        <v>8734.200000000001</v>
      </c>
      <c r="H955" t="n">
        <v>0</v>
      </c>
      <c r="I955">
        <f>DAY(EOMONTH(DATE(VALUE(LEFT(E955,4)),VALUE(RIGHT(E955,2)),1),0))</f>
        <v/>
      </c>
      <c r="J955">
        <f>VALUE(LEFT(E955,4))*12+VALUE(RIGHT(E955,2))-1</f>
        <v/>
      </c>
    </row>
    <row r="956">
      <c r="A956" t="inlineStr">
        <is>
          <t>El Trapial</t>
        </is>
      </c>
      <c r="B956" t="inlineStr">
        <is>
          <t>Neuquina</t>
        </is>
      </c>
      <c r="C956" t="inlineStr">
        <is>
          <t>CHEVRON ARGENTINA S.R.L.</t>
        </is>
      </c>
      <c r="D956" t="inlineStr">
        <is>
          <t>convencional</t>
        </is>
      </c>
      <c r="E956" t="inlineStr">
        <is>
          <t>2020-12</t>
        </is>
      </c>
      <c r="F956" t="n">
        <v>22019.2</v>
      </c>
      <c r="G956" t="n">
        <v>927154.6</v>
      </c>
      <c r="H956" t="n">
        <v>1032052.1</v>
      </c>
      <c r="I956">
        <f>DAY(EOMONTH(DATE(VALUE(LEFT(E956,4)),VALUE(RIGHT(E956,2)),1),0))</f>
        <v/>
      </c>
      <c r="J956">
        <f>VALUE(LEFT(E956,4))*12+VALUE(RIGHT(E956,2))-1</f>
        <v/>
      </c>
    </row>
    <row r="957">
      <c r="A957" t="inlineStr">
        <is>
          <t>El Trapial</t>
        </is>
      </c>
      <c r="B957" t="inlineStr">
        <is>
          <t>Neuquina</t>
        </is>
      </c>
      <c r="C957" t="inlineStr">
        <is>
          <t>CHEVRON ARGENTINA S.R.L.</t>
        </is>
      </c>
      <c r="D957" t="inlineStr">
        <is>
          <t>no convencional</t>
        </is>
      </c>
      <c r="E957" t="inlineStr">
        <is>
          <t>2020-12</t>
        </is>
      </c>
      <c r="F957" t="n">
        <v>7141.9</v>
      </c>
      <c r="G957" t="n">
        <v>16482.1</v>
      </c>
      <c r="H957" t="n">
        <v>0</v>
      </c>
      <c r="I957">
        <f>DAY(EOMONTH(DATE(VALUE(LEFT(E957,4)),VALUE(RIGHT(E957,2)),1),0))</f>
        <v/>
      </c>
      <c r="J957">
        <f>VALUE(LEFT(E957,4))*12+VALUE(RIGHT(E957,2))-1</f>
        <v/>
      </c>
    </row>
    <row r="958">
      <c r="A958" t="inlineStr">
        <is>
          <t>El Trapial</t>
        </is>
      </c>
      <c r="B958" t="inlineStr">
        <is>
          <t>Neuquina</t>
        </is>
      </c>
      <c r="C958" t="inlineStr">
        <is>
          <t>CHEVRON ARGENTINA S.R.L.</t>
        </is>
      </c>
      <c r="D958" t="inlineStr">
        <is>
          <t>convencional</t>
        </is>
      </c>
      <c r="E958" t="inlineStr">
        <is>
          <t>2021-01</t>
        </is>
      </c>
      <c r="F958" t="n">
        <v>21894.9</v>
      </c>
      <c r="G958" t="n">
        <v>904892.5</v>
      </c>
      <c r="H958" t="n">
        <v>1027868.8</v>
      </c>
      <c r="I958">
        <f>DAY(EOMONTH(DATE(VALUE(LEFT(E958,4)),VALUE(RIGHT(E958,2)),1),0))</f>
        <v/>
      </c>
      <c r="J958">
        <f>VALUE(LEFT(E958,4))*12+VALUE(RIGHT(E958,2))-1</f>
        <v/>
      </c>
    </row>
    <row r="959">
      <c r="A959" t="inlineStr">
        <is>
          <t>El Trapial</t>
        </is>
      </c>
      <c r="B959" t="inlineStr">
        <is>
          <t>Neuquina</t>
        </is>
      </c>
      <c r="C959" t="inlineStr">
        <is>
          <t>CHEVRON ARGENTINA S.R.L.</t>
        </is>
      </c>
      <c r="D959" t="inlineStr">
        <is>
          <t>no convencional</t>
        </is>
      </c>
      <c r="E959" t="inlineStr">
        <is>
          <t>2021-01</t>
        </is>
      </c>
      <c r="F959" t="n">
        <v>10556.2</v>
      </c>
      <c r="G959" t="n">
        <v>16544.6</v>
      </c>
      <c r="H959" t="n">
        <v>0</v>
      </c>
      <c r="I959">
        <f>DAY(EOMONTH(DATE(VALUE(LEFT(E959,4)),VALUE(RIGHT(E959,2)),1),0))</f>
        <v/>
      </c>
      <c r="J959">
        <f>VALUE(LEFT(E959,4))*12+VALUE(RIGHT(E959,2))-1</f>
        <v/>
      </c>
    </row>
    <row r="960">
      <c r="A960" t="inlineStr">
        <is>
          <t>El Trapial</t>
        </is>
      </c>
      <c r="B960" t="inlineStr">
        <is>
          <t>Neuquina</t>
        </is>
      </c>
      <c r="C960" t="inlineStr">
        <is>
          <t>CHEVRON ARGENTINA S.R.L.</t>
        </is>
      </c>
      <c r="D960" t="inlineStr">
        <is>
          <t>convencional</t>
        </is>
      </c>
      <c r="E960" t="inlineStr">
        <is>
          <t>2021-02</t>
        </is>
      </c>
      <c r="F960" t="n">
        <v>20612.6</v>
      </c>
      <c r="G960" t="n">
        <v>821398.8</v>
      </c>
      <c r="H960" t="n">
        <v>905192.4</v>
      </c>
      <c r="I960">
        <f>DAY(EOMONTH(DATE(VALUE(LEFT(E960,4)),VALUE(RIGHT(E960,2)),1),0))</f>
        <v/>
      </c>
      <c r="J960">
        <f>VALUE(LEFT(E960,4))*12+VALUE(RIGHT(E960,2))-1</f>
        <v/>
      </c>
    </row>
    <row r="961">
      <c r="A961" t="inlineStr">
        <is>
          <t>El Trapial</t>
        </is>
      </c>
      <c r="B961" t="inlineStr">
        <is>
          <t>Neuquina</t>
        </is>
      </c>
      <c r="C961" t="inlineStr">
        <is>
          <t>CHEVRON ARGENTINA S.R.L.</t>
        </is>
      </c>
      <c r="D961" t="inlineStr">
        <is>
          <t>no convencional</t>
        </is>
      </c>
      <c r="E961" t="inlineStr">
        <is>
          <t>2021-02</t>
        </is>
      </c>
      <c r="F961" t="n">
        <v>10153.4</v>
      </c>
      <c r="G961" t="n">
        <v>13565.4</v>
      </c>
      <c r="H961" t="n">
        <v>0</v>
      </c>
      <c r="I961">
        <f>DAY(EOMONTH(DATE(VALUE(LEFT(E961,4)),VALUE(RIGHT(E961,2)),1),0))</f>
        <v/>
      </c>
      <c r="J961">
        <f>VALUE(LEFT(E961,4))*12+VALUE(RIGHT(E961,2))-1</f>
        <v/>
      </c>
    </row>
    <row r="962">
      <c r="A962" t="inlineStr">
        <is>
          <t>El Trapial</t>
        </is>
      </c>
      <c r="B962" t="inlineStr">
        <is>
          <t>Neuquina</t>
        </is>
      </c>
      <c r="C962" t="inlineStr">
        <is>
          <t>CHEVRON ARGENTINA S.R.L.</t>
        </is>
      </c>
      <c r="D962" t="inlineStr">
        <is>
          <t>convencional</t>
        </is>
      </c>
      <c r="E962" t="inlineStr">
        <is>
          <t>2021-03</t>
        </is>
      </c>
      <c r="F962" t="n">
        <v>23471</v>
      </c>
      <c r="G962" t="n">
        <v>932098.4</v>
      </c>
      <c r="H962" t="n">
        <v>1028993.6</v>
      </c>
      <c r="I962">
        <f>DAY(EOMONTH(DATE(VALUE(LEFT(E962,4)),VALUE(RIGHT(E962,2)),1),0))</f>
        <v/>
      </c>
      <c r="J962">
        <f>VALUE(LEFT(E962,4))*12+VALUE(RIGHT(E962,2))-1</f>
        <v/>
      </c>
    </row>
    <row r="963">
      <c r="A963" t="inlineStr">
        <is>
          <t>El Trapial</t>
        </is>
      </c>
      <c r="B963" t="inlineStr">
        <is>
          <t>Neuquina</t>
        </is>
      </c>
      <c r="C963" t="inlineStr">
        <is>
          <t>CHEVRON ARGENTINA S.R.L.</t>
        </is>
      </c>
      <c r="D963" t="inlineStr">
        <is>
          <t>no convencional</t>
        </is>
      </c>
      <c r="E963" t="inlineStr">
        <is>
          <t>2021-03</t>
        </is>
      </c>
      <c r="F963" t="n">
        <v>11540</v>
      </c>
      <c r="G963" t="n">
        <v>14063.7</v>
      </c>
      <c r="H963" t="n">
        <v>0</v>
      </c>
      <c r="I963">
        <f>DAY(EOMONTH(DATE(VALUE(LEFT(E963,4)),VALUE(RIGHT(E963,2)),1),0))</f>
        <v/>
      </c>
      <c r="J963">
        <f>VALUE(LEFT(E963,4))*12+VALUE(RIGHT(E963,2))-1</f>
        <v/>
      </c>
    </row>
    <row r="964">
      <c r="A964" t="inlineStr">
        <is>
          <t>El Trapial</t>
        </is>
      </c>
      <c r="B964" t="inlineStr">
        <is>
          <t>Neuquina</t>
        </is>
      </c>
      <c r="C964" t="inlineStr">
        <is>
          <t>CHEVRON ARGENTINA S.R.L.</t>
        </is>
      </c>
      <c r="D964" t="inlineStr">
        <is>
          <t>convencional</t>
        </is>
      </c>
      <c r="E964" t="inlineStr">
        <is>
          <t>2021-04</t>
        </is>
      </c>
      <c r="F964" t="n">
        <v>21677.4</v>
      </c>
      <c r="G964" t="n">
        <v>902854.4</v>
      </c>
      <c r="H964" t="n">
        <v>990801.6</v>
      </c>
      <c r="I964">
        <f>DAY(EOMONTH(DATE(VALUE(LEFT(E964,4)),VALUE(RIGHT(E964,2)),1),0))</f>
        <v/>
      </c>
      <c r="J964">
        <f>VALUE(LEFT(E964,4))*12+VALUE(RIGHT(E964,2))-1</f>
        <v/>
      </c>
    </row>
    <row r="965">
      <c r="A965" t="inlineStr">
        <is>
          <t>El Trapial</t>
        </is>
      </c>
      <c r="B965" t="inlineStr">
        <is>
          <t>Neuquina</t>
        </is>
      </c>
      <c r="C965" t="inlineStr">
        <is>
          <t>CHEVRON ARGENTINA S.R.L.</t>
        </is>
      </c>
      <c r="D965" t="inlineStr">
        <is>
          <t>no convencional</t>
        </is>
      </c>
      <c r="E965" t="inlineStr">
        <is>
          <t>2021-04</t>
        </is>
      </c>
      <c r="F965" t="n">
        <v>10998.7</v>
      </c>
      <c r="G965" t="n">
        <v>12159.5</v>
      </c>
      <c r="H965" t="n">
        <v>0</v>
      </c>
      <c r="I965">
        <f>DAY(EOMONTH(DATE(VALUE(LEFT(E965,4)),VALUE(RIGHT(E965,2)),1),0))</f>
        <v/>
      </c>
      <c r="J965">
        <f>VALUE(LEFT(E965,4))*12+VALUE(RIGHT(E965,2))-1</f>
        <v/>
      </c>
    </row>
    <row r="966">
      <c r="A966" t="inlineStr">
        <is>
          <t>El Trapial</t>
        </is>
      </c>
      <c r="B966" t="inlineStr">
        <is>
          <t>Neuquina</t>
        </is>
      </c>
      <c r="C966" t="inlineStr">
        <is>
          <t>CHEVRON ARGENTINA S.R.L.</t>
        </is>
      </c>
      <c r="D966" t="inlineStr">
        <is>
          <t>convencional</t>
        </is>
      </c>
      <c r="E966" t="inlineStr">
        <is>
          <t>2021-05</t>
        </is>
      </c>
      <c r="F966" t="n">
        <v>21583.9</v>
      </c>
      <c r="G966" t="n">
        <v>934211.1</v>
      </c>
      <c r="H966" t="n">
        <v>1013125.2</v>
      </c>
      <c r="I966">
        <f>DAY(EOMONTH(DATE(VALUE(LEFT(E966,4)),VALUE(RIGHT(E966,2)),1),0))</f>
        <v/>
      </c>
      <c r="J966">
        <f>VALUE(LEFT(E966,4))*12+VALUE(RIGHT(E966,2))-1</f>
        <v/>
      </c>
    </row>
    <row r="967">
      <c r="A967" t="inlineStr">
        <is>
          <t>El Trapial</t>
        </is>
      </c>
      <c r="B967" t="inlineStr">
        <is>
          <t>Neuquina</t>
        </is>
      </c>
      <c r="C967" t="inlineStr">
        <is>
          <t>CHEVRON ARGENTINA S.R.L.</t>
        </is>
      </c>
      <c r="D967" t="inlineStr">
        <is>
          <t>no convencional</t>
        </is>
      </c>
      <c r="E967" t="inlineStr">
        <is>
          <t>2021-05</t>
        </is>
      </c>
      <c r="F967" t="n">
        <v>10144</v>
      </c>
      <c r="G967" t="n">
        <v>10847.8</v>
      </c>
      <c r="H967" t="n">
        <v>0</v>
      </c>
      <c r="I967">
        <f>DAY(EOMONTH(DATE(VALUE(LEFT(E967,4)),VALUE(RIGHT(E967,2)),1),0))</f>
        <v/>
      </c>
      <c r="J967">
        <f>VALUE(LEFT(E967,4))*12+VALUE(RIGHT(E967,2))-1</f>
        <v/>
      </c>
    </row>
    <row r="968">
      <c r="A968" t="inlineStr">
        <is>
          <t>El Trapial</t>
        </is>
      </c>
      <c r="B968" t="inlineStr">
        <is>
          <t>Neuquina</t>
        </is>
      </c>
      <c r="C968" t="inlineStr">
        <is>
          <t>CHEVRON ARGENTINA S.R.L.</t>
        </is>
      </c>
      <c r="D968" t="inlineStr">
        <is>
          <t>convencional</t>
        </is>
      </c>
      <c r="E968" t="inlineStr">
        <is>
          <t>2021-06</t>
        </is>
      </c>
      <c r="F968" t="n">
        <v>19798.8</v>
      </c>
      <c r="G968" t="n">
        <v>891501.6</v>
      </c>
      <c r="H968" t="n">
        <v>953792.4</v>
      </c>
      <c r="I968">
        <f>DAY(EOMONTH(DATE(VALUE(LEFT(E968,4)),VALUE(RIGHT(E968,2)),1),0))</f>
        <v/>
      </c>
      <c r="J968">
        <f>VALUE(LEFT(E968,4))*12+VALUE(RIGHT(E968,2))-1</f>
        <v/>
      </c>
    </row>
    <row r="969">
      <c r="A969" t="inlineStr">
        <is>
          <t>El Trapial</t>
        </is>
      </c>
      <c r="B969" t="inlineStr">
        <is>
          <t>Neuquina</t>
        </is>
      </c>
      <c r="C969" t="inlineStr">
        <is>
          <t>CHEVRON ARGENTINA S.R.L.</t>
        </is>
      </c>
      <c r="D969" t="inlineStr">
        <is>
          <t>no convencional</t>
        </is>
      </c>
      <c r="E969" t="inlineStr">
        <is>
          <t>2021-06</t>
        </is>
      </c>
      <c r="F969" t="n">
        <v>9412.1</v>
      </c>
      <c r="G969" t="n">
        <v>10003.5</v>
      </c>
      <c r="H969" t="n">
        <v>0</v>
      </c>
      <c r="I969">
        <f>DAY(EOMONTH(DATE(VALUE(LEFT(E969,4)),VALUE(RIGHT(E969,2)),1),0))</f>
        <v/>
      </c>
      <c r="J969">
        <f>VALUE(LEFT(E969,4))*12+VALUE(RIGHT(E969,2))-1</f>
        <v/>
      </c>
    </row>
    <row r="970">
      <c r="A970" t="inlineStr">
        <is>
          <t>El Trapial</t>
        </is>
      </c>
      <c r="B970" t="inlineStr">
        <is>
          <t>Neuquina</t>
        </is>
      </c>
      <c r="C970" t="inlineStr">
        <is>
          <t>CHEVRON ARGENTINA S.R.L.</t>
        </is>
      </c>
      <c r="D970" t="inlineStr">
        <is>
          <t>convencional</t>
        </is>
      </c>
      <c r="E970" t="inlineStr">
        <is>
          <t>2021-07</t>
        </is>
      </c>
      <c r="F970" t="n">
        <v>20088</v>
      </c>
      <c r="G970" t="n">
        <v>914510.7</v>
      </c>
      <c r="H970" t="n">
        <v>1001598.6</v>
      </c>
      <c r="I970">
        <f>DAY(EOMONTH(DATE(VALUE(LEFT(E970,4)),VALUE(RIGHT(E970,2)),1),0))</f>
        <v/>
      </c>
      <c r="J970">
        <f>VALUE(LEFT(E970,4))*12+VALUE(RIGHT(E970,2))-1</f>
        <v/>
      </c>
    </row>
    <row r="971">
      <c r="A971" t="inlineStr">
        <is>
          <t>El Trapial</t>
        </is>
      </c>
      <c r="B971" t="inlineStr">
        <is>
          <t>Neuquina</t>
        </is>
      </c>
      <c r="C971" t="inlineStr">
        <is>
          <t>CHEVRON ARGENTINA S.R.L.</t>
        </is>
      </c>
      <c r="D971" t="inlineStr">
        <is>
          <t>no convencional</t>
        </is>
      </c>
      <c r="E971" t="inlineStr">
        <is>
          <t>2021-07</t>
        </is>
      </c>
      <c r="F971" t="n">
        <v>12339</v>
      </c>
      <c r="G971" t="n">
        <v>15079.7</v>
      </c>
      <c r="H971" t="n">
        <v>0</v>
      </c>
      <c r="I971">
        <f>DAY(EOMONTH(DATE(VALUE(LEFT(E971,4)),VALUE(RIGHT(E971,2)),1),0))</f>
        <v/>
      </c>
      <c r="J971">
        <f>VALUE(LEFT(E971,4))*12+VALUE(RIGHT(E971,2))-1</f>
        <v/>
      </c>
    </row>
    <row r="972">
      <c r="A972" t="inlineStr">
        <is>
          <t>El Trapial</t>
        </is>
      </c>
      <c r="B972" t="inlineStr">
        <is>
          <t>Neuquina</t>
        </is>
      </c>
      <c r="C972" t="inlineStr">
        <is>
          <t>CHEVRON ARGENTINA S.R.L.</t>
        </is>
      </c>
      <c r="D972" t="inlineStr">
        <is>
          <t>convencional</t>
        </is>
      </c>
      <c r="E972" t="inlineStr">
        <is>
          <t>2021-08</t>
        </is>
      </c>
      <c r="F972" t="n">
        <v>19507.8</v>
      </c>
      <c r="G972" t="n">
        <v>904136.1</v>
      </c>
      <c r="H972" t="n">
        <v>995075.2</v>
      </c>
      <c r="I972">
        <f>DAY(EOMONTH(DATE(VALUE(LEFT(E972,4)),VALUE(RIGHT(E972,2)),1),0))</f>
        <v/>
      </c>
      <c r="J972">
        <f>VALUE(LEFT(E972,4))*12+VALUE(RIGHT(E972,2))-1</f>
        <v/>
      </c>
    </row>
    <row r="973">
      <c r="A973" t="inlineStr">
        <is>
          <t>El Trapial</t>
        </is>
      </c>
      <c r="B973" t="inlineStr">
        <is>
          <t>Neuquina</t>
        </is>
      </c>
      <c r="C973" t="inlineStr">
        <is>
          <t>CHEVRON ARGENTINA S.R.L.</t>
        </is>
      </c>
      <c r="D973" t="inlineStr">
        <is>
          <t>no convencional</t>
        </is>
      </c>
      <c r="E973" t="inlineStr">
        <is>
          <t>2021-08</t>
        </is>
      </c>
      <c r="F973" t="n">
        <v>15645.2</v>
      </c>
      <c r="G973" t="n">
        <v>15613.8</v>
      </c>
      <c r="H973" t="n">
        <v>0</v>
      </c>
      <c r="I973">
        <f>DAY(EOMONTH(DATE(VALUE(LEFT(E973,4)),VALUE(RIGHT(E973,2)),1),0))</f>
        <v/>
      </c>
      <c r="J973">
        <f>VALUE(LEFT(E973,4))*12+VALUE(RIGHT(E973,2))-1</f>
        <v/>
      </c>
    </row>
    <row r="974">
      <c r="A974" t="inlineStr">
        <is>
          <t>El Trapial</t>
        </is>
      </c>
      <c r="B974" t="inlineStr">
        <is>
          <t>Neuquina</t>
        </is>
      </c>
      <c r="C974" t="inlineStr">
        <is>
          <t>CHEVRON ARGENTINA S.R.L.</t>
        </is>
      </c>
      <c r="D974" t="inlineStr">
        <is>
          <t>convencional</t>
        </is>
      </c>
      <c r="E974" t="inlineStr">
        <is>
          <t>2021-09</t>
        </is>
      </c>
      <c r="F974" t="n">
        <v>19562</v>
      </c>
      <c r="G974" t="n">
        <v>875464</v>
      </c>
      <c r="H974" t="n">
        <v>955789.7</v>
      </c>
      <c r="I974">
        <f>DAY(EOMONTH(DATE(VALUE(LEFT(E974,4)),VALUE(RIGHT(E974,2)),1),0))</f>
        <v/>
      </c>
      <c r="J974">
        <f>VALUE(LEFT(E974,4))*12+VALUE(RIGHT(E974,2))-1</f>
        <v/>
      </c>
    </row>
    <row r="975">
      <c r="A975" t="inlineStr">
        <is>
          <t>El Trapial</t>
        </is>
      </c>
      <c r="B975" t="inlineStr">
        <is>
          <t>Neuquina</t>
        </is>
      </c>
      <c r="C975" t="inlineStr">
        <is>
          <t>CHEVRON ARGENTINA S.R.L.</t>
        </is>
      </c>
      <c r="D975" t="inlineStr">
        <is>
          <t>no convencional</t>
        </is>
      </c>
      <c r="E975" t="inlineStr">
        <is>
          <t>2021-09</t>
        </is>
      </c>
      <c r="F975" t="n">
        <v>15989</v>
      </c>
      <c r="G975" t="n">
        <v>13940.1</v>
      </c>
      <c r="H975" t="n">
        <v>0</v>
      </c>
      <c r="I975">
        <f>DAY(EOMONTH(DATE(VALUE(LEFT(E975,4)),VALUE(RIGHT(E975,2)),1),0))</f>
        <v/>
      </c>
      <c r="J975">
        <f>VALUE(LEFT(E975,4))*12+VALUE(RIGHT(E975,2))-1</f>
        <v/>
      </c>
    </row>
    <row r="976">
      <c r="A976" t="inlineStr">
        <is>
          <t>El Trapial</t>
        </is>
      </c>
      <c r="B976" t="inlineStr">
        <is>
          <t>Neuquina</t>
        </is>
      </c>
      <c r="C976" t="inlineStr">
        <is>
          <t>CHEVRON ARGENTINA S.R.L.</t>
        </is>
      </c>
      <c r="D976" t="inlineStr">
        <is>
          <t>convencional</t>
        </is>
      </c>
      <c r="E976" t="inlineStr">
        <is>
          <t>2021-10</t>
        </is>
      </c>
      <c r="F976" t="n">
        <v>20478.6</v>
      </c>
      <c r="G976" t="n">
        <v>922654.9</v>
      </c>
      <c r="H976" t="n">
        <v>993896.4</v>
      </c>
      <c r="I976">
        <f>DAY(EOMONTH(DATE(VALUE(LEFT(E976,4)),VALUE(RIGHT(E976,2)),1),0))</f>
        <v/>
      </c>
      <c r="J976">
        <f>VALUE(LEFT(E976,4))*12+VALUE(RIGHT(E976,2))-1</f>
        <v/>
      </c>
    </row>
    <row r="977">
      <c r="A977" t="inlineStr">
        <is>
          <t>El Trapial</t>
        </is>
      </c>
      <c r="B977" t="inlineStr">
        <is>
          <t>Neuquina</t>
        </is>
      </c>
      <c r="C977" t="inlineStr">
        <is>
          <t>CHEVRON ARGENTINA S.R.L.</t>
        </is>
      </c>
      <c r="D977" t="inlineStr">
        <is>
          <t>no convencional</t>
        </is>
      </c>
      <c r="E977" t="inlineStr">
        <is>
          <t>2021-10</t>
        </is>
      </c>
      <c r="F977" t="n">
        <v>16385.3</v>
      </c>
      <c r="G977" t="n">
        <v>12346.6</v>
      </c>
      <c r="H977" t="n">
        <v>0</v>
      </c>
      <c r="I977">
        <f>DAY(EOMONTH(DATE(VALUE(LEFT(E977,4)),VALUE(RIGHT(E977,2)),1),0))</f>
        <v/>
      </c>
      <c r="J977">
        <f>VALUE(LEFT(E977,4))*12+VALUE(RIGHT(E977,2))-1</f>
        <v/>
      </c>
    </row>
    <row r="978">
      <c r="A978" t="inlineStr">
        <is>
          <t>El Trapial</t>
        </is>
      </c>
      <c r="B978" t="inlineStr">
        <is>
          <t>Neuquina</t>
        </is>
      </c>
      <c r="C978" t="inlineStr">
        <is>
          <t>CHEVRON ARGENTINA S.R.L.</t>
        </is>
      </c>
      <c r="D978" t="inlineStr">
        <is>
          <t>convencional</t>
        </is>
      </c>
      <c r="E978" t="inlineStr">
        <is>
          <t>2021-11</t>
        </is>
      </c>
      <c r="F978" t="n">
        <v>19644</v>
      </c>
      <c r="G978" t="n">
        <v>883124.1</v>
      </c>
      <c r="H978" t="n">
        <v>930962.8</v>
      </c>
      <c r="I978">
        <f>DAY(EOMONTH(DATE(VALUE(LEFT(E978,4)),VALUE(RIGHT(E978,2)),1),0))</f>
        <v/>
      </c>
      <c r="J978">
        <f>VALUE(LEFT(E978,4))*12+VALUE(RIGHT(E978,2))-1</f>
        <v/>
      </c>
    </row>
    <row r="979">
      <c r="A979" t="inlineStr">
        <is>
          <t>El Trapial</t>
        </is>
      </c>
      <c r="B979" t="inlineStr">
        <is>
          <t>Neuquina</t>
        </is>
      </c>
      <c r="C979" t="inlineStr">
        <is>
          <t>CHEVRON ARGENTINA S.R.L.</t>
        </is>
      </c>
      <c r="D979" t="inlineStr">
        <is>
          <t>no convencional</t>
        </is>
      </c>
      <c r="E979" t="inlineStr">
        <is>
          <t>2021-11</t>
        </is>
      </c>
      <c r="F979" t="n">
        <v>13916</v>
      </c>
      <c r="G979" t="n">
        <v>9345.6</v>
      </c>
      <c r="H979" t="n">
        <v>0</v>
      </c>
      <c r="I979">
        <f>DAY(EOMONTH(DATE(VALUE(LEFT(E979,4)),VALUE(RIGHT(E979,2)),1),0))</f>
        <v/>
      </c>
      <c r="J979">
        <f>VALUE(LEFT(E979,4))*12+VALUE(RIGHT(E979,2))-1</f>
        <v/>
      </c>
    </row>
    <row r="980">
      <c r="A980" t="inlineStr">
        <is>
          <t>El Trapial</t>
        </is>
      </c>
      <c r="B980" t="inlineStr">
        <is>
          <t>Neuquina</t>
        </is>
      </c>
      <c r="C980" t="inlineStr">
        <is>
          <t>CHEVRON ARGENTINA S.R.L.</t>
        </is>
      </c>
      <c r="D980" t="inlineStr">
        <is>
          <t>convencional</t>
        </is>
      </c>
      <c r="E980" t="inlineStr">
        <is>
          <t>2021-12</t>
        </is>
      </c>
      <c r="F980" t="n">
        <v>19312.1</v>
      </c>
      <c r="G980" t="n">
        <v>894947.2</v>
      </c>
      <c r="H980" t="n">
        <v>967321</v>
      </c>
      <c r="I980">
        <f>DAY(EOMONTH(DATE(VALUE(LEFT(E980,4)),VALUE(RIGHT(E980,2)),1),0))</f>
        <v/>
      </c>
      <c r="J980">
        <f>VALUE(LEFT(E980,4))*12+VALUE(RIGHT(E980,2))-1</f>
        <v/>
      </c>
    </row>
    <row r="981">
      <c r="A981" t="inlineStr">
        <is>
          <t>El Trapial</t>
        </is>
      </c>
      <c r="B981" t="inlineStr">
        <is>
          <t>Neuquina</t>
        </is>
      </c>
      <c r="C981" t="inlineStr">
        <is>
          <t>CHEVRON ARGENTINA S.R.L.</t>
        </is>
      </c>
      <c r="D981" t="inlineStr">
        <is>
          <t>no convencional</t>
        </is>
      </c>
      <c r="E981" t="inlineStr">
        <is>
          <t>2021-12</t>
        </is>
      </c>
      <c r="F981" t="n">
        <v>12923.9</v>
      </c>
      <c r="G981" t="n">
        <v>8886.700000000001</v>
      </c>
      <c r="H981" t="n">
        <v>0</v>
      </c>
      <c r="I981">
        <f>DAY(EOMONTH(DATE(VALUE(LEFT(E981,4)),VALUE(RIGHT(E981,2)),1),0))</f>
        <v/>
      </c>
      <c r="J981">
        <f>VALUE(LEFT(E981,4))*12+VALUE(RIGHT(E981,2))-1</f>
        <v/>
      </c>
    </row>
    <row r="982">
      <c r="A982" t="inlineStr">
        <is>
          <t>El Trapial</t>
        </is>
      </c>
      <c r="B982" t="inlineStr">
        <is>
          <t>Neuquina</t>
        </is>
      </c>
      <c r="C982" t="inlineStr">
        <is>
          <t>CHEVRON ARGENTINA S.R.L.</t>
        </is>
      </c>
      <c r="D982" t="inlineStr">
        <is>
          <t>convencional</t>
        </is>
      </c>
      <c r="E982" t="inlineStr">
        <is>
          <t>2022-01</t>
        </is>
      </c>
      <c r="F982" t="n">
        <v>18810.5</v>
      </c>
      <c r="G982" t="n">
        <v>873350.6</v>
      </c>
      <c r="H982" t="n">
        <v>969793.3</v>
      </c>
      <c r="I982">
        <f>DAY(EOMONTH(DATE(VALUE(LEFT(E982,4)),VALUE(RIGHT(E982,2)),1),0))</f>
        <v/>
      </c>
      <c r="J982">
        <f>VALUE(LEFT(E982,4))*12+VALUE(RIGHT(E982,2))-1</f>
        <v/>
      </c>
    </row>
    <row r="983">
      <c r="A983" t="inlineStr">
        <is>
          <t>El Trapial</t>
        </is>
      </c>
      <c r="B983" t="inlineStr">
        <is>
          <t>Neuquina</t>
        </is>
      </c>
      <c r="C983" t="inlineStr">
        <is>
          <t>CHEVRON ARGENTINA S.R.L.</t>
        </is>
      </c>
      <c r="D983" t="inlineStr">
        <is>
          <t>no convencional</t>
        </is>
      </c>
      <c r="E983" t="inlineStr">
        <is>
          <t>2022-01</t>
        </is>
      </c>
      <c r="F983" t="n">
        <v>9003.6</v>
      </c>
      <c r="G983" t="n">
        <v>5347.2</v>
      </c>
      <c r="H983" t="n">
        <v>0</v>
      </c>
      <c r="I983">
        <f>DAY(EOMONTH(DATE(VALUE(LEFT(E983,4)),VALUE(RIGHT(E983,2)),1),0))</f>
        <v/>
      </c>
      <c r="J983">
        <f>VALUE(LEFT(E983,4))*12+VALUE(RIGHT(E983,2))-1</f>
        <v/>
      </c>
    </row>
    <row r="984">
      <c r="A984" t="inlineStr">
        <is>
          <t>El Trapial</t>
        </is>
      </c>
      <c r="B984" t="inlineStr">
        <is>
          <t>Neuquina</t>
        </is>
      </c>
      <c r="C984" t="inlineStr">
        <is>
          <t>CHEVRON ARGENTINA S.R.L.</t>
        </is>
      </c>
      <c r="D984" t="inlineStr">
        <is>
          <t>convencional</t>
        </is>
      </c>
      <c r="E984" t="inlineStr">
        <is>
          <t>2022-02</t>
        </is>
      </c>
      <c r="F984" t="n">
        <v>16531.5</v>
      </c>
      <c r="G984" t="n">
        <v>775349.5</v>
      </c>
      <c r="H984" t="n">
        <v>855455.7</v>
      </c>
      <c r="I984">
        <f>DAY(EOMONTH(DATE(VALUE(LEFT(E984,4)),VALUE(RIGHT(E984,2)),1),0))</f>
        <v/>
      </c>
      <c r="J984">
        <f>VALUE(LEFT(E984,4))*12+VALUE(RIGHT(E984,2))-1</f>
        <v/>
      </c>
    </row>
    <row r="985">
      <c r="A985" t="inlineStr">
        <is>
          <t>El Trapial</t>
        </is>
      </c>
      <c r="B985" t="inlineStr">
        <is>
          <t>Neuquina</t>
        </is>
      </c>
      <c r="C985" t="inlineStr">
        <is>
          <t>CHEVRON ARGENTINA S.R.L.</t>
        </is>
      </c>
      <c r="D985" t="inlineStr">
        <is>
          <t>no convencional</t>
        </is>
      </c>
      <c r="E985" t="inlineStr">
        <is>
          <t>2022-02</t>
        </is>
      </c>
      <c r="F985" t="n">
        <v>8192</v>
      </c>
      <c r="G985" t="n">
        <v>3906.6</v>
      </c>
      <c r="H985" t="n">
        <v>0</v>
      </c>
      <c r="I985">
        <f>DAY(EOMONTH(DATE(VALUE(LEFT(E985,4)),VALUE(RIGHT(E985,2)),1),0))</f>
        <v/>
      </c>
      <c r="J985">
        <f>VALUE(LEFT(E985,4))*12+VALUE(RIGHT(E985,2))-1</f>
        <v/>
      </c>
    </row>
    <row r="986">
      <c r="A986" t="inlineStr">
        <is>
          <t>El Trapial</t>
        </is>
      </c>
      <c r="B986" t="inlineStr">
        <is>
          <t>Neuquina</t>
        </is>
      </c>
      <c r="C986" t="inlineStr">
        <is>
          <t>CHEVRON ARGENTINA S.R.L.</t>
        </is>
      </c>
      <c r="D986" t="inlineStr">
        <is>
          <t>convencional</t>
        </is>
      </c>
      <c r="E986" t="inlineStr">
        <is>
          <t>2022-03</t>
        </is>
      </c>
      <c r="F986" t="n">
        <v>17870</v>
      </c>
      <c r="G986" t="n">
        <v>848387.4</v>
      </c>
      <c r="H986" t="n">
        <v>934379.1</v>
      </c>
      <c r="I986">
        <f>DAY(EOMONTH(DATE(VALUE(LEFT(E986,4)),VALUE(RIGHT(E986,2)),1),0))</f>
        <v/>
      </c>
      <c r="J986">
        <f>VALUE(LEFT(E986,4))*12+VALUE(RIGHT(E986,2))-1</f>
        <v/>
      </c>
    </row>
    <row r="987">
      <c r="A987" t="inlineStr">
        <is>
          <t>El Trapial</t>
        </is>
      </c>
      <c r="B987" t="inlineStr">
        <is>
          <t>Neuquina</t>
        </is>
      </c>
      <c r="C987" t="inlineStr">
        <is>
          <t>CHEVRON ARGENTINA S.R.L.</t>
        </is>
      </c>
      <c r="D987" t="inlineStr">
        <is>
          <t>no convencional</t>
        </is>
      </c>
      <c r="E987" t="inlineStr">
        <is>
          <t>2022-03</t>
        </is>
      </c>
      <c r="F987" t="n">
        <v>6785</v>
      </c>
      <c r="G987" t="n">
        <v>3713.4</v>
      </c>
      <c r="H987" t="n">
        <v>0</v>
      </c>
      <c r="I987">
        <f>DAY(EOMONTH(DATE(VALUE(LEFT(E987,4)),VALUE(RIGHT(E987,2)),1),0))</f>
        <v/>
      </c>
      <c r="J987">
        <f>VALUE(LEFT(E987,4))*12+VALUE(RIGHT(E987,2))-1</f>
        <v/>
      </c>
    </row>
    <row r="988">
      <c r="A988" t="inlineStr">
        <is>
          <t>El Trapial</t>
        </is>
      </c>
      <c r="B988" t="inlineStr">
        <is>
          <t>Neuquina</t>
        </is>
      </c>
      <c r="C988" t="inlineStr">
        <is>
          <t>CHEVRON ARGENTINA S.R.L.</t>
        </is>
      </c>
      <c r="D988" t="inlineStr">
        <is>
          <t>convencional</t>
        </is>
      </c>
      <c r="E988" t="inlineStr">
        <is>
          <t>2022-04</t>
        </is>
      </c>
      <c r="F988" t="n">
        <v>17130.7</v>
      </c>
      <c r="G988" t="n">
        <v>822154.6</v>
      </c>
      <c r="H988" t="n">
        <v>928265.6</v>
      </c>
      <c r="I988">
        <f>DAY(EOMONTH(DATE(VALUE(LEFT(E988,4)),VALUE(RIGHT(E988,2)),1),0))</f>
        <v/>
      </c>
      <c r="J988">
        <f>VALUE(LEFT(E988,4))*12+VALUE(RIGHT(E988,2))-1</f>
        <v/>
      </c>
    </row>
    <row r="989">
      <c r="A989" t="inlineStr">
        <is>
          <t>El Trapial</t>
        </is>
      </c>
      <c r="B989" t="inlineStr">
        <is>
          <t>Neuquina</t>
        </is>
      </c>
      <c r="C989" t="inlineStr">
        <is>
          <t>CHEVRON ARGENTINA S.R.L.</t>
        </is>
      </c>
      <c r="D989" t="inlineStr">
        <is>
          <t>no convencional</t>
        </is>
      </c>
      <c r="E989" t="inlineStr">
        <is>
          <t>2022-04</t>
        </is>
      </c>
      <c r="F989" t="n">
        <v>545.4</v>
      </c>
      <c r="G989" t="n">
        <v>328.7</v>
      </c>
      <c r="H989" t="n">
        <v>0</v>
      </c>
      <c r="I989">
        <f>DAY(EOMONTH(DATE(VALUE(LEFT(E989,4)),VALUE(RIGHT(E989,2)),1),0))</f>
        <v/>
      </c>
      <c r="J989">
        <f>VALUE(LEFT(E989,4))*12+VALUE(RIGHT(E989,2))-1</f>
        <v/>
      </c>
    </row>
    <row r="990">
      <c r="A990" t="inlineStr">
        <is>
          <t>El Trapial</t>
        </is>
      </c>
      <c r="B990" t="inlineStr">
        <is>
          <t>Neuquina</t>
        </is>
      </c>
      <c r="C990" t="inlineStr">
        <is>
          <t>CHEVRON ARGENTINA S.R.L.</t>
        </is>
      </c>
      <c r="D990" t="inlineStr">
        <is>
          <t>convencional</t>
        </is>
      </c>
      <c r="E990" t="inlineStr">
        <is>
          <t>2022-05</t>
        </is>
      </c>
      <c r="F990" t="n">
        <v>17671</v>
      </c>
      <c r="G990" t="n">
        <v>865058.5</v>
      </c>
      <c r="H990" t="n">
        <v>977719.4</v>
      </c>
      <c r="I990">
        <f>DAY(EOMONTH(DATE(VALUE(LEFT(E990,4)),VALUE(RIGHT(E990,2)),1),0))</f>
        <v/>
      </c>
      <c r="J990">
        <f>VALUE(LEFT(E990,4))*12+VALUE(RIGHT(E990,2))-1</f>
        <v/>
      </c>
    </row>
    <row r="991">
      <c r="A991" t="inlineStr">
        <is>
          <t>El Trapial</t>
        </is>
      </c>
      <c r="B991" t="inlineStr">
        <is>
          <t>Neuquina</t>
        </is>
      </c>
      <c r="C991" t="inlineStr">
        <is>
          <t>CHEVRON ARGENTINA S.R.L.</t>
        </is>
      </c>
      <c r="D991" t="inlineStr">
        <is>
          <t>no convencional</t>
        </is>
      </c>
      <c r="E991" t="inlineStr">
        <is>
          <t>2022-05</t>
        </is>
      </c>
      <c r="F991" t="n">
        <v>3571</v>
      </c>
      <c r="G991" t="n">
        <v>1749.2</v>
      </c>
      <c r="H991" t="n">
        <v>0</v>
      </c>
      <c r="I991">
        <f>DAY(EOMONTH(DATE(VALUE(LEFT(E991,4)),VALUE(RIGHT(E991,2)),1),0))</f>
        <v/>
      </c>
      <c r="J991">
        <f>VALUE(LEFT(E991,4))*12+VALUE(RIGHT(E991,2))-1</f>
        <v/>
      </c>
    </row>
    <row r="992">
      <c r="A992" t="inlineStr">
        <is>
          <t>El Trapial</t>
        </is>
      </c>
      <c r="B992" t="inlineStr">
        <is>
          <t>Neuquina</t>
        </is>
      </c>
      <c r="C992" t="inlineStr">
        <is>
          <t>CHEVRON ARGENTINA S.R.L.</t>
        </is>
      </c>
      <c r="D992" t="inlineStr">
        <is>
          <t>convencional</t>
        </is>
      </c>
      <c r="E992" t="inlineStr">
        <is>
          <t>2022-06</t>
        </is>
      </c>
      <c r="F992" t="n">
        <v>16923</v>
      </c>
      <c r="G992" t="n">
        <v>850106.4</v>
      </c>
      <c r="H992" t="n">
        <v>983162.6</v>
      </c>
      <c r="I992">
        <f>DAY(EOMONTH(DATE(VALUE(LEFT(E992,4)),VALUE(RIGHT(E992,2)),1),0))</f>
        <v/>
      </c>
      <c r="J992">
        <f>VALUE(LEFT(E992,4))*12+VALUE(RIGHT(E992,2))-1</f>
        <v/>
      </c>
    </row>
    <row r="993">
      <c r="A993" t="inlineStr">
        <is>
          <t>El Trapial</t>
        </is>
      </c>
      <c r="B993" t="inlineStr">
        <is>
          <t>Neuquina</t>
        </is>
      </c>
      <c r="C993" t="inlineStr">
        <is>
          <t>CHEVRON ARGENTINA S.R.L.</t>
        </is>
      </c>
      <c r="D993" t="inlineStr">
        <is>
          <t>no convencional</t>
        </is>
      </c>
      <c r="E993" t="inlineStr">
        <is>
          <t>2022-06</t>
        </is>
      </c>
      <c r="F993" t="n">
        <v>6654</v>
      </c>
      <c r="G993" t="n">
        <v>4212.6</v>
      </c>
      <c r="H993" t="n">
        <v>0</v>
      </c>
      <c r="I993">
        <f>DAY(EOMONTH(DATE(VALUE(LEFT(E993,4)),VALUE(RIGHT(E993,2)),1),0))</f>
        <v/>
      </c>
      <c r="J993">
        <f>VALUE(LEFT(E993,4))*12+VALUE(RIGHT(E993,2))-1</f>
        <v/>
      </c>
    </row>
    <row r="994">
      <c r="A994" t="inlineStr">
        <is>
          <t>El Trapial</t>
        </is>
      </c>
      <c r="B994" t="inlineStr">
        <is>
          <t>Neuquina</t>
        </is>
      </c>
      <c r="C994" t="inlineStr">
        <is>
          <t>CHEVRON ARGENTINA S.R.L.</t>
        </is>
      </c>
      <c r="D994" t="inlineStr">
        <is>
          <t>convencional</t>
        </is>
      </c>
      <c r="E994" t="inlineStr">
        <is>
          <t>2022-07</t>
        </is>
      </c>
      <c r="F994" t="n">
        <v>17235</v>
      </c>
      <c r="G994" t="n">
        <v>866519.1</v>
      </c>
      <c r="H994" t="n">
        <v>1026879.1</v>
      </c>
      <c r="I994">
        <f>DAY(EOMONTH(DATE(VALUE(LEFT(E994,4)),VALUE(RIGHT(E994,2)),1),0))</f>
        <v/>
      </c>
      <c r="J994">
        <f>VALUE(LEFT(E994,4))*12+VALUE(RIGHT(E994,2))-1</f>
        <v/>
      </c>
    </row>
    <row r="995">
      <c r="A995" t="inlineStr">
        <is>
          <t>El Trapial</t>
        </is>
      </c>
      <c r="B995" t="inlineStr">
        <is>
          <t>Neuquina</t>
        </is>
      </c>
      <c r="C995" t="inlineStr">
        <is>
          <t>CHEVRON ARGENTINA S.R.L.</t>
        </is>
      </c>
      <c r="D995" t="inlineStr">
        <is>
          <t>no convencional</t>
        </is>
      </c>
      <c r="E995" t="inlineStr">
        <is>
          <t>2022-07</t>
        </is>
      </c>
      <c r="F995" t="n">
        <v>9735</v>
      </c>
      <c r="G995" t="n">
        <v>6397.6</v>
      </c>
      <c r="H995" t="n">
        <v>0</v>
      </c>
      <c r="I995">
        <f>DAY(EOMONTH(DATE(VALUE(LEFT(E995,4)),VALUE(RIGHT(E995,2)),1),0))</f>
        <v/>
      </c>
      <c r="J995">
        <f>VALUE(LEFT(E995,4))*12+VALUE(RIGHT(E995,2))-1</f>
        <v/>
      </c>
    </row>
    <row r="996">
      <c r="A996" t="inlineStr">
        <is>
          <t>El Trapial</t>
        </is>
      </c>
      <c r="B996" t="inlineStr">
        <is>
          <t>Neuquina</t>
        </is>
      </c>
      <c r="C996" t="inlineStr">
        <is>
          <t>CHEVRON ARGENTINA S.R.L.</t>
        </is>
      </c>
      <c r="D996" t="inlineStr">
        <is>
          <t>convencional</t>
        </is>
      </c>
      <c r="E996" t="inlineStr">
        <is>
          <t>2022-08</t>
        </is>
      </c>
      <c r="F996" t="n">
        <v>16429</v>
      </c>
      <c r="G996" t="n">
        <v>810258.8</v>
      </c>
      <c r="H996" t="n">
        <v>956485.4</v>
      </c>
      <c r="I996">
        <f>DAY(EOMONTH(DATE(VALUE(LEFT(E996,4)),VALUE(RIGHT(E996,2)),1),0))</f>
        <v/>
      </c>
      <c r="J996">
        <f>VALUE(LEFT(E996,4))*12+VALUE(RIGHT(E996,2))-1</f>
        <v/>
      </c>
    </row>
    <row r="997">
      <c r="A997" t="inlineStr">
        <is>
          <t>El Trapial</t>
        </is>
      </c>
      <c r="B997" t="inlineStr">
        <is>
          <t>Neuquina</t>
        </is>
      </c>
      <c r="C997" t="inlineStr">
        <is>
          <t>CHEVRON ARGENTINA S.R.L.</t>
        </is>
      </c>
      <c r="D997" t="inlineStr">
        <is>
          <t>no convencional</t>
        </is>
      </c>
      <c r="E997" t="inlineStr">
        <is>
          <t>2022-08</t>
        </is>
      </c>
      <c r="F997" t="n">
        <v>9911</v>
      </c>
      <c r="G997" t="n">
        <v>7007.9</v>
      </c>
      <c r="H997" t="n">
        <v>0</v>
      </c>
      <c r="I997">
        <f>DAY(EOMONTH(DATE(VALUE(LEFT(E997,4)),VALUE(RIGHT(E997,2)),1),0))</f>
        <v/>
      </c>
      <c r="J997">
        <f>VALUE(LEFT(E997,4))*12+VALUE(RIGHT(E997,2))-1</f>
        <v/>
      </c>
    </row>
    <row r="998">
      <c r="A998" t="inlineStr">
        <is>
          <t>El Trapial</t>
        </is>
      </c>
      <c r="B998" t="inlineStr">
        <is>
          <t>Neuquina</t>
        </is>
      </c>
      <c r="C998" t="inlineStr">
        <is>
          <t>CHEVRON ARGENTINA S.R.L.</t>
        </is>
      </c>
      <c r="D998" t="inlineStr">
        <is>
          <t>convencional</t>
        </is>
      </c>
      <c r="E998" t="inlineStr">
        <is>
          <t>2022-09</t>
        </is>
      </c>
      <c r="F998" t="n">
        <v>16257.1</v>
      </c>
      <c r="G998" t="n">
        <v>825915.4</v>
      </c>
      <c r="H998" t="n">
        <v>957085.4</v>
      </c>
      <c r="I998">
        <f>DAY(EOMONTH(DATE(VALUE(LEFT(E998,4)),VALUE(RIGHT(E998,2)),1),0))</f>
        <v/>
      </c>
      <c r="J998">
        <f>VALUE(LEFT(E998,4))*12+VALUE(RIGHT(E998,2))-1</f>
        <v/>
      </c>
    </row>
    <row r="999">
      <c r="A999" t="inlineStr">
        <is>
          <t>El Trapial</t>
        </is>
      </c>
      <c r="B999" t="inlineStr">
        <is>
          <t>Neuquina</t>
        </is>
      </c>
      <c r="C999" t="inlineStr">
        <is>
          <t>CHEVRON ARGENTINA S.R.L.</t>
        </is>
      </c>
      <c r="D999" t="inlineStr">
        <is>
          <t>no convencional</t>
        </is>
      </c>
      <c r="E999" t="inlineStr">
        <is>
          <t>2022-09</t>
        </is>
      </c>
      <c r="F999" t="n">
        <v>9237</v>
      </c>
      <c r="G999" t="n">
        <v>6293.4</v>
      </c>
      <c r="H999" t="n">
        <v>0</v>
      </c>
      <c r="I999">
        <f>DAY(EOMONTH(DATE(VALUE(LEFT(E999,4)),VALUE(RIGHT(E999,2)),1),0))</f>
        <v/>
      </c>
      <c r="J999">
        <f>VALUE(LEFT(E999,4))*12+VALUE(RIGHT(E999,2))-1</f>
        <v/>
      </c>
    </row>
    <row r="1000">
      <c r="A1000" t="inlineStr">
        <is>
          <t>El Trapial</t>
        </is>
      </c>
      <c r="B1000" t="inlineStr">
        <is>
          <t>Neuquina</t>
        </is>
      </c>
      <c r="C1000" t="inlineStr">
        <is>
          <t>CHEVRON ARGENTINA S.R.L.</t>
        </is>
      </c>
      <c r="D1000" t="inlineStr">
        <is>
          <t>convencional</t>
        </is>
      </c>
      <c r="E1000" t="inlineStr">
        <is>
          <t>2022-10</t>
        </is>
      </c>
      <c r="F1000" t="n">
        <v>16687</v>
      </c>
      <c r="G1000" t="n">
        <v>838772.7</v>
      </c>
      <c r="H1000" t="n">
        <v>971603.7</v>
      </c>
      <c r="I1000">
        <f>DAY(EOMONTH(DATE(VALUE(LEFT(E1000,4)),VALUE(RIGHT(E1000,2)),1),0))</f>
        <v/>
      </c>
      <c r="J1000">
        <f>VALUE(LEFT(E1000,4))*12+VALUE(RIGHT(E1000,2))-1</f>
        <v/>
      </c>
    </row>
    <row r="1001">
      <c r="A1001" t="inlineStr">
        <is>
          <t>El Trapial</t>
        </is>
      </c>
      <c r="B1001" t="inlineStr">
        <is>
          <t>Neuquina</t>
        </is>
      </c>
      <c r="C1001" t="inlineStr">
        <is>
          <t>CHEVRON ARGENTINA S.R.L.</t>
        </is>
      </c>
      <c r="D1001" t="inlineStr">
        <is>
          <t>no convencional</t>
        </is>
      </c>
      <c r="E1001" t="inlineStr">
        <is>
          <t>2022-10</t>
        </is>
      </c>
      <c r="F1001" t="n">
        <v>9092</v>
      </c>
      <c r="G1001" t="n">
        <v>5159.1</v>
      </c>
      <c r="H1001" t="n">
        <v>0</v>
      </c>
      <c r="I1001">
        <f>DAY(EOMONTH(DATE(VALUE(LEFT(E1001,4)),VALUE(RIGHT(E1001,2)),1),0))</f>
        <v/>
      </c>
      <c r="J1001">
        <f>VALUE(LEFT(E1001,4))*12+VALUE(RIGHT(E1001,2))-1</f>
        <v/>
      </c>
    </row>
    <row r="1002">
      <c r="A1002" t="inlineStr">
        <is>
          <t>El Trapial</t>
        </is>
      </c>
      <c r="B1002" t="inlineStr">
        <is>
          <t>Neuquina</t>
        </is>
      </c>
      <c r="C1002" t="inlineStr">
        <is>
          <t>CHEVRON ARGENTINA S.R.L.</t>
        </is>
      </c>
      <c r="D1002" t="inlineStr">
        <is>
          <t>convencional</t>
        </is>
      </c>
      <c r="E1002" t="inlineStr">
        <is>
          <t>2022-11</t>
        </is>
      </c>
      <c r="F1002" t="n">
        <v>16270</v>
      </c>
      <c r="G1002" t="n">
        <v>781406.5</v>
      </c>
      <c r="H1002" t="n">
        <v>914168.5</v>
      </c>
      <c r="I1002">
        <f>DAY(EOMONTH(DATE(VALUE(LEFT(E1002,4)),VALUE(RIGHT(E1002,2)),1),0))</f>
        <v/>
      </c>
      <c r="J1002">
        <f>VALUE(LEFT(E1002,4))*12+VALUE(RIGHT(E1002,2))-1</f>
        <v/>
      </c>
    </row>
    <row r="1003">
      <c r="A1003" t="inlineStr">
        <is>
          <t>El Trapial</t>
        </is>
      </c>
      <c r="B1003" t="inlineStr">
        <is>
          <t>Neuquina</t>
        </is>
      </c>
      <c r="C1003" t="inlineStr">
        <is>
          <t>CHEVRON ARGENTINA S.R.L.</t>
        </is>
      </c>
      <c r="D1003" t="inlineStr">
        <is>
          <t>no convencional</t>
        </is>
      </c>
      <c r="E1003" t="inlineStr">
        <is>
          <t>2022-11</t>
        </is>
      </c>
      <c r="F1003" t="n">
        <v>8620</v>
      </c>
      <c r="G1003" t="n">
        <v>4478.5</v>
      </c>
      <c r="H1003" t="n">
        <v>0</v>
      </c>
      <c r="I1003">
        <f>DAY(EOMONTH(DATE(VALUE(LEFT(E1003,4)),VALUE(RIGHT(E1003,2)),1),0))</f>
        <v/>
      </c>
      <c r="J1003">
        <f>VALUE(LEFT(E1003,4))*12+VALUE(RIGHT(E1003,2))-1</f>
        <v/>
      </c>
    </row>
    <row r="1004">
      <c r="A1004" t="inlineStr">
        <is>
          <t>El Trapial</t>
        </is>
      </c>
      <c r="B1004" t="inlineStr">
        <is>
          <t>Neuquina</t>
        </is>
      </c>
      <c r="C1004" t="inlineStr">
        <is>
          <t>CHEVRON ARGENTINA S.R.L.</t>
        </is>
      </c>
      <c r="D1004" t="inlineStr">
        <is>
          <t>convencional</t>
        </is>
      </c>
      <c r="E1004" t="inlineStr">
        <is>
          <t>2022-12</t>
        </is>
      </c>
      <c r="F1004" t="n">
        <v>15532</v>
      </c>
      <c r="G1004" t="n">
        <v>770002.5</v>
      </c>
      <c r="H1004" t="n">
        <v>901087.2</v>
      </c>
      <c r="I1004">
        <f>DAY(EOMONTH(DATE(VALUE(LEFT(E1004,4)),VALUE(RIGHT(E1004,2)),1),0))</f>
        <v/>
      </c>
      <c r="J1004">
        <f>VALUE(LEFT(E1004,4))*12+VALUE(RIGHT(E1004,2))-1</f>
        <v/>
      </c>
    </row>
    <row r="1005">
      <c r="A1005" t="inlineStr">
        <is>
          <t>El Trapial</t>
        </is>
      </c>
      <c r="B1005" t="inlineStr">
        <is>
          <t>Neuquina</t>
        </is>
      </c>
      <c r="C1005" t="inlineStr">
        <is>
          <t>CHEVRON ARGENTINA S.R.L.</t>
        </is>
      </c>
      <c r="D1005" t="inlineStr">
        <is>
          <t>no convencional</t>
        </is>
      </c>
      <c r="E1005" t="inlineStr">
        <is>
          <t>2022-12</t>
        </is>
      </c>
      <c r="F1005" t="n">
        <v>7889</v>
      </c>
      <c r="G1005" t="n">
        <v>5036.1</v>
      </c>
      <c r="H1005" t="n">
        <v>0</v>
      </c>
      <c r="I1005">
        <f>DAY(EOMONTH(DATE(VALUE(LEFT(E1005,4)),VALUE(RIGHT(E1005,2)),1),0))</f>
        <v/>
      </c>
      <c r="J1005">
        <f>VALUE(LEFT(E1005,4))*12+VALUE(RIGHT(E1005,2))-1</f>
        <v/>
      </c>
    </row>
    <row r="1006">
      <c r="A1006" t="inlineStr">
        <is>
          <t>El Trapial</t>
        </is>
      </c>
      <c r="B1006" t="inlineStr">
        <is>
          <t>Neuquina</t>
        </is>
      </c>
      <c r="C1006" t="inlineStr">
        <is>
          <t>CHEVRON ARGENTINA S.R.L.</t>
        </is>
      </c>
      <c r="D1006" t="inlineStr">
        <is>
          <t>convencional</t>
        </is>
      </c>
      <c r="E1006" t="inlineStr">
        <is>
          <t>2023-01</t>
        </is>
      </c>
      <c r="F1006" t="n">
        <v>13996</v>
      </c>
      <c r="G1006" t="n">
        <v>728399.7</v>
      </c>
      <c r="H1006" t="n">
        <v>855326.3</v>
      </c>
      <c r="I1006">
        <f>DAY(EOMONTH(DATE(VALUE(LEFT(E1006,4)),VALUE(RIGHT(E1006,2)),1),0))</f>
        <v/>
      </c>
      <c r="J1006">
        <f>VALUE(LEFT(E1006,4))*12+VALUE(RIGHT(E1006,2))-1</f>
        <v/>
      </c>
    </row>
    <row r="1007">
      <c r="A1007" t="inlineStr">
        <is>
          <t>El Trapial</t>
        </is>
      </c>
      <c r="B1007" t="inlineStr">
        <is>
          <t>Neuquina</t>
        </is>
      </c>
      <c r="C1007" t="inlineStr">
        <is>
          <t>CHEVRON ARGENTINA S.R.L.</t>
        </is>
      </c>
      <c r="D1007" t="inlineStr">
        <is>
          <t>no convencional</t>
        </is>
      </c>
      <c r="E1007" t="inlineStr">
        <is>
          <t>2023-01</t>
        </is>
      </c>
      <c r="F1007" t="n">
        <v>6877</v>
      </c>
      <c r="G1007" t="n">
        <v>4330.4</v>
      </c>
      <c r="H1007" t="n">
        <v>0</v>
      </c>
      <c r="I1007">
        <f>DAY(EOMONTH(DATE(VALUE(LEFT(E1007,4)),VALUE(RIGHT(E1007,2)),1),0))</f>
        <v/>
      </c>
      <c r="J1007">
        <f>VALUE(LEFT(E1007,4))*12+VALUE(RIGHT(E1007,2))-1</f>
        <v/>
      </c>
    </row>
    <row r="1008">
      <c r="A1008" t="inlineStr">
        <is>
          <t>El Trapial</t>
        </is>
      </c>
      <c r="B1008" t="inlineStr">
        <is>
          <t>Neuquina</t>
        </is>
      </c>
      <c r="C1008" t="inlineStr">
        <is>
          <t>CHEVRON ARGENTINA S.R.L.</t>
        </is>
      </c>
      <c r="D1008" t="inlineStr">
        <is>
          <t>convencional</t>
        </is>
      </c>
      <c r="E1008" t="inlineStr">
        <is>
          <t>2023-02</t>
        </is>
      </c>
      <c r="F1008" t="n">
        <v>13713</v>
      </c>
      <c r="G1008" t="n">
        <v>710217.2</v>
      </c>
      <c r="H1008" t="n">
        <v>837646.6</v>
      </c>
      <c r="I1008">
        <f>DAY(EOMONTH(DATE(VALUE(LEFT(E1008,4)),VALUE(RIGHT(E1008,2)),1),0))</f>
        <v/>
      </c>
      <c r="J1008">
        <f>VALUE(LEFT(E1008,4))*12+VALUE(RIGHT(E1008,2))-1</f>
        <v/>
      </c>
    </row>
    <row r="1009">
      <c r="A1009" t="inlineStr">
        <is>
          <t>El Trapial</t>
        </is>
      </c>
      <c r="B1009" t="inlineStr">
        <is>
          <t>Neuquina</t>
        </is>
      </c>
      <c r="C1009" t="inlineStr">
        <is>
          <t>CHEVRON ARGENTINA S.R.L.</t>
        </is>
      </c>
      <c r="D1009" t="inlineStr">
        <is>
          <t>no convencional</t>
        </is>
      </c>
      <c r="E1009" t="inlineStr">
        <is>
          <t>2023-02</t>
        </is>
      </c>
      <c r="F1009" t="n">
        <v>5202</v>
      </c>
      <c r="G1009" t="n">
        <v>3620.2</v>
      </c>
      <c r="H1009" t="n">
        <v>0</v>
      </c>
      <c r="I1009">
        <f>DAY(EOMONTH(DATE(VALUE(LEFT(E1009,4)),VALUE(RIGHT(E1009,2)),1),0))</f>
        <v/>
      </c>
      <c r="J1009">
        <f>VALUE(LEFT(E1009,4))*12+VALUE(RIGHT(E1009,2))-1</f>
        <v/>
      </c>
    </row>
    <row r="1010">
      <c r="A1010" t="inlineStr">
        <is>
          <t>El Trapial</t>
        </is>
      </c>
      <c r="B1010" t="inlineStr">
        <is>
          <t>Neuquina</t>
        </is>
      </c>
      <c r="C1010" t="inlineStr">
        <is>
          <t>CHEVRON ARGENTINA S.R.L.</t>
        </is>
      </c>
      <c r="D1010" t="inlineStr">
        <is>
          <t>convencional</t>
        </is>
      </c>
      <c r="E1010" t="inlineStr">
        <is>
          <t>2023-03</t>
        </is>
      </c>
      <c r="F1010" t="n">
        <v>15178.4</v>
      </c>
      <c r="G1010" t="n">
        <v>779649.1</v>
      </c>
      <c r="H1010" t="n">
        <v>909016.4</v>
      </c>
      <c r="I1010">
        <f>DAY(EOMONTH(DATE(VALUE(LEFT(E1010,4)),VALUE(RIGHT(E1010,2)),1),0))</f>
        <v/>
      </c>
      <c r="J1010">
        <f>VALUE(LEFT(E1010,4))*12+VALUE(RIGHT(E1010,2))-1</f>
        <v/>
      </c>
    </row>
    <row r="1011">
      <c r="A1011" t="inlineStr">
        <is>
          <t>El Trapial</t>
        </is>
      </c>
      <c r="B1011" t="inlineStr">
        <is>
          <t>Neuquina</t>
        </is>
      </c>
      <c r="C1011" t="inlineStr">
        <is>
          <t>CHEVRON ARGENTINA S.R.L.</t>
        </is>
      </c>
      <c r="D1011" t="inlineStr">
        <is>
          <t>no convencional</t>
        </is>
      </c>
      <c r="E1011" t="inlineStr">
        <is>
          <t>2023-03</t>
        </is>
      </c>
      <c r="F1011" t="n">
        <v>6808.6</v>
      </c>
      <c r="G1011" t="n">
        <v>4383.8</v>
      </c>
      <c r="H1011" t="n">
        <v>0</v>
      </c>
      <c r="I1011">
        <f>DAY(EOMONTH(DATE(VALUE(LEFT(E1011,4)),VALUE(RIGHT(E1011,2)),1),0))</f>
        <v/>
      </c>
      <c r="J1011">
        <f>VALUE(LEFT(E1011,4))*12+VALUE(RIGHT(E1011,2))-1</f>
        <v/>
      </c>
    </row>
    <row r="1012">
      <c r="A1012" t="inlineStr">
        <is>
          <t>El Trapial</t>
        </is>
      </c>
      <c r="B1012" t="inlineStr">
        <is>
          <t>Neuquina</t>
        </is>
      </c>
      <c r="C1012" t="inlineStr">
        <is>
          <t>CHEVRON ARGENTINA S.R.L.</t>
        </is>
      </c>
      <c r="D1012" t="inlineStr">
        <is>
          <t>convencional</t>
        </is>
      </c>
      <c r="E1012" t="inlineStr">
        <is>
          <t>2023-04</t>
        </is>
      </c>
      <c r="F1012" t="n">
        <v>14700.4</v>
      </c>
      <c r="G1012" t="n">
        <v>742372.9</v>
      </c>
      <c r="H1012" t="n">
        <v>846190.9</v>
      </c>
      <c r="I1012">
        <f>DAY(EOMONTH(DATE(VALUE(LEFT(E1012,4)),VALUE(RIGHT(E1012,2)),1),0))</f>
        <v/>
      </c>
      <c r="J1012">
        <f>VALUE(LEFT(E1012,4))*12+VALUE(RIGHT(E1012,2))-1</f>
        <v/>
      </c>
    </row>
    <row r="1013">
      <c r="A1013" t="inlineStr">
        <is>
          <t>El Trapial</t>
        </is>
      </c>
      <c r="B1013" t="inlineStr">
        <is>
          <t>Neuquina</t>
        </is>
      </c>
      <c r="C1013" t="inlineStr">
        <is>
          <t>CHEVRON ARGENTINA S.R.L.</t>
        </is>
      </c>
      <c r="D1013" t="inlineStr">
        <is>
          <t>no convencional</t>
        </is>
      </c>
      <c r="E1013" t="inlineStr">
        <is>
          <t>2023-04</t>
        </is>
      </c>
      <c r="F1013" t="n">
        <v>6589.6</v>
      </c>
      <c r="G1013" t="n">
        <v>3640.2</v>
      </c>
      <c r="H1013" t="n">
        <v>0</v>
      </c>
      <c r="I1013">
        <f>DAY(EOMONTH(DATE(VALUE(LEFT(E1013,4)),VALUE(RIGHT(E1013,2)),1),0))</f>
        <v/>
      </c>
      <c r="J1013">
        <f>VALUE(LEFT(E1013,4))*12+VALUE(RIGHT(E1013,2))-1</f>
        <v/>
      </c>
    </row>
    <row r="1014">
      <c r="A1014" t="inlineStr">
        <is>
          <t>El Trapial</t>
        </is>
      </c>
      <c r="B1014" t="inlineStr">
        <is>
          <t>Neuquina</t>
        </is>
      </c>
      <c r="C1014" t="inlineStr">
        <is>
          <t>CHEVRON ARGENTINA S.R.L.</t>
        </is>
      </c>
      <c r="D1014" t="inlineStr">
        <is>
          <t>convencional</t>
        </is>
      </c>
      <c r="E1014" t="inlineStr">
        <is>
          <t>2023-05</t>
        </is>
      </c>
      <c r="F1014" t="n">
        <v>13832.9</v>
      </c>
      <c r="G1014" t="n">
        <v>744313.9</v>
      </c>
      <c r="H1014" t="n">
        <v>808824.6</v>
      </c>
      <c r="I1014">
        <f>DAY(EOMONTH(DATE(VALUE(LEFT(E1014,4)),VALUE(RIGHT(E1014,2)),1),0))</f>
        <v/>
      </c>
      <c r="J1014">
        <f>VALUE(LEFT(E1014,4))*12+VALUE(RIGHT(E1014,2))-1</f>
        <v/>
      </c>
    </row>
    <row r="1015">
      <c r="A1015" t="inlineStr">
        <is>
          <t>El Trapial</t>
        </is>
      </c>
      <c r="B1015" t="inlineStr">
        <is>
          <t>Neuquina</t>
        </is>
      </c>
      <c r="C1015" t="inlineStr">
        <is>
          <t>CHEVRON ARGENTINA S.R.L.</t>
        </is>
      </c>
      <c r="D1015" t="inlineStr">
        <is>
          <t>no convencional</t>
        </is>
      </c>
      <c r="E1015" t="inlineStr">
        <is>
          <t>2023-05</t>
        </is>
      </c>
      <c r="F1015" t="n">
        <v>4565</v>
      </c>
      <c r="G1015" t="n">
        <v>2479.7</v>
      </c>
      <c r="H1015" t="n">
        <v>0</v>
      </c>
      <c r="I1015">
        <f>DAY(EOMONTH(DATE(VALUE(LEFT(E1015,4)),VALUE(RIGHT(E1015,2)),1),0))</f>
        <v/>
      </c>
      <c r="J1015">
        <f>VALUE(LEFT(E1015,4))*12+VALUE(RIGHT(E1015,2))-1</f>
        <v/>
      </c>
    </row>
    <row r="1016">
      <c r="A1016" t="inlineStr">
        <is>
          <t>El Trapial</t>
        </is>
      </c>
      <c r="B1016" t="inlineStr">
        <is>
          <t>Neuquina</t>
        </is>
      </c>
      <c r="C1016" t="inlineStr">
        <is>
          <t>CHEVRON ARGENTINA S.R.L.</t>
        </is>
      </c>
      <c r="D1016" t="inlineStr">
        <is>
          <t>convencional</t>
        </is>
      </c>
      <c r="E1016" t="inlineStr">
        <is>
          <t>2023-06</t>
        </is>
      </c>
      <c r="F1016" t="n">
        <v>12117</v>
      </c>
      <c r="G1016" t="n">
        <v>642580.6</v>
      </c>
      <c r="H1016" t="n">
        <v>722566.1</v>
      </c>
      <c r="I1016">
        <f>DAY(EOMONTH(DATE(VALUE(LEFT(E1016,4)),VALUE(RIGHT(E1016,2)),1),0))</f>
        <v/>
      </c>
      <c r="J1016">
        <f>VALUE(LEFT(E1016,4))*12+VALUE(RIGHT(E1016,2))-1</f>
        <v/>
      </c>
    </row>
    <row r="1017">
      <c r="A1017" t="inlineStr">
        <is>
          <t>El Trapial</t>
        </is>
      </c>
      <c r="B1017" t="inlineStr">
        <is>
          <t>Neuquina</t>
        </is>
      </c>
      <c r="C1017" t="inlineStr">
        <is>
          <t>CHEVRON ARGENTINA S.R.L.</t>
        </is>
      </c>
      <c r="D1017" t="inlineStr">
        <is>
          <t>no convencional</t>
        </is>
      </c>
      <c r="E1017" t="inlineStr">
        <is>
          <t>2023-06</t>
        </is>
      </c>
      <c r="F1017" t="n">
        <v>4752</v>
      </c>
      <c r="G1017" t="n">
        <v>14310.6</v>
      </c>
      <c r="H1017" t="n">
        <v>0</v>
      </c>
      <c r="I1017">
        <f>DAY(EOMONTH(DATE(VALUE(LEFT(E1017,4)),VALUE(RIGHT(E1017,2)),1),0))</f>
        <v/>
      </c>
      <c r="J1017">
        <f>VALUE(LEFT(E1017,4))*12+VALUE(RIGHT(E1017,2))-1</f>
        <v/>
      </c>
    </row>
    <row r="1018">
      <c r="A1018" t="inlineStr">
        <is>
          <t>El Trapial</t>
        </is>
      </c>
      <c r="B1018" t="inlineStr">
        <is>
          <t>Neuquina</t>
        </is>
      </c>
      <c r="C1018" t="inlineStr">
        <is>
          <t>CHEVRON ARGENTINA S.R.L.</t>
        </is>
      </c>
      <c r="D1018" t="inlineStr">
        <is>
          <t>convencional</t>
        </is>
      </c>
      <c r="E1018" t="inlineStr">
        <is>
          <t>2023-07</t>
        </is>
      </c>
      <c r="F1018" t="n">
        <v>12655</v>
      </c>
      <c r="G1018" t="n">
        <v>595072.7</v>
      </c>
      <c r="H1018" t="n">
        <v>682421.5</v>
      </c>
      <c r="I1018">
        <f>DAY(EOMONTH(DATE(VALUE(LEFT(E1018,4)),VALUE(RIGHT(E1018,2)),1),0))</f>
        <v/>
      </c>
      <c r="J1018">
        <f>VALUE(LEFT(E1018,4))*12+VALUE(RIGHT(E1018,2))-1</f>
        <v/>
      </c>
    </row>
    <row r="1019">
      <c r="A1019" t="inlineStr">
        <is>
          <t>El Trapial</t>
        </is>
      </c>
      <c r="B1019" t="inlineStr">
        <is>
          <t>Neuquina</t>
        </is>
      </c>
      <c r="C1019" t="inlineStr">
        <is>
          <t>CHEVRON ARGENTINA S.R.L.</t>
        </is>
      </c>
      <c r="D1019" t="inlineStr">
        <is>
          <t>no convencional</t>
        </is>
      </c>
      <c r="E1019" t="inlineStr">
        <is>
          <t>2023-07</t>
        </is>
      </c>
      <c r="F1019" t="n">
        <v>5356</v>
      </c>
      <c r="G1019" t="n">
        <v>26673.2</v>
      </c>
      <c r="H1019" t="n">
        <v>0</v>
      </c>
      <c r="I1019">
        <f>DAY(EOMONTH(DATE(VALUE(LEFT(E1019,4)),VALUE(RIGHT(E1019,2)),1),0))</f>
        <v/>
      </c>
      <c r="J1019">
        <f>VALUE(LEFT(E1019,4))*12+VALUE(RIGHT(E1019,2))-1</f>
        <v/>
      </c>
    </row>
    <row r="1020">
      <c r="A1020" t="inlineStr">
        <is>
          <t>El Trapial</t>
        </is>
      </c>
      <c r="B1020" t="inlineStr">
        <is>
          <t>Neuquina</t>
        </is>
      </c>
      <c r="C1020" t="inlineStr">
        <is>
          <t>CHEVRON ARGENTINA S.R.L.</t>
        </is>
      </c>
      <c r="D1020" t="inlineStr">
        <is>
          <t>convencional</t>
        </is>
      </c>
      <c r="E1020" t="inlineStr">
        <is>
          <t>2023-08</t>
        </is>
      </c>
      <c r="F1020" t="n">
        <v>13592</v>
      </c>
      <c r="G1020" t="n">
        <v>679796</v>
      </c>
      <c r="H1020" t="n">
        <v>737831.9</v>
      </c>
      <c r="I1020">
        <f>DAY(EOMONTH(DATE(VALUE(LEFT(E1020,4)),VALUE(RIGHT(E1020,2)),1),0))</f>
        <v/>
      </c>
      <c r="J1020">
        <f>VALUE(LEFT(E1020,4))*12+VALUE(RIGHT(E1020,2))-1</f>
        <v/>
      </c>
    </row>
    <row r="1021">
      <c r="A1021" t="inlineStr">
        <is>
          <t>El Trapial</t>
        </is>
      </c>
      <c r="B1021" t="inlineStr">
        <is>
          <t>Neuquina</t>
        </is>
      </c>
      <c r="C1021" t="inlineStr">
        <is>
          <t>CHEVRON ARGENTINA S.R.L.</t>
        </is>
      </c>
      <c r="D1021" t="inlineStr">
        <is>
          <t>no convencional</t>
        </is>
      </c>
      <c r="E1021" t="inlineStr">
        <is>
          <t>2023-08</t>
        </is>
      </c>
      <c r="F1021" t="n">
        <v>5192</v>
      </c>
      <c r="G1021" t="n">
        <v>12593.5</v>
      </c>
      <c r="H1021" t="n">
        <v>0</v>
      </c>
      <c r="I1021">
        <f>DAY(EOMONTH(DATE(VALUE(LEFT(E1021,4)),VALUE(RIGHT(E1021,2)),1),0))</f>
        <v/>
      </c>
      <c r="J1021">
        <f>VALUE(LEFT(E1021,4))*12+VALUE(RIGHT(E1021,2))-1</f>
        <v/>
      </c>
    </row>
    <row r="1022">
      <c r="A1022" t="inlineStr">
        <is>
          <t>El Trapial</t>
        </is>
      </c>
      <c r="B1022" t="inlineStr">
        <is>
          <t>Neuquina</t>
        </is>
      </c>
      <c r="C1022" t="inlineStr">
        <is>
          <t>CHEVRON ARGENTINA S.R.L.</t>
        </is>
      </c>
      <c r="D1022" t="inlineStr">
        <is>
          <t>convencional</t>
        </is>
      </c>
      <c r="E1022" t="inlineStr">
        <is>
          <t>2023-09</t>
        </is>
      </c>
      <c r="F1022" t="n">
        <v>12714</v>
      </c>
      <c r="G1022" t="n">
        <v>614726.6</v>
      </c>
      <c r="H1022" t="n">
        <v>652694.4</v>
      </c>
      <c r="I1022">
        <f>DAY(EOMONTH(DATE(VALUE(LEFT(E1022,4)),VALUE(RIGHT(E1022,2)),1),0))</f>
        <v/>
      </c>
      <c r="J1022">
        <f>VALUE(LEFT(E1022,4))*12+VALUE(RIGHT(E1022,2))-1</f>
        <v/>
      </c>
    </row>
    <row r="1023">
      <c r="A1023" t="inlineStr">
        <is>
          <t>El Trapial</t>
        </is>
      </c>
      <c r="B1023" t="inlineStr">
        <is>
          <t>Neuquina</t>
        </is>
      </c>
      <c r="C1023" t="inlineStr">
        <is>
          <t>CHEVRON ARGENTINA S.R.L.</t>
        </is>
      </c>
      <c r="D1023" t="inlineStr">
        <is>
          <t>no convencional</t>
        </is>
      </c>
      <c r="E1023" t="inlineStr">
        <is>
          <t>2023-09</t>
        </is>
      </c>
      <c r="F1023" t="n">
        <v>4423.6</v>
      </c>
      <c r="G1023" t="n">
        <v>12112.5</v>
      </c>
      <c r="H1023" t="n">
        <v>0</v>
      </c>
      <c r="I1023">
        <f>DAY(EOMONTH(DATE(VALUE(LEFT(E1023,4)),VALUE(RIGHT(E1023,2)),1),0))</f>
        <v/>
      </c>
      <c r="J1023">
        <f>VALUE(LEFT(E1023,4))*12+VALUE(RIGHT(E1023,2))-1</f>
        <v/>
      </c>
    </row>
    <row r="1024">
      <c r="A1024" t="inlineStr">
        <is>
          <t>El Trapial</t>
        </is>
      </c>
      <c r="B1024" t="inlineStr">
        <is>
          <t>Neuquina</t>
        </is>
      </c>
      <c r="C1024" t="inlineStr">
        <is>
          <t>CHEVRON ARGENTINA S.R.L.</t>
        </is>
      </c>
      <c r="D1024" t="inlineStr">
        <is>
          <t>convencional</t>
        </is>
      </c>
      <c r="E1024" t="inlineStr">
        <is>
          <t>2023-10</t>
        </is>
      </c>
      <c r="F1024" t="n">
        <v>13817.3</v>
      </c>
      <c r="G1024" t="n">
        <v>692571.1</v>
      </c>
      <c r="H1024" t="n">
        <v>778835.8</v>
      </c>
      <c r="I1024">
        <f>DAY(EOMONTH(DATE(VALUE(LEFT(E1024,4)),VALUE(RIGHT(E1024,2)),1),0))</f>
        <v/>
      </c>
      <c r="J1024">
        <f>VALUE(LEFT(E1024,4))*12+VALUE(RIGHT(E1024,2))-1</f>
        <v/>
      </c>
    </row>
    <row r="1025">
      <c r="A1025" t="inlineStr">
        <is>
          <t>El Trapial</t>
        </is>
      </c>
      <c r="B1025" t="inlineStr">
        <is>
          <t>Neuquina</t>
        </is>
      </c>
      <c r="C1025" t="inlineStr">
        <is>
          <t>CHEVRON ARGENTINA S.R.L.</t>
        </is>
      </c>
      <c r="D1025" t="inlineStr">
        <is>
          <t>no convencional</t>
        </is>
      </c>
      <c r="E1025" t="inlineStr">
        <is>
          <t>2023-10</t>
        </is>
      </c>
      <c r="F1025" t="n">
        <v>1139.5</v>
      </c>
      <c r="G1025" t="n">
        <v>1895.5</v>
      </c>
      <c r="H1025" t="n">
        <v>0</v>
      </c>
      <c r="I1025">
        <f>DAY(EOMONTH(DATE(VALUE(LEFT(E1025,4)),VALUE(RIGHT(E1025,2)),1),0))</f>
        <v/>
      </c>
      <c r="J1025">
        <f>VALUE(LEFT(E1025,4))*12+VALUE(RIGHT(E1025,2))-1</f>
        <v/>
      </c>
    </row>
    <row r="1026">
      <c r="A1026" t="inlineStr">
        <is>
          <t>El Trapial</t>
        </is>
      </c>
      <c r="B1026" t="inlineStr">
        <is>
          <t>Neuquina</t>
        </is>
      </c>
      <c r="C1026" t="inlineStr">
        <is>
          <t>CHEVRON ARGENTINA S.R.L.</t>
        </is>
      </c>
      <c r="D1026" t="inlineStr">
        <is>
          <t>convencional</t>
        </is>
      </c>
      <c r="E1026" t="inlineStr">
        <is>
          <t>2023-11</t>
        </is>
      </c>
      <c r="F1026" t="n">
        <v>13256</v>
      </c>
      <c r="G1026" t="n">
        <v>670703.1</v>
      </c>
      <c r="H1026" t="n">
        <v>739322</v>
      </c>
      <c r="I1026">
        <f>DAY(EOMONTH(DATE(VALUE(LEFT(E1026,4)),VALUE(RIGHT(E1026,2)),1),0))</f>
        <v/>
      </c>
      <c r="J1026">
        <f>VALUE(LEFT(E1026,4))*12+VALUE(RIGHT(E1026,2))-1</f>
        <v/>
      </c>
    </row>
    <row r="1027">
      <c r="A1027" t="inlineStr">
        <is>
          <t>El Trapial</t>
        </is>
      </c>
      <c r="B1027" t="inlineStr">
        <is>
          <t>Neuquina</t>
        </is>
      </c>
      <c r="C1027" t="inlineStr">
        <is>
          <t>CHEVRON ARGENTINA S.R.L.</t>
        </is>
      </c>
      <c r="D1027" t="inlineStr">
        <is>
          <t>no convencional</t>
        </is>
      </c>
      <c r="E1027" t="inlineStr">
        <is>
          <t>2023-11</t>
        </is>
      </c>
      <c r="F1027" t="n">
        <v>0</v>
      </c>
      <c r="G1027" t="n">
        <v>0</v>
      </c>
      <c r="H1027" t="n">
        <v>0</v>
      </c>
      <c r="I1027">
        <f>DAY(EOMONTH(DATE(VALUE(LEFT(E1027,4)),VALUE(RIGHT(E1027,2)),1),0))</f>
        <v/>
      </c>
      <c r="J1027">
        <f>VALUE(LEFT(E1027,4))*12+VALUE(RIGHT(E1027,2))-1</f>
        <v/>
      </c>
    </row>
    <row r="1028">
      <c r="A1028" t="inlineStr">
        <is>
          <t>El Trapial</t>
        </is>
      </c>
      <c r="B1028" t="inlineStr">
        <is>
          <t>Neuquina</t>
        </is>
      </c>
      <c r="C1028" t="inlineStr">
        <is>
          <t>CHEVRON ARGENTINA S.R.L.</t>
        </is>
      </c>
      <c r="D1028" t="inlineStr">
        <is>
          <t>convencional</t>
        </is>
      </c>
      <c r="E1028" t="inlineStr">
        <is>
          <t>2023-12</t>
        </is>
      </c>
      <c r="F1028" t="n">
        <v>13753</v>
      </c>
      <c r="G1028" t="n">
        <v>728740.9</v>
      </c>
      <c r="H1028" t="n">
        <v>795513.6</v>
      </c>
      <c r="I1028">
        <f>DAY(EOMONTH(DATE(VALUE(LEFT(E1028,4)),VALUE(RIGHT(E1028,2)),1),0))</f>
        <v/>
      </c>
      <c r="J1028">
        <f>VALUE(LEFT(E1028,4))*12+VALUE(RIGHT(E1028,2))-1</f>
        <v/>
      </c>
    </row>
    <row r="1029">
      <c r="A1029" t="inlineStr">
        <is>
          <t>El Trapial</t>
        </is>
      </c>
      <c r="B1029" t="inlineStr">
        <is>
          <t>Neuquina</t>
        </is>
      </c>
      <c r="C1029" t="inlineStr">
        <is>
          <t>CHEVRON ARGENTINA S.R.L.</t>
        </is>
      </c>
      <c r="D1029" t="inlineStr">
        <is>
          <t>no convencional</t>
        </is>
      </c>
      <c r="E1029" t="inlineStr">
        <is>
          <t>2023-12</t>
        </is>
      </c>
      <c r="F1029" t="n">
        <v>989.8</v>
      </c>
      <c r="G1029" t="n">
        <v>1061.5</v>
      </c>
      <c r="H1029" t="n">
        <v>0</v>
      </c>
      <c r="I1029">
        <f>DAY(EOMONTH(DATE(VALUE(LEFT(E1029,4)),VALUE(RIGHT(E1029,2)),1),0))</f>
        <v/>
      </c>
      <c r="J1029">
        <f>VALUE(LEFT(E1029,4))*12+VALUE(RIGHT(E1029,2))-1</f>
        <v/>
      </c>
    </row>
    <row r="1030">
      <c r="A1030" t="inlineStr">
        <is>
          <t>El Trapial</t>
        </is>
      </c>
      <c r="B1030" t="inlineStr">
        <is>
          <t>Neuquina</t>
        </is>
      </c>
      <c r="C1030" t="inlineStr">
        <is>
          <t>CHEVRON ARGENTINA S.R.L.</t>
        </is>
      </c>
      <c r="D1030" t="inlineStr">
        <is>
          <t>convencional</t>
        </is>
      </c>
      <c r="E1030" t="inlineStr">
        <is>
          <t>2024-01</t>
        </is>
      </c>
      <c r="F1030" t="n">
        <v>12935.9</v>
      </c>
      <c r="G1030" t="n">
        <v>697355.8</v>
      </c>
      <c r="H1030" t="n">
        <v>786038.9</v>
      </c>
      <c r="I1030">
        <f>DAY(EOMONTH(DATE(VALUE(LEFT(E1030,4)),VALUE(RIGHT(E1030,2)),1),0))</f>
        <v/>
      </c>
      <c r="J1030">
        <f>VALUE(LEFT(E1030,4))*12+VALUE(RIGHT(E1030,2))-1</f>
        <v/>
      </c>
    </row>
    <row r="1031">
      <c r="A1031" t="inlineStr">
        <is>
          <t>El Trapial</t>
        </is>
      </c>
      <c r="B1031" t="inlineStr">
        <is>
          <t>Neuquina</t>
        </is>
      </c>
      <c r="C1031" t="inlineStr">
        <is>
          <t>CHEVRON ARGENTINA S.R.L.</t>
        </is>
      </c>
      <c r="D1031" t="inlineStr">
        <is>
          <t>no convencional</t>
        </is>
      </c>
      <c r="E1031" t="inlineStr">
        <is>
          <t>2024-01</t>
        </is>
      </c>
      <c r="F1031" t="n">
        <v>2354.7</v>
      </c>
      <c r="G1031" t="n">
        <v>3539.1</v>
      </c>
      <c r="H1031" t="n">
        <v>0</v>
      </c>
      <c r="I1031">
        <f>DAY(EOMONTH(DATE(VALUE(LEFT(E1031,4)),VALUE(RIGHT(E1031,2)),1),0))</f>
        <v/>
      </c>
      <c r="J1031">
        <f>VALUE(LEFT(E1031,4))*12+VALUE(RIGHT(E1031,2))-1</f>
        <v/>
      </c>
    </row>
    <row r="1032">
      <c r="A1032" t="inlineStr">
        <is>
          <t>El Trapial</t>
        </is>
      </c>
      <c r="B1032" t="inlineStr">
        <is>
          <t>Neuquina</t>
        </is>
      </c>
      <c r="C1032" t="inlineStr">
        <is>
          <t>CHEVRON ARGENTINA S.R.L.</t>
        </is>
      </c>
      <c r="D1032" t="inlineStr">
        <is>
          <t>convencional</t>
        </is>
      </c>
      <c r="E1032" t="inlineStr">
        <is>
          <t>2024-02</t>
        </is>
      </c>
      <c r="F1032" t="n">
        <v>11778.4</v>
      </c>
      <c r="G1032" t="n">
        <v>626072.7</v>
      </c>
      <c r="H1032" t="n">
        <v>694790.9</v>
      </c>
      <c r="I1032">
        <f>DAY(EOMONTH(DATE(VALUE(LEFT(E1032,4)),VALUE(RIGHT(E1032,2)),1),0))</f>
        <v/>
      </c>
      <c r="J1032">
        <f>VALUE(LEFT(E1032,4))*12+VALUE(RIGHT(E1032,2))-1</f>
        <v/>
      </c>
    </row>
    <row r="1033">
      <c r="A1033" t="inlineStr">
        <is>
          <t>El Trapial</t>
        </is>
      </c>
      <c r="B1033" t="inlineStr">
        <is>
          <t>Neuquina</t>
        </is>
      </c>
      <c r="C1033" t="inlineStr">
        <is>
          <t>CHEVRON ARGENTINA S.R.L.</t>
        </is>
      </c>
      <c r="D1033" t="inlineStr">
        <is>
          <t>no convencional</t>
        </is>
      </c>
      <c r="E1033" t="inlineStr">
        <is>
          <t>2024-02</t>
        </is>
      </c>
      <c r="F1033" t="n">
        <v>4193.4</v>
      </c>
      <c r="G1033" t="n">
        <v>7918.1</v>
      </c>
      <c r="H1033" t="n">
        <v>0</v>
      </c>
      <c r="I1033">
        <f>DAY(EOMONTH(DATE(VALUE(LEFT(E1033,4)),VALUE(RIGHT(E1033,2)),1),0))</f>
        <v/>
      </c>
      <c r="J1033">
        <f>VALUE(LEFT(E1033,4))*12+VALUE(RIGHT(E1033,2))-1</f>
        <v/>
      </c>
    </row>
    <row r="1034">
      <c r="A1034" t="inlineStr">
        <is>
          <t>El Trapial</t>
        </is>
      </c>
      <c r="B1034" t="inlineStr">
        <is>
          <t>Neuquina</t>
        </is>
      </c>
      <c r="C1034" t="inlineStr">
        <is>
          <t>CHEVRON ARGENTINA S.R.L.</t>
        </is>
      </c>
      <c r="D1034" t="inlineStr">
        <is>
          <t>convencional</t>
        </is>
      </c>
      <c r="E1034" t="inlineStr">
        <is>
          <t>2024-03</t>
        </is>
      </c>
      <c r="F1034" t="n">
        <v>12332.5</v>
      </c>
      <c r="G1034" t="n">
        <v>682265.8</v>
      </c>
      <c r="H1034" t="n">
        <v>734914.7</v>
      </c>
      <c r="I1034">
        <f>DAY(EOMONTH(DATE(VALUE(LEFT(E1034,4)),VALUE(RIGHT(E1034,2)),1),0))</f>
        <v/>
      </c>
      <c r="J1034">
        <f>VALUE(LEFT(E1034,4))*12+VALUE(RIGHT(E1034,2))-1</f>
        <v/>
      </c>
    </row>
    <row r="1035">
      <c r="A1035" t="inlineStr">
        <is>
          <t>El Trapial</t>
        </is>
      </c>
      <c r="B1035" t="inlineStr">
        <is>
          <t>Neuquina</t>
        </is>
      </c>
      <c r="C1035" t="inlineStr">
        <is>
          <t>CHEVRON ARGENTINA S.R.L.</t>
        </is>
      </c>
      <c r="D1035" t="inlineStr">
        <is>
          <t>no convencional</t>
        </is>
      </c>
      <c r="E1035" t="inlineStr">
        <is>
          <t>2024-03</t>
        </is>
      </c>
      <c r="F1035" t="n">
        <v>4366</v>
      </c>
      <c r="G1035" t="n">
        <v>10559.2</v>
      </c>
      <c r="H1035" t="n">
        <v>0</v>
      </c>
      <c r="I1035">
        <f>DAY(EOMONTH(DATE(VALUE(LEFT(E1035,4)),VALUE(RIGHT(E1035,2)),1),0))</f>
        <v/>
      </c>
      <c r="J1035">
        <f>VALUE(LEFT(E1035,4))*12+VALUE(RIGHT(E1035,2))-1</f>
        <v/>
      </c>
    </row>
    <row r="1036">
      <c r="A1036" t="inlineStr">
        <is>
          <t>El Trapial</t>
        </is>
      </c>
      <c r="B1036" t="inlineStr">
        <is>
          <t>Neuquina</t>
        </is>
      </c>
      <c r="C1036" t="inlineStr">
        <is>
          <t>CHEVRON ARGENTINA S.R.L.</t>
        </is>
      </c>
      <c r="D1036" t="inlineStr">
        <is>
          <t>convencional</t>
        </is>
      </c>
      <c r="E1036" t="inlineStr">
        <is>
          <t>2024-04</t>
        </is>
      </c>
      <c r="F1036" t="n">
        <v>12169</v>
      </c>
      <c r="G1036" t="n">
        <v>682108.2</v>
      </c>
      <c r="H1036" t="n">
        <v>750126.5</v>
      </c>
      <c r="I1036">
        <f>DAY(EOMONTH(DATE(VALUE(LEFT(E1036,4)),VALUE(RIGHT(E1036,2)),1),0))</f>
        <v/>
      </c>
      <c r="J1036">
        <f>VALUE(LEFT(E1036,4))*12+VALUE(RIGHT(E1036,2))-1</f>
        <v/>
      </c>
    </row>
    <row r="1037">
      <c r="A1037" t="inlineStr">
        <is>
          <t>El Trapial</t>
        </is>
      </c>
      <c r="B1037" t="inlineStr">
        <is>
          <t>Neuquina</t>
        </is>
      </c>
      <c r="C1037" t="inlineStr">
        <is>
          <t>CHEVRON ARGENTINA S.R.L.</t>
        </is>
      </c>
      <c r="D1037" t="inlineStr">
        <is>
          <t>no convencional</t>
        </is>
      </c>
      <c r="E1037" t="inlineStr">
        <is>
          <t>2024-04</t>
        </is>
      </c>
      <c r="F1037" t="n">
        <v>2049.1</v>
      </c>
      <c r="G1037" t="n">
        <v>5817.1</v>
      </c>
      <c r="H1037" t="n">
        <v>0</v>
      </c>
      <c r="I1037">
        <f>DAY(EOMONTH(DATE(VALUE(LEFT(E1037,4)),VALUE(RIGHT(E1037,2)),1),0))</f>
        <v/>
      </c>
      <c r="J1037">
        <f>VALUE(LEFT(E1037,4))*12+VALUE(RIGHT(E1037,2))-1</f>
        <v/>
      </c>
    </row>
    <row r="1038">
      <c r="A1038" t="inlineStr">
        <is>
          <t>El Trapial</t>
        </is>
      </c>
      <c r="B1038" t="inlineStr">
        <is>
          <t>Neuquina</t>
        </is>
      </c>
      <c r="C1038" t="inlineStr">
        <is>
          <t>CHEVRON ARGENTINA S.R.L.</t>
        </is>
      </c>
      <c r="D1038" t="inlineStr">
        <is>
          <t>convencional</t>
        </is>
      </c>
      <c r="E1038" t="inlineStr">
        <is>
          <t>2024-05</t>
        </is>
      </c>
      <c r="F1038" t="n">
        <v>12247</v>
      </c>
      <c r="G1038" t="n">
        <v>681007.3</v>
      </c>
      <c r="H1038" t="n">
        <v>743878.7</v>
      </c>
      <c r="I1038">
        <f>DAY(EOMONTH(DATE(VALUE(LEFT(E1038,4)),VALUE(RIGHT(E1038,2)),1),0))</f>
        <v/>
      </c>
      <c r="J1038">
        <f>VALUE(LEFT(E1038,4))*12+VALUE(RIGHT(E1038,2))-1</f>
        <v/>
      </c>
    </row>
    <row r="1039">
      <c r="A1039" t="inlineStr">
        <is>
          <t>El Trapial</t>
        </is>
      </c>
      <c r="B1039" t="inlineStr">
        <is>
          <t>Neuquina</t>
        </is>
      </c>
      <c r="C1039" t="inlineStr">
        <is>
          <t>CHEVRON ARGENTINA S.R.L.</t>
        </is>
      </c>
      <c r="D1039" t="inlineStr">
        <is>
          <t>no convencional</t>
        </is>
      </c>
      <c r="E1039" t="inlineStr">
        <is>
          <t>2024-05</t>
        </is>
      </c>
      <c r="F1039" t="n">
        <v>1988.9</v>
      </c>
      <c r="G1039" t="n">
        <v>4893.6</v>
      </c>
      <c r="H1039" t="n">
        <v>0</v>
      </c>
      <c r="I1039">
        <f>DAY(EOMONTH(DATE(VALUE(LEFT(E1039,4)),VALUE(RIGHT(E1039,2)),1),0))</f>
        <v/>
      </c>
      <c r="J1039">
        <f>VALUE(LEFT(E1039,4))*12+VALUE(RIGHT(E1039,2))-1</f>
        <v/>
      </c>
    </row>
    <row r="1040">
      <c r="A1040" t="inlineStr">
        <is>
          <t>El Trapial</t>
        </is>
      </c>
      <c r="B1040" t="inlineStr">
        <is>
          <t>Neuquina</t>
        </is>
      </c>
      <c r="C1040" t="inlineStr">
        <is>
          <t>CHEVRON ARGENTINA S.R.L.</t>
        </is>
      </c>
      <c r="D1040" t="inlineStr">
        <is>
          <t>convencional</t>
        </is>
      </c>
      <c r="E1040" t="inlineStr">
        <is>
          <t>2024-06</t>
        </is>
      </c>
      <c r="F1040" t="n">
        <v>11615</v>
      </c>
      <c r="G1040" t="n">
        <v>637669.7</v>
      </c>
      <c r="H1040" t="n">
        <v>671781.9</v>
      </c>
      <c r="I1040">
        <f>DAY(EOMONTH(DATE(VALUE(LEFT(E1040,4)),VALUE(RIGHT(E1040,2)),1),0))</f>
        <v/>
      </c>
      <c r="J1040">
        <f>VALUE(LEFT(E1040,4))*12+VALUE(RIGHT(E1040,2))-1</f>
        <v/>
      </c>
    </row>
    <row r="1041">
      <c r="A1041" t="inlineStr">
        <is>
          <t>El Trapial</t>
        </is>
      </c>
      <c r="B1041" t="inlineStr">
        <is>
          <t>Neuquina</t>
        </is>
      </c>
      <c r="C1041" t="inlineStr">
        <is>
          <t>CHEVRON ARGENTINA S.R.L.</t>
        </is>
      </c>
      <c r="D1041" t="inlineStr">
        <is>
          <t>no convencional</t>
        </is>
      </c>
      <c r="E1041" t="inlineStr">
        <is>
          <t>2024-06</t>
        </is>
      </c>
      <c r="F1041" t="n">
        <v>1666.4</v>
      </c>
      <c r="G1041" t="n">
        <v>3517.8</v>
      </c>
      <c r="H1041" t="n">
        <v>0</v>
      </c>
      <c r="I1041">
        <f>DAY(EOMONTH(DATE(VALUE(LEFT(E1041,4)),VALUE(RIGHT(E1041,2)),1),0))</f>
        <v/>
      </c>
      <c r="J1041">
        <f>VALUE(LEFT(E1041,4))*12+VALUE(RIGHT(E1041,2))-1</f>
        <v/>
      </c>
    </row>
    <row r="1042">
      <c r="A1042" t="inlineStr">
        <is>
          <t>El Trapial</t>
        </is>
      </c>
      <c r="B1042" t="inlineStr">
        <is>
          <t>Neuquina</t>
        </is>
      </c>
      <c r="C1042" t="inlineStr">
        <is>
          <t>CHEVRON ARGENTINA S.R.L.</t>
        </is>
      </c>
      <c r="D1042" t="inlineStr">
        <is>
          <t>convencional</t>
        </is>
      </c>
      <c r="E1042" t="inlineStr">
        <is>
          <t>2024-07</t>
        </is>
      </c>
      <c r="F1042" t="n">
        <v>12171</v>
      </c>
      <c r="G1042" t="n">
        <v>598261.7</v>
      </c>
      <c r="H1042" t="n">
        <v>681040.4</v>
      </c>
      <c r="I1042">
        <f>DAY(EOMONTH(DATE(VALUE(LEFT(E1042,4)),VALUE(RIGHT(E1042,2)),1),0))</f>
        <v/>
      </c>
      <c r="J1042">
        <f>VALUE(LEFT(E1042,4))*12+VALUE(RIGHT(E1042,2))-1</f>
        <v/>
      </c>
    </row>
    <row r="1043">
      <c r="A1043" t="inlineStr">
        <is>
          <t>El Trapial</t>
        </is>
      </c>
      <c r="B1043" t="inlineStr">
        <is>
          <t>Neuquina</t>
        </is>
      </c>
      <c r="C1043" t="inlineStr">
        <is>
          <t>CHEVRON ARGENTINA S.R.L.</t>
        </is>
      </c>
      <c r="D1043" t="inlineStr">
        <is>
          <t>no convencional</t>
        </is>
      </c>
      <c r="E1043" t="inlineStr">
        <is>
          <t>2024-07</t>
        </is>
      </c>
      <c r="F1043" t="n">
        <v>4029.6</v>
      </c>
      <c r="G1043" t="n">
        <v>8022.3</v>
      </c>
      <c r="H1043" t="n">
        <v>0</v>
      </c>
      <c r="I1043">
        <f>DAY(EOMONTH(DATE(VALUE(LEFT(E1043,4)),VALUE(RIGHT(E1043,2)),1),0))</f>
        <v/>
      </c>
      <c r="J1043">
        <f>VALUE(LEFT(E1043,4))*12+VALUE(RIGHT(E1043,2))-1</f>
        <v/>
      </c>
    </row>
    <row r="1044">
      <c r="A1044" t="inlineStr">
        <is>
          <t>El Trapial</t>
        </is>
      </c>
      <c r="B1044" t="inlineStr">
        <is>
          <t>Neuquina</t>
        </is>
      </c>
      <c r="C1044" t="inlineStr">
        <is>
          <t>CHEVRON ARGENTINA S.R.L.</t>
        </is>
      </c>
      <c r="D1044" t="inlineStr">
        <is>
          <t>convencional</t>
        </is>
      </c>
      <c r="E1044" t="inlineStr">
        <is>
          <t>2024-08</t>
        </is>
      </c>
      <c r="F1044" t="n">
        <v>11546</v>
      </c>
      <c r="G1044" t="n">
        <v>578090.4</v>
      </c>
      <c r="H1044" t="n">
        <v>652931.8</v>
      </c>
      <c r="I1044">
        <f>DAY(EOMONTH(DATE(VALUE(LEFT(E1044,4)),VALUE(RIGHT(E1044,2)),1),0))</f>
        <v/>
      </c>
      <c r="J1044">
        <f>VALUE(LEFT(E1044,4))*12+VALUE(RIGHT(E1044,2))-1</f>
        <v/>
      </c>
    </row>
    <row r="1045">
      <c r="A1045" t="inlineStr">
        <is>
          <t>El Trapial</t>
        </is>
      </c>
      <c r="B1045" t="inlineStr">
        <is>
          <t>Neuquina</t>
        </is>
      </c>
      <c r="C1045" t="inlineStr">
        <is>
          <t>CHEVRON ARGENTINA S.R.L.</t>
        </is>
      </c>
      <c r="D1045" t="inlineStr">
        <is>
          <t>no convencional</t>
        </is>
      </c>
      <c r="E1045" t="inlineStr">
        <is>
          <t>2024-08</t>
        </is>
      </c>
      <c r="F1045" t="n">
        <v>5157</v>
      </c>
      <c r="G1045" t="n">
        <v>6569.7</v>
      </c>
      <c r="H1045" t="n">
        <v>0</v>
      </c>
      <c r="I1045">
        <f>DAY(EOMONTH(DATE(VALUE(LEFT(E1045,4)),VALUE(RIGHT(E1045,2)),1),0))</f>
        <v/>
      </c>
      <c r="J1045">
        <f>VALUE(LEFT(E1045,4))*12+VALUE(RIGHT(E1045,2))-1</f>
        <v/>
      </c>
    </row>
    <row r="1046">
      <c r="A1046" t="inlineStr">
        <is>
          <t>El Trapial</t>
        </is>
      </c>
      <c r="B1046" t="inlineStr">
        <is>
          <t>Neuquina</t>
        </is>
      </c>
      <c r="C1046" t="inlineStr">
        <is>
          <t>CHEVRON ARGENTINA S.R.L.</t>
        </is>
      </c>
      <c r="D1046" t="inlineStr">
        <is>
          <t>convencional</t>
        </is>
      </c>
      <c r="E1046" t="inlineStr">
        <is>
          <t>2024-09</t>
        </is>
      </c>
      <c r="F1046" t="n">
        <v>10632.5</v>
      </c>
      <c r="G1046" t="n">
        <v>558292.1</v>
      </c>
      <c r="H1046" t="n">
        <v>592779.3</v>
      </c>
      <c r="I1046">
        <f>DAY(EOMONTH(DATE(VALUE(LEFT(E1046,4)),VALUE(RIGHT(E1046,2)),1),0))</f>
        <v/>
      </c>
      <c r="J1046">
        <f>VALUE(LEFT(E1046,4))*12+VALUE(RIGHT(E1046,2))-1</f>
        <v/>
      </c>
    </row>
    <row r="1047">
      <c r="A1047" t="inlineStr">
        <is>
          <t>El Trapial</t>
        </is>
      </c>
      <c r="B1047" t="inlineStr">
        <is>
          <t>Neuquina</t>
        </is>
      </c>
      <c r="C1047" t="inlineStr">
        <is>
          <t>CHEVRON ARGENTINA S.R.L.</t>
        </is>
      </c>
      <c r="D1047" t="inlineStr">
        <is>
          <t>no convencional</t>
        </is>
      </c>
      <c r="E1047" t="inlineStr">
        <is>
          <t>2024-09</t>
        </is>
      </c>
      <c r="F1047" t="n">
        <v>4610.4</v>
      </c>
      <c r="G1047" t="n">
        <v>6498.8</v>
      </c>
      <c r="H1047" t="n">
        <v>0</v>
      </c>
      <c r="I1047">
        <f>DAY(EOMONTH(DATE(VALUE(LEFT(E1047,4)),VALUE(RIGHT(E1047,2)),1),0))</f>
        <v/>
      </c>
      <c r="J1047">
        <f>VALUE(LEFT(E1047,4))*12+VALUE(RIGHT(E1047,2))-1</f>
        <v/>
      </c>
    </row>
    <row r="1048">
      <c r="A1048" t="inlineStr">
        <is>
          <t>El Trapial</t>
        </is>
      </c>
      <c r="B1048" t="inlineStr">
        <is>
          <t>Neuquina</t>
        </is>
      </c>
      <c r="C1048" t="inlineStr">
        <is>
          <t>CHEVRON ARGENTINA S.R.L.</t>
        </is>
      </c>
      <c r="D1048" t="inlineStr">
        <is>
          <t>convencional</t>
        </is>
      </c>
      <c r="E1048" t="inlineStr">
        <is>
          <t>2024-10</t>
        </is>
      </c>
      <c r="F1048" t="n">
        <v>10980</v>
      </c>
      <c r="G1048" t="n">
        <v>524666</v>
      </c>
      <c r="H1048" t="n">
        <v>589474.9</v>
      </c>
      <c r="I1048">
        <f>DAY(EOMONTH(DATE(VALUE(LEFT(E1048,4)),VALUE(RIGHT(E1048,2)),1),0))</f>
        <v/>
      </c>
      <c r="J1048">
        <f>VALUE(LEFT(E1048,4))*12+VALUE(RIGHT(E1048,2))-1</f>
        <v/>
      </c>
    </row>
    <row r="1049">
      <c r="A1049" t="inlineStr">
        <is>
          <t>El Trapial</t>
        </is>
      </c>
      <c r="B1049" t="inlineStr">
        <is>
          <t>Neuquina</t>
        </is>
      </c>
      <c r="C1049" t="inlineStr">
        <is>
          <t>CHEVRON ARGENTINA S.R.L.</t>
        </is>
      </c>
      <c r="D1049" t="inlineStr">
        <is>
          <t>no convencional</t>
        </is>
      </c>
      <c r="E1049" t="inlineStr">
        <is>
          <t>2024-10</t>
        </is>
      </c>
      <c r="F1049" t="n">
        <v>4214.6</v>
      </c>
      <c r="G1049" t="n">
        <v>6962.2</v>
      </c>
      <c r="H1049" t="n">
        <v>0</v>
      </c>
      <c r="I1049">
        <f>DAY(EOMONTH(DATE(VALUE(LEFT(E1049,4)),VALUE(RIGHT(E1049,2)),1),0))</f>
        <v/>
      </c>
      <c r="J1049">
        <f>VALUE(LEFT(E1049,4))*12+VALUE(RIGHT(E1049,2))-1</f>
        <v/>
      </c>
    </row>
    <row r="1050">
      <c r="A1050" t="inlineStr">
        <is>
          <t>El Trapial</t>
        </is>
      </c>
      <c r="B1050" t="inlineStr">
        <is>
          <t>Neuquina</t>
        </is>
      </c>
      <c r="C1050" t="inlineStr">
        <is>
          <t>CHEVRON ARGENTINA S.R.L.</t>
        </is>
      </c>
      <c r="D1050" t="inlineStr">
        <is>
          <t>convencional</t>
        </is>
      </c>
      <c r="E1050" t="inlineStr">
        <is>
          <t>2024-11</t>
        </is>
      </c>
      <c r="F1050" t="n">
        <v>9961.799999999999</v>
      </c>
      <c r="G1050" t="n">
        <v>512642</v>
      </c>
      <c r="H1050" t="n">
        <v>590577.7</v>
      </c>
      <c r="I1050">
        <f>DAY(EOMONTH(DATE(VALUE(LEFT(E1050,4)),VALUE(RIGHT(E1050,2)),1),0))</f>
        <v/>
      </c>
      <c r="J1050">
        <f>VALUE(LEFT(E1050,4))*12+VALUE(RIGHT(E1050,2))-1</f>
        <v/>
      </c>
    </row>
    <row r="1051">
      <c r="A1051" t="inlineStr">
        <is>
          <t>El Trapial</t>
        </is>
      </c>
      <c r="B1051" t="inlineStr">
        <is>
          <t>Neuquina</t>
        </is>
      </c>
      <c r="C1051" t="inlineStr">
        <is>
          <t>CHEVRON ARGENTINA S.R.L.</t>
        </is>
      </c>
      <c r="D1051" t="inlineStr">
        <is>
          <t>no convencional</t>
        </is>
      </c>
      <c r="E1051" t="inlineStr">
        <is>
          <t>2024-11</t>
        </is>
      </c>
      <c r="F1051" t="n">
        <v>4903.9</v>
      </c>
      <c r="G1051" t="n">
        <v>6325</v>
      </c>
      <c r="H1051" t="n">
        <v>0</v>
      </c>
      <c r="I1051">
        <f>DAY(EOMONTH(DATE(VALUE(LEFT(E1051,4)),VALUE(RIGHT(E1051,2)),1),0))</f>
        <v/>
      </c>
      <c r="J1051">
        <f>VALUE(LEFT(E1051,4))*12+VALUE(RIGHT(E1051,2))-1</f>
        <v/>
      </c>
    </row>
    <row r="1052">
      <c r="A1052" t="inlineStr">
        <is>
          <t>El Trapial</t>
        </is>
      </c>
      <c r="B1052" t="inlineStr">
        <is>
          <t>Neuquina</t>
        </is>
      </c>
      <c r="C1052" t="inlineStr">
        <is>
          <t>CHEVRON ARGENTINA S.R.L.</t>
        </is>
      </c>
      <c r="D1052" t="inlineStr">
        <is>
          <t>convencional</t>
        </is>
      </c>
      <c r="E1052" t="inlineStr">
        <is>
          <t>2024-12</t>
        </is>
      </c>
      <c r="F1052" t="n">
        <v>8515</v>
      </c>
      <c r="G1052" t="n">
        <v>480542.1</v>
      </c>
      <c r="H1052" t="n">
        <v>556240.6</v>
      </c>
      <c r="I1052">
        <f>DAY(EOMONTH(DATE(VALUE(LEFT(E1052,4)),VALUE(RIGHT(E1052,2)),1),0))</f>
        <v/>
      </c>
      <c r="J1052">
        <f>VALUE(LEFT(E1052,4))*12+VALUE(RIGHT(E1052,2))-1</f>
        <v/>
      </c>
    </row>
    <row r="1053">
      <c r="A1053" t="inlineStr">
        <is>
          <t>El Trapial</t>
        </is>
      </c>
      <c r="B1053" t="inlineStr">
        <is>
          <t>Neuquina</t>
        </is>
      </c>
      <c r="C1053" t="inlineStr">
        <is>
          <t>CHEVRON ARGENTINA S.R.L.</t>
        </is>
      </c>
      <c r="D1053" t="inlineStr">
        <is>
          <t>no convencional</t>
        </is>
      </c>
      <c r="E1053" t="inlineStr">
        <is>
          <t>2024-12</t>
        </is>
      </c>
      <c r="F1053" t="n">
        <v>5455.3</v>
      </c>
      <c r="G1053" t="n">
        <v>6548.8</v>
      </c>
      <c r="H1053" t="n">
        <v>0</v>
      </c>
      <c r="I1053">
        <f>DAY(EOMONTH(DATE(VALUE(LEFT(E1053,4)),VALUE(RIGHT(E1053,2)),1),0))</f>
        <v/>
      </c>
      <c r="J1053">
        <f>VALUE(LEFT(E1053,4))*12+VALUE(RIGHT(E1053,2))-1</f>
        <v/>
      </c>
    </row>
    <row r="1054">
      <c r="A1054" t="inlineStr">
        <is>
          <t>El Trapial</t>
        </is>
      </c>
      <c r="B1054" t="inlineStr">
        <is>
          <t>Neuquina</t>
        </is>
      </c>
      <c r="C1054" t="inlineStr">
        <is>
          <t>CHEVRON ARGENTINA S.R.L.</t>
        </is>
      </c>
      <c r="D1054" t="inlineStr">
        <is>
          <t>convencional</t>
        </is>
      </c>
      <c r="E1054" t="inlineStr">
        <is>
          <t>2025-01</t>
        </is>
      </c>
      <c r="F1054" t="n">
        <v>8858.1</v>
      </c>
      <c r="G1054" t="n">
        <v>489826.9</v>
      </c>
      <c r="H1054" t="n">
        <v>541935.3</v>
      </c>
      <c r="I1054">
        <f>DAY(EOMONTH(DATE(VALUE(LEFT(E1054,4)),VALUE(RIGHT(E1054,2)),1),0))</f>
        <v/>
      </c>
      <c r="J1054">
        <f>VALUE(LEFT(E1054,4))*12+VALUE(RIGHT(E1054,2))-1</f>
        <v/>
      </c>
    </row>
    <row r="1055">
      <c r="A1055" t="inlineStr">
        <is>
          <t>El Trapial</t>
        </is>
      </c>
      <c r="B1055" t="inlineStr">
        <is>
          <t>Neuquina</t>
        </is>
      </c>
      <c r="C1055" t="inlineStr">
        <is>
          <t>CHEVRON ARGENTINA S.R.L.</t>
        </is>
      </c>
      <c r="D1055" t="inlineStr">
        <is>
          <t>no convencional</t>
        </is>
      </c>
      <c r="E1055" t="inlineStr">
        <is>
          <t>2025-01</t>
        </is>
      </c>
      <c r="F1055" t="n">
        <v>6890.6</v>
      </c>
      <c r="G1055" t="n">
        <v>9171.4</v>
      </c>
      <c r="H1055" t="n">
        <v>0</v>
      </c>
      <c r="I1055">
        <f>DAY(EOMONTH(DATE(VALUE(LEFT(E1055,4)),VALUE(RIGHT(E1055,2)),1),0))</f>
        <v/>
      </c>
      <c r="J1055">
        <f>VALUE(LEFT(E1055,4))*12+VALUE(RIGHT(E1055,2))-1</f>
        <v/>
      </c>
    </row>
    <row r="1056">
      <c r="A1056" t="inlineStr">
        <is>
          <t>El Trapial</t>
        </is>
      </c>
      <c r="B1056" t="inlineStr">
        <is>
          <t>Neuquina</t>
        </is>
      </c>
      <c r="C1056" t="inlineStr">
        <is>
          <t>CHEVRON ARGENTINA S.R.L.</t>
        </is>
      </c>
      <c r="D1056" t="inlineStr">
        <is>
          <t>convencional</t>
        </is>
      </c>
      <c r="E1056" t="inlineStr">
        <is>
          <t>2025-02</t>
        </is>
      </c>
      <c r="F1056" t="n">
        <v>7318.9</v>
      </c>
      <c r="G1056" t="n">
        <v>432828.2</v>
      </c>
      <c r="H1056" t="n">
        <v>507869.9</v>
      </c>
      <c r="I1056">
        <f>DAY(EOMONTH(DATE(VALUE(LEFT(E1056,4)),VALUE(RIGHT(E1056,2)),1),0))</f>
        <v/>
      </c>
      <c r="J1056">
        <f>VALUE(LEFT(E1056,4))*12+VALUE(RIGHT(E1056,2))-1</f>
        <v/>
      </c>
    </row>
    <row r="1057">
      <c r="A1057" t="inlineStr">
        <is>
          <t>El Trapial</t>
        </is>
      </c>
      <c r="B1057" t="inlineStr">
        <is>
          <t>Neuquina</t>
        </is>
      </c>
      <c r="C1057" t="inlineStr">
        <is>
          <t>CHEVRON ARGENTINA S.R.L.</t>
        </is>
      </c>
      <c r="D1057" t="inlineStr">
        <is>
          <t>no convencional</t>
        </is>
      </c>
      <c r="E1057" t="inlineStr">
        <is>
          <t>2025-02</t>
        </is>
      </c>
      <c r="F1057" t="n">
        <v>4297.1</v>
      </c>
      <c r="G1057" t="n">
        <v>5368.5</v>
      </c>
      <c r="H1057" t="n">
        <v>0</v>
      </c>
      <c r="I1057">
        <f>DAY(EOMONTH(DATE(VALUE(LEFT(E1057,4)),VALUE(RIGHT(E1057,2)),1),0))</f>
        <v/>
      </c>
      <c r="J1057">
        <f>VALUE(LEFT(E1057,4))*12+VALUE(RIGHT(E1057,2))-1</f>
        <v/>
      </c>
    </row>
    <row r="1058">
      <c r="A1058" t="inlineStr">
        <is>
          <t>El Trapial</t>
        </is>
      </c>
      <c r="B1058" t="inlineStr">
        <is>
          <t>Neuquina</t>
        </is>
      </c>
      <c r="C1058" t="inlineStr">
        <is>
          <t>CHEVRON ARGENTINA S.R.L.</t>
        </is>
      </c>
      <c r="D1058" t="inlineStr">
        <is>
          <t>convencional</t>
        </is>
      </c>
      <c r="E1058" t="inlineStr">
        <is>
          <t>2025-03</t>
        </is>
      </c>
      <c r="F1058" t="n">
        <v>8063</v>
      </c>
      <c r="G1058" t="n">
        <v>505144.8</v>
      </c>
      <c r="H1058" t="n">
        <v>549414.2</v>
      </c>
      <c r="I1058">
        <f>DAY(EOMONTH(DATE(VALUE(LEFT(E1058,4)),VALUE(RIGHT(E1058,2)),1),0))</f>
        <v/>
      </c>
      <c r="J1058">
        <f>VALUE(LEFT(E1058,4))*12+VALUE(RIGHT(E1058,2))-1</f>
        <v/>
      </c>
    </row>
    <row r="1059">
      <c r="A1059" t="inlineStr">
        <is>
          <t>El Trapial</t>
        </is>
      </c>
      <c r="B1059" t="inlineStr">
        <is>
          <t>Neuquina</t>
        </is>
      </c>
      <c r="C1059" t="inlineStr">
        <is>
          <t>CHEVRON ARGENTINA S.R.L.</t>
        </is>
      </c>
      <c r="D1059" t="inlineStr">
        <is>
          <t>no convencional</t>
        </is>
      </c>
      <c r="E1059" t="inlineStr">
        <is>
          <t>2025-03</t>
        </is>
      </c>
      <c r="F1059" t="n">
        <v>3320.5</v>
      </c>
      <c r="G1059" t="n">
        <v>3814.8</v>
      </c>
      <c r="H1059" t="n">
        <v>0</v>
      </c>
      <c r="I1059">
        <f>DAY(EOMONTH(DATE(VALUE(LEFT(E1059,4)),VALUE(RIGHT(E1059,2)),1),0))</f>
        <v/>
      </c>
      <c r="J1059">
        <f>VALUE(LEFT(E1059,4))*12+VALUE(RIGHT(E1059,2))-1</f>
        <v/>
      </c>
    </row>
    <row r="1060">
      <c r="A1060" t="inlineStr">
        <is>
          <t>El Trapial</t>
        </is>
      </c>
      <c r="B1060" t="inlineStr">
        <is>
          <t>Neuquina</t>
        </is>
      </c>
      <c r="C1060" t="inlineStr">
        <is>
          <t>CHEVRON ARGENTINA S.R.L.</t>
        </is>
      </c>
      <c r="D1060" t="inlineStr">
        <is>
          <t>convencional</t>
        </is>
      </c>
      <c r="E1060" t="inlineStr">
        <is>
          <t>2025-04</t>
        </is>
      </c>
      <c r="F1060" t="n">
        <v>7720.1</v>
      </c>
      <c r="G1060" t="n">
        <v>447074.7</v>
      </c>
      <c r="H1060" t="n">
        <v>522272.3</v>
      </c>
      <c r="I1060">
        <f>DAY(EOMONTH(DATE(VALUE(LEFT(E1060,4)),VALUE(RIGHT(E1060,2)),1),0))</f>
        <v/>
      </c>
      <c r="J1060">
        <f>VALUE(LEFT(E1060,4))*12+VALUE(RIGHT(E1060,2))-1</f>
        <v/>
      </c>
    </row>
    <row r="1061">
      <c r="A1061" t="inlineStr">
        <is>
          <t>El Trapial</t>
        </is>
      </c>
      <c r="B1061" t="inlineStr">
        <is>
          <t>Neuquina</t>
        </is>
      </c>
      <c r="C1061" t="inlineStr">
        <is>
          <t>CHEVRON ARGENTINA S.R.L.</t>
        </is>
      </c>
      <c r="D1061" t="inlineStr">
        <is>
          <t>no convencional</t>
        </is>
      </c>
      <c r="E1061" t="inlineStr">
        <is>
          <t>2025-04</t>
        </is>
      </c>
      <c r="F1061" t="n">
        <v>3807.2</v>
      </c>
      <c r="G1061" t="n">
        <v>6578.8</v>
      </c>
      <c r="H1061" t="n">
        <v>0</v>
      </c>
      <c r="I1061">
        <f>DAY(EOMONTH(DATE(VALUE(LEFT(E1061,4)),VALUE(RIGHT(E1061,2)),1),0))</f>
        <v/>
      </c>
      <c r="J1061">
        <f>VALUE(LEFT(E1061,4))*12+VALUE(RIGHT(E1061,2))-1</f>
        <v/>
      </c>
    </row>
    <row r="1062">
      <c r="A1062" t="inlineStr">
        <is>
          <t>El Trapial</t>
        </is>
      </c>
      <c r="B1062" t="inlineStr">
        <is>
          <t>Neuquina</t>
        </is>
      </c>
      <c r="C1062" t="inlineStr">
        <is>
          <t>CHEVRON ARGENTINA S.R.L.</t>
        </is>
      </c>
      <c r="D1062" t="inlineStr">
        <is>
          <t>convencional</t>
        </is>
      </c>
      <c r="E1062" t="inlineStr">
        <is>
          <t>2025-05</t>
        </is>
      </c>
      <c r="F1062" t="n">
        <v>7561</v>
      </c>
      <c r="G1062" t="n">
        <v>434781.8</v>
      </c>
      <c r="H1062" t="n">
        <v>503907.2</v>
      </c>
      <c r="I1062">
        <f>DAY(EOMONTH(DATE(VALUE(LEFT(E1062,4)),VALUE(RIGHT(E1062,2)),1),0))</f>
        <v/>
      </c>
      <c r="J1062">
        <f>VALUE(LEFT(E1062,4))*12+VALUE(RIGHT(E1062,2))-1</f>
        <v/>
      </c>
    </row>
    <row r="1063">
      <c r="A1063" t="inlineStr">
        <is>
          <t>El Trapial</t>
        </is>
      </c>
      <c r="B1063" t="inlineStr">
        <is>
          <t>Neuquina</t>
        </is>
      </c>
      <c r="C1063" t="inlineStr">
        <is>
          <t>CHEVRON ARGENTINA S.R.L.</t>
        </is>
      </c>
      <c r="D1063" t="inlineStr">
        <is>
          <t>no convencional</t>
        </is>
      </c>
      <c r="E1063" t="inlineStr">
        <is>
          <t>2025-05</t>
        </is>
      </c>
      <c r="F1063" t="n">
        <v>5045.7</v>
      </c>
      <c r="G1063" t="n">
        <v>7531.3</v>
      </c>
      <c r="H1063" t="n">
        <v>0</v>
      </c>
      <c r="I1063">
        <f>DAY(EOMONTH(DATE(VALUE(LEFT(E1063,4)),VALUE(RIGHT(E1063,2)),1),0))</f>
        <v/>
      </c>
      <c r="J1063">
        <f>VALUE(LEFT(E1063,4))*12+VALUE(RIGHT(E1063,2))-1</f>
        <v/>
      </c>
    </row>
    <row r="1064">
      <c r="A1064" t="inlineStr">
        <is>
          <t>El Trapial</t>
        </is>
      </c>
      <c r="B1064" t="inlineStr">
        <is>
          <t>Neuquina</t>
        </is>
      </c>
      <c r="C1064" t="inlineStr">
        <is>
          <t>CHEVRON ARGENTINA S.R.L.</t>
        </is>
      </c>
      <c r="D1064" t="inlineStr">
        <is>
          <t>convencional</t>
        </is>
      </c>
      <c r="E1064" t="inlineStr">
        <is>
          <t>2025-06</t>
        </is>
      </c>
      <c r="F1064" t="n">
        <v>7338</v>
      </c>
      <c r="G1064" t="n">
        <v>411243.2</v>
      </c>
      <c r="H1064" t="n">
        <v>505524.8</v>
      </c>
      <c r="I1064">
        <f>DAY(EOMONTH(DATE(VALUE(LEFT(E1064,4)),VALUE(RIGHT(E1064,2)),1),0))</f>
        <v/>
      </c>
      <c r="J1064">
        <f>VALUE(LEFT(E1064,4))*12+VALUE(RIGHT(E1064,2))-1</f>
        <v/>
      </c>
    </row>
    <row r="1065">
      <c r="A1065" t="inlineStr">
        <is>
          <t>El Trapial</t>
        </is>
      </c>
      <c r="B1065" t="inlineStr">
        <is>
          <t>Neuquina</t>
        </is>
      </c>
      <c r="C1065" t="inlineStr">
        <is>
          <t>CHEVRON ARGENTINA S.R.L.</t>
        </is>
      </c>
      <c r="D1065" t="inlineStr">
        <is>
          <t>no convencional</t>
        </is>
      </c>
      <c r="E1065" t="inlineStr">
        <is>
          <t>2025-06</t>
        </is>
      </c>
      <c r="F1065" t="n">
        <v>2052.6</v>
      </c>
      <c r="G1065" t="n">
        <v>5452.8</v>
      </c>
      <c r="H1065" t="n">
        <v>0</v>
      </c>
      <c r="I1065">
        <f>DAY(EOMONTH(DATE(VALUE(LEFT(E1065,4)),VALUE(RIGHT(E1065,2)),1),0))</f>
        <v/>
      </c>
      <c r="J1065">
        <f>VALUE(LEFT(E1065,4))*12+VALUE(RIGHT(E1065,2))-1</f>
        <v/>
      </c>
    </row>
    <row r="1066">
      <c r="A1066" t="inlineStr">
        <is>
          <t>El Trapial</t>
        </is>
      </c>
      <c r="B1066" t="inlineStr">
        <is>
          <t>Neuquina</t>
        </is>
      </c>
      <c r="C1066" t="inlineStr">
        <is>
          <t>CHEVRON ARGENTINA S.R.L.</t>
        </is>
      </c>
      <c r="D1066" t="inlineStr">
        <is>
          <t>convencional</t>
        </is>
      </c>
      <c r="E1066" t="inlineStr">
        <is>
          <t>2025-07</t>
        </is>
      </c>
      <c r="F1066" t="n">
        <v>6322.1</v>
      </c>
      <c r="G1066" t="n">
        <v>347916.2</v>
      </c>
      <c r="H1066" t="n">
        <v>409169.4</v>
      </c>
      <c r="I1066">
        <f>DAY(EOMONTH(DATE(VALUE(LEFT(E1066,4)),VALUE(RIGHT(E1066,2)),1),0))</f>
        <v/>
      </c>
      <c r="J1066">
        <f>VALUE(LEFT(E1066,4))*12+VALUE(RIGHT(E1066,2))-1</f>
        <v/>
      </c>
    </row>
    <row r="1067">
      <c r="A1067" t="inlineStr">
        <is>
          <t>El Trapial</t>
        </is>
      </c>
      <c r="B1067" t="inlineStr">
        <is>
          <t>Neuquina</t>
        </is>
      </c>
      <c r="C1067" t="inlineStr">
        <is>
          <t>CHEVRON ARGENTINA S.R.L.</t>
        </is>
      </c>
      <c r="D1067" t="inlineStr">
        <is>
          <t>no convencional</t>
        </is>
      </c>
      <c r="E1067" t="inlineStr">
        <is>
          <t>2025-07</t>
        </is>
      </c>
      <c r="F1067" t="n">
        <v>1466.4</v>
      </c>
      <c r="G1067" t="n">
        <v>5614.1</v>
      </c>
      <c r="H1067" t="n">
        <v>0</v>
      </c>
      <c r="I1067">
        <f>DAY(EOMONTH(DATE(VALUE(LEFT(E1067,4)),VALUE(RIGHT(E1067,2)),1),0))</f>
        <v/>
      </c>
      <c r="J1067">
        <f>VALUE(LEFT(E1067,4))*12+VALUE(RIGHT(E1067,2))-1</f>
        <v/>
      </c>
    </row>
    <row r="1068">
      <c r="A1068" t="inlineStr">
        <is>
          <t>El Trapial</t>
        </is>
      </c>
      <c r="B1068" t="inlineStr">
        <is>
          <t>Neuquina</t>
        </is>
      </c>
      <c r="C1068" t="inlineStr">
        <is>
          <t>CHEVRON ARGENTINA S.R.L.</t>
        </is>
      </c>
      <c r="D1068" t="inlineStr">
        <is>
          <t>convencional</t>
        </is>
      </c>
      <c r="E1068" t="inlineStr">
        <is>
          <t>2025-08</t>
        </is>
      </c>
      <c r="F1068" t="n">
        <v>5446.8</v>
      </c>
      <c r="G1068" t="n">
        <v>338862.3</v>
      </c>
      <c r="H1068" t="n">
        <v>432959.6</v>
      </c>
      <c r="I1068">
        <f>DAY(EOMONTH(DATE(VALUE(LEFT(E1068,4)),VALUE(RIGHT(E1068,2)),1),0))</f>
        <v/>
      </c>
      <c r="J1068">
        <f>VALUE(LEFT(E1068,4))*12+VALUE(RIGHT(E1068,2))-1</f>
        <v/>
      </c>
    </row>
    <row r="1069">
      <c r="A1069" t="inlineStr">
        <is>
          <t>El Trapial</t>
        </is>
      </c>
      <c r="B1069" t="inlineStr">
        <is>
          <t>Neuquina</t>
        </is>
      </c>
      <c r="C1069" t="inlineStr">
        <is>
          <t>CHEVRON ARGENTINA S.R.L.</t>
        </is>
      </c>
      <c r="D1069" t="inlineStr">
        <is>
          <t>no convencional</t>
        </is>
      </c>
      <c r="E1069" t="inlineStr">
        <is>
          <t>2025-08</t>
        </is>
      </c>
      <c r="F1069" t="n">
        <v>1477.3</v>
      </c>
      <c r="G1069" t="n">
        <v>6042.6</v>
      </c>
      <c r="H1069" t="n">
        <v>0</v>
      </c>
      <c r="I1069">
        <f>DAY(EOMONTH(DATE(VALUE(LEFT(E1069,4)),VALUE(RIGHT(E1069,2)),1),0))</f>
        <v/>
      </c>
      <c r="J1069">
        <f>VALUE(LEFT(E1069,4))*12+VALUE(RIGHT(E1069,2))-1</f>
        <v/>
      </c>
    </row>
    <row r="1070">
      <c r="A1070" t="inlineStr">
        <is>
          <t>El Trapial</t>
        </is>
      </c>
      <c r="B1070" t="inlineStr">
        <is>
          <t>Neuquina</t>
        </is>
      </c>
      <c r="C1070" t="inlineStr">
        <is>
          <t>CHEVRON ARGENTINA S.R.L.</t>
        </is>
      </c>
      <c r="D1070" t="inlineStr">
        <is>
          <t>convencional</t>
        </is>
      </c>
      <c r="E1070" t="inlineStr">
        <is>
          <t>2025-09</t>
        </is>
      </c>
      <c r="F1070" t="n">
        <v>4960</v>
      </c>
      <c r="G1070" t="n">
        <v>288578.7</v>
      </c>
      <c r="H1070" t="n">
        <v>404185.9</v>
      </c>
      <c r="I1070">
        <f>DAY(EOMONTH(DATE(VALUE(LEFT(E1070,4)),VALUE(RIGHT(E1070,2)),1),0))</f>
        <v/>
      </c>
      <c r="J1070">
        <f>VALUE(LEFT(E1070,4))*12+VALUE(RIGHT(E1070,2))-1</f>
        <v/>
      </c>
    </row>
    <row r="1071">
      <c r="A1071" t="inlineStr">
        <is>
          <t>El Trapial</t>
        </is>
      </c>
      <c r="B1071" t="inlineStr">
        <is>
          <t>Neuquina</t>
        </is>
      </c>
      <c r="C1071" t="inlineStr">
        <is>
          <t>CHEVRON ARGENTINA S.R.L.</t>
        </is>
      </c>
      <c r="D1071" t="inlineStr">
        <is>
          <t>no convencional</t>
        </is>
      </c>
      <c r="E1071" t="inlineStr">
        <is>
          <t>2025-09</t>
        </is>
      </c>
      <c r="F1071" t="n">
        <v>2149.8</v>
      </c>
      <c r="G1071" t="n">
        <v>6722.6</v>
      </c>
      <c r="H1071" t="n">
        <v>0</v>
      </c>
      <c r="I1071">
        <f>DAY(EOMONTH(DATE(VALUE(LEFT(E1071,4)),VALUE(RIGHT(E1071,2)),1),0))</f>
        <v/>
      </c>
      <c r="J1071">
        <f>VALUE(LEFT(E1071,4))*12+VALUE(RIGHT(E1071,2))-1</f>
        <v/>
      </c>
    </row>
    <row r="1072">
      <c r="A1072" t="inlineStr">
        <is>
          <t>El Trapial</t>
        </is>
      </c>
      <c r="B1072" t="inlineStr">
        <is>
          <t>Neuquina</t>
        </is>
      </c>
      <c r="C1072" t="inlineStr">
        <is>
          <t>CHEVRON ARGENTINA S.R.L.</t>
        </is>
      </c>
      <c r="D1072" t="inlineStr">
        <is>
          <t>convencional</t>
        </is>
      </c>
      <c r="E1072" t="inlineStr">
        <is>
          <t>2025-10</t>
        </is>
      </c>
      <c r="F1072" t="n">
        <v>4267</v>
      </c>
      <c r="G1072" t="n">
        <v>276151.8</v>
      </c>
      <c r="H1072" t="n">
        <v>396519.2</v>
      </c>
      <c r="I1072">
        <f>DAY(EOMONTH(DATE(VALUE(LEFT(E1072,4)),VALUE(RIGHT(E1072,2)),1),0))</f>
        <v/>
      </c>
      <c r="J1072">
        <f>VALUE(LEFT(E1072,4))*12+VALUE(RIGHT(E1072,2))-1</f>
        <v/>
      </c>
    </row>
    <row r="1073">
      <c r="A1073" t="inlineStr">
        <is>
          <t>El Trapial</t>
        </is>
      </c>
      <c r="B1073" t="inlineStr">
        <is>
          <t>Neuquina</t>
        </is>
      </c>
      <c r="C1073" t="inlineStr">
        <is>
          <t>CHEVRON ARGENTINA S.R.L.</t>
        </is>
      </c>
      <c r="D1073" t="inlineStr">
        <is>
          <t>no convencional</t>
        </is>
      </c>
      <c r="E1073" t="inlineStr">
        <is>
          <t>2025-10</t>
        </is>
      </c>
      <c r="F1073" t="n">
        <v>3099.3</v>
      </c>
      <c r="G1073" t="n">
        <v>7313.7</v>
      </c>
      <c r="H1073" t="n">
        <v>0</v>
      </c>
      <c r="I1073">
        <f>DAY(EOMONTH(DATE(VALUE(LEFT(E1073,4)),VALUE(RIGHT(E1073,2)),1),0))</f>
        <v/>
      </c>
      <c r="J1073">
        <f>VALUE(LEFT(E1073,4))*12+VALUE(RIGHT(E1073,2))-1</f>
        <v/>
      </c>
    </row>
    <row r="1074">
      <c r="A1074" t="inlineStr">
        <is>
          <t>El Trapial</t>
        </is>
      </c>
      <c r="B1074" t="inlineStr">
        <is>
          <t>Neuquina</t>
        </is>
      </c>
      <c r="C1074" t="inlineStr">
        <is>
          <t>CHEVRON ARGENTINA S.R.L.</t>
        </is>
      </c>
      <c r="D1074" t="inlineStr">
        <is>
          <t>convencional</t>
        </is>
      </c>
      <c r="E1074" t="inlineStr">
        <is>
          <t>2025-11</t>
        </is>
      </c>
      <c r="F1074" t="n">
        <v>2172</v>
      </c>
      <c r="G1074" t="n">
        <v>111223.2</v>
      </c>
      <c r="H1074" t="n">
        <v>223644.7</v>
      </c>
      <c r="I1074">
        <f>DAY(EOMONTH(DATE(VALUE(LEFT(E1074,4)),VALUE(RIGHT(E1074,2)),1),0))</f>
        <v/>
      </c>
      <c r="J1074">
        <f>VALUE(LEFT(E1074,4))*12+VALUE(RIGHT(E1074,2))-1</f>
        <v/>
      </c>
    </row>
    <row r="1075">
      <c r="A1075" t="inlineStr">
        <is>
          <t>El Trapial</t>
        </is>
      </c>
      <c r="B1075" t="inlineStr">
        <is>
          <t>Neuquina</t>
        </is>
      </c>
      <c r="C1075" t="inlineStr">
        <is>
          <t>CHEVRON ARGENTINA S.R.L.</t>
        </is>
      </c>
      <c r="D1075" t="inlineStr">
        <is>
          <t>no convencional</t>
        </is>
      </c>
      <c r="E1075" t="inlineStr">
        <is>
          <t>2025-11</t>
        </is>
      </c>
      <c r="F1075" t="n">
        <v>3702</v>
      </c>
      <c r="G1075" t="n">
        <v>3917.8</v>
      </c>
      <c r="H1075" t="n">
        <v>0</v>
      </c>
      <c r="I1075">
        <f>DAY(EOMONTH(DATE(VALUE(LEFT(E1075,4)),VALUE(RIGHT(E1075,2)),1),0))</f>
        <v/>
      </c>
      <c r="J1075">
        <f>VALUE(LEFT(E1075,4))*12+VALUE(RIGHT(E1075,2))-1</f>
        <v/>
      </c>
    </row>
    <row r="1076">
      <c r="A1076" t="inlineStr">
        <is>
          <t>El Trapial</t>
        </is>
      </c>
      <c r="B1076" t="inlineStr">
        <is>
          <t>Neuquina</t>
        </is>
      </c>
      <c r="C1076" t="inlineStr">
        <is>
          <t>CHEVRON ARGENTINA S.R.L.</t>
        </is>
      </c>
      <c r="D1076" t="inlineStr">
        <is>
          <t>convencional</t>
        </is>
      </c>
      <c r="E1076" t="inlineStr">
        <is>
          <t>2025-12</t>
        </is>
      </c>
      <c r="F1076" t="n">
        <v>1612</v>
      </c>
      <c r="G1076" t="n">
        <v>94818.8</v>
      </c>
      <c r="H1076" t="n">
        <v>207300.3</v>
      </c>
      <c r="I1076">
        <f>DAY(EOMONTH(DATE(VALUE(LEFT(E1076,4)),VALUE(RIGHT(E1076,2)),1),0))</f>
        <v/>
      </c>
      <c r="J1076">
        <f>VALUE(LEFT(E1076,4))*12+VALUE(RIGHT(E1076,2))-1</f>
        <v/>
      </c>
    </row>
    <row r="1077">
      <c r="A1077" t="inlineStr">
        <is>
          <t>El Trapial</t>
        </is>
      </c>
      <c r="B1077" t="inlineStr">
        <is>
          <t>Neuquina</t>
        </is>
      </c>
      <c r="C1077" t="inlineStr">
        <is>
          <t>CHEVRON ARGENTINA S.R.L.</t>
        </is>
      </c>
      <c r="D1077" t="inlineStr">
        <is>
          <t>no convencional</t>
        </is>
      </c>
      <c r="E1077" t="inlineStr">
        <is>
          <t>2025-12</t>
        </is>
      </c>
      <c r="F1077" t="n">
        <v>2599.8</v>
      </c>
      <c r="G1077" t="n">
        <v>6334.5</v>
      </c>
      <c r="H1077" t="n">
        <v>0</v>
      </c>
      <c r="I1077">
        <f>DAY(EOMONTH(DATE(VALUE(LEFT(E1077,4)),VALUE(RIGHT(E1077,2)),1),0))</f>
        <v/>
      </c>
      <c r="J1077">
        <f>VALUE(LEFT(E1077,4))*12+VALUE(RIGHT(E1077,2))-1</f>
        <v/>
      </c>
    </row>
    <row r="1078">
      <c r="A1078" t="inlineStr">
        <is>
          <t>El Trapial</t>
        </is>
      </c>
      <c r="B1078" t="inlineStr">
        <is>
          <t>Neuquina</t>
        </is>
      </c>
      <c r="C1078" t="inlineStr">
        <is>
          <t>CHEVRON ARGENTINA S.R.L.</t>
        </is>
      </c>
      <c r="D1078" t="inlineStr">
        <is>
          <t>convencional</t>
        </is>
      </c>
      <c r="E1078" t="inlineStr">
        <is>
          <t>2026-01</t>
        </is>
      </c>
      <c r="F1078" t="n">
        <v>1428.1</v>
      </c>
      <c r="G1078" t="n">
        <v>93148.7</v>
      </c>
      <c r="H1078" t="n">
        <v>206042.4</v>
      </c>
      <c r="I1078">
        <f>DAY(EOMONTH(DATE(VALUE(LEFT(E1078,4)),VALUE(RIGHT(E1078,2)),1),0))</f>
        <v/>
      </c>
      <c r="J1078">
        <f>VALUE(LEFT(E1078,4))*12+VALUE(RIGHT(E1078,2))-1</f>
        <v/>
      </c>
    </row>
    <row r="1079">
      <c r="A1079" t="inlineStr">
        <is>
          <t>El Trapial</t>
        </is>
      </c>
      <c r="B1079" t="inlineStr">
        <is>
          <t>Neuquina</t>
        </is>
      </c>
      <c r="C1079" t="inlineStr">
        <is>
          <t>CHEVRON ARGENTINA S.R.L.</t>
        </is>
      </c>
      <c r="D1079" t="inlineStr">
        <is>
          <t>no convencional</t>
        </is>
      </c>
      <c r="E1079" t="inlineStr">
        <is>
          <t>2026-01</t>
        </is>
      </c>
      <c r="F1079" t="n">
        <v>2540.2</v>
      </c>
      <c r="G1079" t="n">
        <v>8241.4</v>
      </c>
      <c r="H1079" t="n">
        <v>0</v>
      </c>
      <c r="I1079">
        <f>DAY(EOMONTH(DATE(VALUE(LEFT(E1079,4)),VALUE(RIGHT(E1079,2)),1),0))</f>
        <v/>
      </c>
      <c r="J1079">
        <f>VALUE(LEFT(E1079,4))*12+VALUE(RIGHT(E1079,2))-1</f>
        <v/>
      </c>
    </row>
    <row r="1080">
      <c r="A1080" t="inlineStr">
        <is>
          <t>El Trapial</t>
        </is>
      </c>
      <c r="B1080" t="inlineStr">
        <is>
          <t>Neuquina</t>
        </is>
      </c>
      <c r="C1080" t="inlineStr">
        <is>
          <t>CHEVRON ARGENTINA S.R.L.</t>
        </is>
      </c>
      <c r="D1080" t="inlineStr">
        <is>
          <t>convencional</t>
        </is>
      </c>
      <c r="E1080" t="inlineStr">
        <is>
          <t>2026-02</t>
        </is>
      </c>
      <c r="F1080" t="n">
        <v>1099</v>
      </c>
      <c r="G1080" t="n">
        <v>81926.3</v>
      </c>
      <c r="H1080" t="n">
        <v>182191.2</v>
      </c>
      <c r="I1080">
        <f>DAY(EOMONTH(DATE(VALUE(LEFT(E1080,4)),VALUE(RIGHT(E1080,2)),1),0))</f>
        <v/>
      </c>
      <c r="J1080">
        <f>VALUE(LEFT(E1080,4))*12+VALUE(RIGHT(E1080,2))-1</f>
        <v/>
      </c>
    </row>
    <row r="1081">
      <c r="A1081" t="inlineStr">
        <is>
          <t>El Trapial</t>
        </is>
      </c>
      <c r="B1081" t="inlineStr">
        <is>
          <t>Neuquina</t>
        </is>
      </c>
      <c r="C1081" t="inlineStr">
        <is>
          <t>CHEVRON ARGENTINA S.R.L.</t>
        </is>
      </c>
      <c r="D1081" t="inlineStr">
        <is>
          <t>no convencional</t>
        </is>
      </c>
      <c r="E1081" t="inlineStr">
        <is>
          <t>2026-02</t>
        </is>
      </c>
      <c r="F1081" t="n">
        <v>3711.6</v>
      </c>
      <c r="G1081" t="n">
        <v>8047.6</v>
      </c>
      <c r="H1081" t="n">
        <v>0</v>
      </c>
      <c r="I1081">
        <f>DAY(EOMONTH(DATE(VALUE(LEFT(E1081,4)),VALUE(RIGHT(E1081,2)),1),0))</f>
        <v/>
      </c>
      <c r="J1081">
        <f>VALUE(LEFT(E1081,4))*12+VALUE(RIGHT(E1081,2))-1</f>
        <v/>
      </c>
    </row>
    <row r="1082">
      <c r="A1082" t="inlineStr">
        <is>
          <t>El Trapial</t>
        </is>
      </c>
      <c r="B1082" t="inlineStr">
        <is>
          <t>Neuquina</t>
        </is>
      </c>
      <c r="C1082" t="inlineStr">
        <is>
          <t>CHEVRON ARGENTINA S.R.L.</t>
        </is>
      </c>
      <c r="D1082" t="inlineStr">
        <is>
          <t>convencional</t>
        </is>
      </c>
      <c r="E1082" t="inlineStr">
        <is>
          <t>2026-03</t>
        </is>
      </c>
      <c r="F1082" t="n">
        <v>711</v>
      </c>
      <c r="G1082" t="n">
        <v>61046.1</v>
      </c>
      <c r="H1082" t="n">
        <v>144397.7</v>
      </c>
      <c r="I1082">
        <f>DAY(EOMONTH(DATE(VALUE(LEFT(E1082,4)),VALUE(RIGHT(E1082,2)),1),0))</f>
        <v/>
      </c>
      <c r="J1082">
        <f>VALUE(LEFT(E1082,4))*12+VALUE(RIGHT(E1082,2))-1</f>
        <v/>
      </c>
    </row>
    <row r="1083">
      <c r="A1083" t="inlineStr">
        <is>
          <t>El Trapial</t>
        </is>
      </c>
      <c r="B1083" t="inlineStr">
        <is>
          <t>Neuquina</t>
        </is>
      </c>
      <c r="C1083" t="inlineStr">
        <is>
          <t>CHEVRON ARGENTINA S.R.L.</t>
        </is>
      </c>
      <c r="D1083" t="inlineStr">
        <is>
          <t>no convencional</t>
        </is>
      </c>
      <c r="E1083" t="inlineStr">
        <is>
          <t>2026-03</t>
        </is>
      </c>
      <c r="F1083" t="n">
        <v>2516.9</v>
      </c>
      <c r="G1083" t="n">
        <v>3926</v>
      </c>
      <c r="H1083" t="n">
        <v>0</v>
      </c>
      <c r="I1083">
        <f>DAY(EOMONTH(DATE(VALUE(LEFT(E1083,4)),VALUE(RIGHT(E1083,2)),1),0))</f>
        <v/>
      </c>
      <c r="J1083">
        <f>VALUE(LEFT(E1083,4))*12+VALUE(RIGHT(E1083,2))-1</f>
        <v/>
      </c>
    </row>
    <row r="1084">
      <c r="A1084" t="inlineStr">
        <is>
          <t>El Trapial</t>
        </is>
      </c>
      <c r="B1084" t="inlineStr">
        <is>
          <t>Neuquina</t>
        </is>
      </c>
      <c r="C1084" t="inlineStr">
        <is>
          <t>CHEVRON ARGENTINA S.R.L.</t>
        </is>
      </c>
      <c r="D1084" t="inlineStr">
        <is>
          <t>convencional</t>
        </is>
      </c>
      <c r="E1084" t="inlineStr">
        <is>
          <t>2026-04</t>
        </is>
      </c>
      <c r="F1084" t="n">
        <v>1016</v>
      </c>
      <c r="G1084" t="n">
        <v>67389</v>
      </c>
      <c r="H1084" t="n">
        <v>185295.5</v>
      </c>
      <c r="I1084">
        <f>DAY(EOMONTH(DATE(VALUE(LEFT(E1084,4)),VALUE(RIGHT(E1084,2)),1),0))</f>
        <v/>
      </c>
      <c r="J1084">
        <f>VALUE(LEFT(E1084,4))*12+VALUE(RIGHT(E1084,2))-1</f>
        <v/>
      </c>
    </row>
    <row r="1085">
      <c r="A1085" t="inlineStr">
        <is>
          <t>El Trapial</t>
        </is>
      </c>
      <c r="B1085" t="inlineStr">
        <is>
          <t>Neuquina</t>
        </is>
      </c>
      <c r="C1085" t="inlineStr">
        <is>
          <t>CHEVRON ARGENTINA S.R.L.</t>
        </is>
      </c>
      <c r="D1085" t="inlineStr">
        <is>
          <t>no convencional</t>
        </is>
      </c>
      <c r="E1085" t="inlineStr">
        <is>
          <t>2026-04</t>
        </is>
      </c>
      <c r="F1085" t="n">
        <v>4185.1</v>
      </c>
      <c r="G1085" t="n">
        <v>6960.5</v>
      </c>
      <c r="H1085" t="n">
        <v>0</v>
      </c>
      <c r="I1085">
        <f>DAY(EOMONTH(DATE(VALUE(LEFT(E1085,4)),VALUE(RIGHT(E1085,2)),1),0))</f>
        <v/>
      </c>
      <c r="J1085">
        <f>VALUE(LEFT(E1085,4))*12+VALUE(RIGHT(E1085,2))-1</f>
        <v/>
      </c>
    </row>
    <row r="1086">
      <c r="A1086" t="inlineStr">
        <is>
          <t>El Trapial</t>
        </is>
      </c>
      <c r="B1086" t="inlineStr">
        <is>
          <t>Neuquina</t>
        </is>
      </c>
      <c r="C1086" t="inlineStr">
        <is>
          <t>CHEVRON ARGENTINA S.R.L.</t>
        </is>
      </c>
      <c r="D1086" t="inlineStr">
        <is>
          <t>convencional</t>
        </is>
      </c>
      <c r="E1086" t="inlineStr">
        <is>
          <t>2026-05</t>
        </is>
      </c>
      <c r="F1086" t="n">
        <v>688</v>
      </c>
      <c r="G1086" t="n">
        <v>55431.8</v>
      </c>
      <c r="H1086" t="n">
        <v>188611.1</v>
      </c>
      <c r="I1086">
        <f>DAY(EOMONTH(DATE(VALUE(LEFT(E1086,4)),VALUE(RIGHT(E1086,2)),1),0))</f>
        <v/>
      </c>
      <c r="J1086">
        <f>VALUE(LEFT(E1086,4))*12+VALUE(RIGHT(E1086,2))-1</f>
        <v/>
      </c>
    </row>
    <row r="1087">
      <c r="A1087" t="inlineStr">
        <is>
          <t>El Trapial</t>
        </is>
      </c>
      <c r="B1087" t="inlineStr">
        <is>
          <t>Neuquina</t>
        </is>
      </c>
      <c r="C1087" t="inlineStr">
        <is>
          <t>CHEVRON ARGENTINA S.R.L.</t>
        </is>
      </c>
      <c r="D1087" t="inlineStr">
        <is>
          <t>no convencional</t>
        </is>
      </c>
      <c r="E1087" t="inlineStr">
        <is>
          <t>2026-05</t>
        </is>
      </c>
      <c r="F1087" t="n">
        <v>2713.6</v>
      </c>
      <c r="G1087" t="n">
        <v>4859.2</v>
      </c>
      <c r="H1087" t="n">
        <v>0</v>
      </c>
      <c r="I1087">
        <f>DAY(EOMONTH(DATE(VALUE(LEFT(E1087,4)),VALUE(RIGHT(E1087,2)),1),0))</f>
        <v/>
      </c>
      <c r="J1087">
        <f>VALUE(LEFT(E1087,4))*12+VALUE(RIGHT(E1087,2))-1</f>
        <v/>
      </c>
    </row>
    <row r="1088">
      <c r="A1088" t="inlineStr">
        <is>
          <t>El Trapial</t>
        </is>
      </c>
      <c r="B1088" t="inlineStr">
        <is>
          <t>Neuquina</t>
        </is>
      </c>
      <c r="C1088" t="inlineStr">
        <is>
          <t>CHEVRON ARGENTINA S.R.L.</t>
        </is>
      </c>
      <c r="D1088" t="inlineStr">
        <is>
          <t>convencional</t>
        </is>
      </c>
      <c r="E1088" t="inlineStr">
        <is>
          <t>2026-06</t>
        </is>
      </c>
      <c r="F1088" t="n">
        <v>266</v>
      </c>
      <c r="G1088" t="n">
        <v>28042.3</v>
      </c>
      <c r="H1088" t="n">
        <v>171543.8</v>
      </c>
      <c r="I1088">
        <f>DAY(EOMONTH(DATE(VALUE(LEFT(E1088,4)),VALUE(RIGHT(E1088,2)),1),0))</f>
        <v/>
      </c>
      <c r="J1088">
        <f>VALUE(LEFT(E1088,4))*12+VALUE(RIGHT(E1088,2))-1</f>
        <v/>
      </c>
    </row>
    <row r="1089">
      <c r="A1089" t="inlineStr">
        <is>
          <t>El Trapial</t>
        </is>
      </c>
      <c r="B1089" t="inlineStr">
        <is>
          <t>Neuquina</t>
        </is>
      </c>
      <c r="C1089" t="inlineStr">
        <is>
          <t>CHEVRON ARGENTINA S.R.L.</t>
        </is>
      </c>
      <c r="D1089" t="inlineStr">
        <is>
          <t>no convencional</t>
        </is>
      </c>
      <c r="E1089" t="inlineStr">
        <is>
          <t>2026-06</t>
        </is>
      </c>
      <c r="F1089" t="n">
        <v>2996.5</v>
      </c>
      <c r="G1089" t="n">
        <v>6140.9</v>
      </c>
      <c r="H1089" t="n">
        <v>0</v>
      </c>
      <c r="I1089">
        <f>DAY(EOMONTH(DATE(VALUE(LEFT(E1089,4)),VALUE(RIGHT(E1089,2)),1),0))</f>
        <v/>
      </c>
      <c r="J1089">
        <f>VALUE(LEFT(E1089,4))*12+VALUE(RIGHT(E1089,2))-1</f>
        <v/>
      </c>
    </row>
    <row r="1090">
      <c r="A1090" t="inlineStr">
        <is>
          <t>El Trapial</t>
        </is>
      </c>
      <c r="B1090" t="inlineStr">
        <is>
          <t>Neuquina</t>
        </is>
      </c>
      <c r="C1090" t="inlineStr">
        <is>
          <t>CHEVRON ARGENTINA S.R.L.</t>
        </is>
      </c>
      <c r="D1090" t="inlineStr">
        <is>
          <t>convencional</t>
        </is>
      </c>
      <c r="E1090" t="inlineStr">
        <is>
          <t>2026-07</t>
        </is>
      </c>
      <c r="F1090" t="n">
        <v>123.9</v>
      </c>
      <c r="G1090" t="n">
        <v>35473.8</v>
      </c>
      <c r="H1090" t="n">
        <v>159639.2</v>
      </c>
      <c r="I1090">
        <f>DAY(EOMONTH(DATE(VALUE(LEFT(E1090,4)),VALUE(RIGHT(E1090,2)),1),0))</f>
        <v/>
      </c>
      <c r="J1090">
        <f>VALUE(LEFT(E1090,4))*12+VALUE(RIGHT(E1090,2))-1</f>
        <v/>
      </c>
    </row>
    <row r="1091">
      <c r="A1091" t="inlineStr">
        <is>
          <t>El Trapial</t>
        </is>
      </c>
      <c r="B1091" t="inlineStr">
        <is>
          <t>Neuquina</t>
        </is>
      </c>
      <c r="C1091" t="inlineStr">
        <is>
          <t>CHEVRON ARGENTINA S.R.L.</t>
        </is>
      </c>
      <c r="D1091" t="inlineStr">
        <is>
          <t>no convencional</t>
        </is>
      </c>
      <c r="E1091" t="inlineStr">
        <is>
          <t>2026-07</t>
        </is>
      </c>
      <c r="F1091" t="n">
        <v>3520.8</v>
      </c>
      <c r="G1091" t="n">
        <v>10260.9</v>
      </c>
      <c r="H1091" t="n">
        <v>0</v>
      </c>
      <c r="I1091">
        <f>DAY(EOMONTH(DATE(VALUE(LEFT(E1091,4)),VALUE(RIGHT(E1091,2)),1),0))</f>
        <v/>
      </c>
      <c r="J1091">
        <f>VALUE(LEFT(E1091,4))*12+VALUE(RIGHT(E1091,2))-1</f>
        <v/>
      </c>
    </row>
    <row r="1092">
      <c r="A1092" t="inlineStr">
        <is>
          <t>Puesto Hernández</t>
        </is>
      </c>
      <c r="B1092" t="inlineStr">
        <is>
          <t>Neuquina</t>
        </is>
      </c>
      <c r="C1092" t="inlineStr">
        <is>
          <t>PETROBRAS ARGENTINA S.A.</t>
        </is>
      </c>
      <c r="D1092" t="inlineStr">
        <is>
          <t>convencional</t>
        </is>
      </c>
      <c r="E1092" t="inlineStr">
        <is>
          <t>2006-01</t>
        </is>
      </c>
      <c r="F1092" t="n">
        <v>155797.6</v>
      </c>
      <c r="G1092" t="n">
        <v>2422884.6</v>
      </c>
      <c r="H1092" t="n">
        <v>3040502</v>
      </c>
      <c r="I1092">
        <f>DAY(EOMONTH(DATE(VALUE(LEFT(E1092,4)),VALUE(RIGHT(E1092,2)),1),0))</f>
        <v/>
      </c>
      <c r="J1092">
        <f>VALUE(LEFT(E1092,4))*12+VALUE(RIGHT(E1092,2))-1</f>
        <v/>
      </c>
    </row>
    <row r="1093">
      <c r="A1093" t="inlineStr">
        <is>
          <t>Puesto Hernández</t>
        </is>
      </c>
      <c r="B1093" t="inlineStr">
        <is>
          <t>Neuquina</t>
        </is>
      </c>
      <c r="C1093" t="inlineStr">
        <is>
          <t>PETROBRAS ARGENTINA S.A.</t>
        </is>
      </c>
      <c r="D1093" t="inlineStr">
        <is>
          <t>convencional</t>
        </is>
      </c>
      <c r="E1093" t="inlineStr">
        <is>
          <t>2006-02</t>
        </is>
      </c>
      <c r="F1093" t="n">
        <v>138286.7</v>
      </c>
      <c r="G1093" t="n">
        <v>2158078.3</v>
      </c>
      <c r="H1093" t="n">
        <v>2645837</v>
      </c>
      <c r="I1093">
        <f>DAY(EOMONTH(DATE(VALUE(LEFT(E1093,4)),VALUE(RIGHT(E1093,2)),1),0))</f>
        <v/>
      </c>
      <c r="J1093">
        <f>VALUE(LEFT(E1093,4))*12+VALUE(RIGHT(E1093,2))-1</f>
        <v/>
      </c>
    </row>
    <row r="1094">
      <c r="A1094" t="inlineStr">
        <is>
          <t>Puesto Hernández</t>
        </is>
      </c>
      <c r="B1094" t="inlineStr">
        <is>
          <t>Neuquina</t>
        </is>
      </c>
      <c r="C1094" t="inlineStr">
        <is>
          <t>PETROBRAS ARGENTINA S.A.</t>
        </is>
      </c>
      <c r="D1094" t="inlineStr">
        <is>
          <t>convencional</t>
        </is>
      </c>
      <c r="E1094" t="inlineStr">
        <is>
          <t>2006-03</t>
        </is>
      </c>
      <c r="F1094" t="n">
        <v>143241</v>
      </c>
      <c r="G1094" t="n">
        <v>2276244.6</v>
      </c>
      <c r="H1094" t="n">
        <v>2787922</v>
      </c>
      <c r="I1094">
        <f>DAY(EOMONTH(DATE(VALUE(LEFT(E1094,4)),VALUE(RIGHT(E1094,2)),1),0))</f>
        <v/>
      </c>
      <c r="J1094">
        <f>VALUE(LEFT(E1094,4))*12+VALUE(RIGHT(E1094,2))-1</f>
        <v/>
      </c>
    </row>
    <row r="1095">
      <c r="A1095" t="inlineStr">
        <is>
          <t>Puesto Hernández</t>
        </is>
      </c>
      <c r="B1095" t="inlineStr">
        <is>
          <t>Neuquina</t>
        </is>
      </c>
      <c r="C1095" t="inlineStr">
        <is>
          <t>PETROBRAS ARGENTINA S.A.</t>
        </is>
      </c>
      <c r="D1095" t="inlineStr">
        <is>
          <t>convencional</t>
        </is>
      </c>
      <c r="E1095" t="inlineStr">
        <is>
          <t>2006-04</t>
        </is>
      </c>
      <c r="F1095" t="n">
        <v>143292.5</v>
      </c>
      <c r="G1095" t="n">
        <v>2296281.4</v>
      </c>
      <c r="H1095" t="n">
        <v>2839557</v>
      </c>
      <c r="I1095">
        <f>DAY(EOMONTH(DATE(VALUE(LEFT(E1095,4)),VALUE(RIGHT(E1095,2)),1),0))</f>
        <v/>
      </c>
      <c r="J1095">
        <f>VALUE(LEFT(E1095,4))*12+VALUE(RIGHT(E1095,2))-1</f>
        <v/>
      </c>
    </row>
    <row r="1096">
      <c r="A1096" t="inlineStr">
        <is>
          <t>Puesto Hernández</t>
        </is>
      </c>
      <c r="B1096" t="inlineStr">
        <is>
          <t>Neuquina</t>
        </is>
      </c>
      <c r="C1096" t="inlineStr">
        <is>
          <t>PETROBRAS ARGENTINA S.A.</t>
        </is>
      </c>
      <c r="D1096" t="inlineStr">
        <is>
          <t>convencional</t>
        </is>
      </c>
      <c r="E1096" t="inlineStr">
        <is>
          <t>2006-05</t>
        </is>
      </c>
      <c r="F1096" t="n">
        <v>148711.6</v>
      </c>
      <c r="G1096" t="n">
        <v>2422787.7</v>
      </c>
      <c r="H1096" t="n">
        <v>2986469</v>
      </c>
      <c r="I1096">
        <f>DAY(EOMONTH(DATE(VALUE(LEFT(E1096,4)),VALUE(RIGHT(E1096,2)),1),0))</f>
        <v/>
      </c>
      <c r="J1096">
        <f>VALUE(LEFT(E1096,4))*12+VALUE(RIGHT(E1096,2))-1</f>
        <v/>
      </c>
    </row>
    <row r="1097">
      <c r="A1097" t="inlineStr">
        <is>
          <t>Puesto Hernández</t>
        </is>
      </c>
      <c r="B1097" t="inlineStr">
        <is>
          <t>Neuquina</t>
        </is>
      </c>
      <c r="C1097" t="inlineStr">
        <is>
          <t>PETROBRAS ARGENTINA S.A.</t>
        </is>
      </c>
      <c r="D1097" t="inlineStr">
        <is>
          <t>convencional</t>
        </is>
      </c>
      <c r="E1097" t="inlineStr">
        <is>
          <t>2006-06</t>
        </is>
      </c>
      <c r="F1097" t="n">
        <v>142865.4</v>
      </c>
      <c r="G1097" t="n">
        <v>2325076.9</v>
      </c>
      <c r="H1097" t="n">
        <v>2827711</v>
      </c>
      <c r="I1097">
        <f>DAY(EOMONTH(DATE(VALUE(LEFT(E1097,4)),VALUE(RIGHT(E1097,2)),1),0))</f>
        <v/>
      </c>
      <c r="J1097">
        <f>VALUE(LEFT(E1097,4))*12+VALUE(RIGHT(E1097,2))-1</f>
        <v/>
      </c>
    </row>
    <row r="1098">
      <c r="A1098" t="inlineStr">
        <is>
          <t>Puesto Hernández</t>
        </is>
      </c>
      <c r="B1098" t="inlineStr">
        <is>
          <t>Neuquina</t>
        </is>
      </c>
      <c r="C1098" t="inlineStr">
        <is>
          <t>PETROBRAS ARGENTINA S.A.</t>
        </is>
      </c>
      <c r="D1098" t="inlineStr">
        <is>
          <t>convencional</t>
        </is>
      </c>
      <c r="E1098" t="inlineStr">
        <is>
          <t>2006-07</t>
        </is>
      </c>
      <c r="F1098" t="n">
        <v>142908.6</v>
      </c>
      <c r="G1098" t="n">
        <v>2338381.5</v>
      </c>
      <c r="H1098" t="n">
        <v>2867237</v>
      </c>
      <c r="I1098">
        <f>DAY(EOMONTH(DATE(VALUE(LEFT(E1098,4)),VALUE(RIGHT(E1098,2)),1),0))</f>
        <v/>
      </c>
      <c r="J1098">
        <f>VALUE(LEFT(E1098,4))*12+VALUE(RIGHT(E1098,2))-1</f>
        <v/>
      </c>
    </row>
    <row r="1099">
      <c r="A1099" t="inlineStr">
        <is>
          <t>Puesto Hernández</t>
        </is>
      </c>
      <c r="B1099" t="inlineStr">
        <is>
          <t>Neuquina</t>
        </is>
      </c>
      <c r="C1099" t="inlineStr">
        <is>
          <t>PETROBRAS ARGENTINA S.A.</t>
        </is>
      </c>
      <c r="D1099" t="inlineStr">
        <is>
          <t>convencional</t>
        </is>
      </c>
      <c r="E1099" t="inlineStr">
        <is>
          <t>2006-08</t>
        </is>
      </c>
      <c r="F1099" t="n">
        <v>143116.1</v>
      </c>
      <c r="G1099" t="n">
        <v>2422722.3</v>
      </c>
      <c r="H1099" t="n">
        <v>3001419</v>
      </c>
      <c r="I1099">
        <f>DAY(EOMONTH(DATE(VALUE(LEFT(E1099,4)),VALUE(RIGHT(E1099,2)),1),0))</f>
        <v/>
      </c>
      <c r="J1099">
        <f>VALUE(LEFT(E1099,4))*12+VALUE(RIGHT(E1099,2))-1</f>
        <v/>
      </c>
    </row>
    <row r="1100">
      <c r="A1100" t="inlineStr">
        <is>
          <t>Puesto Hernández</t>
        </is>
      </c>
      <c r="B1100" t="inlineStr">
        <is>
          <t>Neuquina</t>
        </is>
      </c>
      <c r="C1100" t="inlineStr">
        <is>
          <t>PETROBRAS ARGENTINA S.A.</t>
        </is>
      </c>
      <c r="D1100" t="inlineStr">
        <is>
          <t>convencional</t>
        </is>
      </c>
      <c r="E1100" t="inlineStr">
        <is>
          <t>2006-09</t>
        </is>
      </c>
      <c r="F1100" t="n">
        <v>139115.5</v>
      </c>
      <c r="G1100" t="n">
        <v>2303795.6</v>
      </c>
      <c r="H1100" t="n">
        <v>2720225</v>
      </c>
      <c r="I1100">
        <f>DAY(EOMONTH(DATE(VALUE(LEFT(E1100,4)),VALUE(RIGHT(E1100,2)),1),0))</f>
        <v/>
      </c>
      <c r="J1100">
        <f>VALUE(LEFT(E1100,4))*12+VALUE(RIGHT(E1100,2))-1</f>
        <v/>
      </c>
    </row>
    <row r="1101">
      <c r="A1101" t="inlineStr">
        <is>
          <t>Puesto Hernández</t>
        </is>
      </c>
      <c r="B1101" t="inlineStr">
        <is>
          <t>Neuquina</t>
        </is>
      </c>
      <c r="C1101" t="inlineStr">
        <is>
          <t>PETROBRAS ARGENTINA S.A.</t>
        </is>
      </c>
      <c r="D1101" t="inlineStr">
        <is>
          <t>convencional</t>
        </is>
      </c>
      <c r="E1101" t="inlineStr">
        <is>
          <t>2006-10</t>
        </is>
      </c>
      <c r="F1101" t="n">
        <v>136790.3</v>
      </c>
      <c r="G1101" t="n">
        <v>2414596.9</v>
      </c>
      <c r="H1101" t="n">
        <v>2906662</v>
      </c>
      <c r="I1101">
        <f>DAY(EOMONTH(DATE(VALUE(LEFT(E1101,4)),VALUE(RIGHT(E1101,2)),1),0))</f>
        <v/>
      </c>
      <c r="J1101">
        <f>VALUE(LEFT(E1101,4))*12+VALUE(RIGHT(E1101,2))-1</f>
        <v/>
      </c>
    </row>
    <row r="1102">
      <c r="A1102" t="inlineStr">
        <is>
          <t>Puesto Hernández</t>
        </is>
      </c>
      <c r="B1102" t="inlineStr">
        <is>
          <t>Neuquina</t>
        </is>
      </c>
      <c r="C1102" t="inlineStr">
        <is>
          <t>PETROBRAS ARGENTINA S.A.</t>
        </is>
      </c>
      <c r="D1102" t="inlineStr">
        <is>
          <t>convencional</t>
        </is>
      </c>
      <c r="E1102" t="inlineStr">
        <is>
          <t>2006-11</t>
        </is>
      </c>
      <c r="F1102" t="n">
        <v>124945</v>
      </c>
      <c r="G1102" t="n">
        <v>2248085</v>
      </c>
      <c r="H1102" t="n">
        <v>2726595.6</v>
      </c>
      <c r="I1102">
        <f>DAY(EOMONTH(DATE(VALUE(LEFT(E1102,4)),VALUE(RIGHT(E1102,2)),1),0))</f>
        <v/>
      </c>
      <c r="J1102">
        <f>VALUE(LEFT(E1102,4))*12+VALUE(RIGHT(E1102,2))-1</f>
        <v/>
      </c>
    </row>
    <row r="1103">
      <c r="A1103" t="inlineStr">
        <is>
          <t>Puesto Hernández</t>
        </is>
      </c>
      <c r="B1103" t="inlineStr">
        <is>
          <t>Neuquina</t>
        </is>
      </c>
      <c r="C1103" t="inlineStr">
        <is>
          <t>PETROBRAS ARGENTINA S.A.</t>
        </is>
      </c>
      <c r="D1103" t="inlineStr">
        <is>
          <t>convencional</t>
        </is>
      </c>
      <c r="E1103" t="inlineStr">
        <is>
          <t>2006-12</t>
        </is>
      </c>
      <c r="F1103" t="n">
        <v>132017.9</v>
      </c>
      <c r="G1103" t="n">
        <v>2356302.8</v>
      </c>
      <c r="H1103" t="n">
        <v>2921243</v>
      </c>
      <c r="I1103">
        <f>DAY(EOMONTH(DATE(VALUE(LEFT(E1103,4)),VALUE(RIGHT(E1103,2)),1),0))</f>
        <v/>
      </c>
      <c r="J1103">
        <f>VALUE(LEFT(E1103,4))*12+VALUE(RIGHT(E1103,2))-1</f>
        <v/>
      </c>
    </row>
    <row r="1104">
      <c r="A1104" t="inlineStr">
        <is>
          <t>Puesto Hernández</t>
        </is>
      </c>
      <c r="B1104" t="inlineStr">
        <is>
          <t>Neuquina</t>
        </is>
      </c>
      <c r="C1104" t="inlineStr">
        <is>
          <t>PETROBRAS ARGENTINA S.A.</t>
        </is>
      </c>
      <c r="D1104" t="inlineStr">
        <is>
          <t>convencional</t>
        </is>
      </c>
      <c r="E1104" t="inlineStr">
        <is>
          <t>2007-01</t>
        </is>
      </c>
      <c r="F1104" t="n">
        <v>128448</v>
      </c>
      <c r="G1104" t="n">
        <v>2372969.6</v>
      </c>
      <c r="H1104" t="n">
        <v>2909748.1</v>
      </c>
      <c r="I1104">
        <f>DAY(EOMONTH(DATE(VALUE(LEFT(E1104,4)),VALUE(RIGHT(E1104,2)),1),0))</f>
        <v/>
      </c>
      <c r="J1104">
        <f>VALUE(LEFT(E1104,4))*12+VALUE(RIGHT(E1104,2))-1</f>
        <v/>
      </c>
    </row>
    <row r="1105">
      <c r="A1105" t="inlineStr">
        <is>
          <t>Puesto Hernández</t>
        </is>
      </c>
      <c r="B1105" t="inlineStr">
        <is>
          <t>Neuquina</t>
        </is>
      </c>
      <c r="C1105" t="inlineStr">
        <is>
          <t>PETROBRAS ARGENTINA S.A.</t>
        </is>
      </c>
      <c r="D1105" t="inlineStr">
        <is>
          <t>convencional</t>
        </is>
      </c>
      <c r="E1105" t="inlineStr">
        <is>
          <t>2007-02</t>
        </is>
      </c>
      <c r="F1105" t="n">
        <v>115506.9</v>
      </c>
      <c r="G1105" t="n">
        <v>2128877.1</v>
      </c>
      <c r="H1105" t="n">
        <v>2684315</v>
      </c>
      <c r="I1105">
        <f>DAY(EOMONTH(DATE(VALUE(LEFT(E1105,4)),VALUE(RIGHT(E1105,2)),1),0))</f>
        <v/>
      </c>
      <c r="J1105">
        <f>VALUE(LEFT(E1105,4))*12+VALUE(RIGHT(E1105,2))-1</f>
        <v/>
      </c>
    </row>
    <row r="1106">
      <c r="A1106" t="inlineStr">
        <is>
          <t>Puesto Hernández</t>
        </is>
      </c>
      <c r="B1106" t="inlineStr">
        <is>
          <t>Neuquina</t>
        </is>
      </c>
      <c r="C1106" t="inlineStr">
        <is>
          <t>PETROBRAS ARGENTINA S.A.</t>
        </is>
      </c>
      <c r="D1106" t="inlineStr">
        <is>
          <t>convencional</t>
        </is>
      </c>
      <c r="E1106" t="inlineStr">
        <is>
          <t>2007-03</t>
        </is>
      </c>
      <c r="F1106" t="n">
        <v>126520.9</v>
      </c>
      <c r="G1106" t="n">
        <v>2399758.6</v>
      </c>
      <c r="H1106" t="n">
        <v>3024202.8</v>
      </c>
      <c r="I1106">
        <f>DAY(EOMONTH(DATE(VALUE(LEFT(E1106,4)),VALUE(RIGHT(E1106,2)),1),0))</f>
        <v/>
      </c>
      <c r="J1106">
        <f>VALUE(LEFT(E1106,4))*12+VALUE(RIGHT(E1106,2))-1</f>
        <v/>
      </c>
    </row>
    <row r="1107">
      <c r="A1107" t="inlineStr">
        <is>
          <t>Puesto Hernández</t>
        </is>
      </c>
      <c r="B1107" t="inlineStr">
        <is>
          <t>Neuquina</t>
        </is>
      </c>
      <c r="C1107" t="inlineStr">
        <is>
          <t>PETROBRAS ARGENTINA S.A.</t>
        </is>
      </c>
      <c r="D1107" t="inlineStr">
        <is>
          <t>convencional</t>
        </is>
      </c>
      <c r="E1107" t="inlineStr">
        <is>
          <t>2007-04</t>
        </is>
      </c>
      <c r="F1107" t="n">
        <v>121466.6</v>
      </c>
      <c r="G1107" t="n">
        <v>2334031</v>
      </c>
      <c r="H1107" t="n">
        <v>2971585</v>
      </c>
      <c r="I1107">
        <f>DAY(EOMONTH(DATE(VALUE(LEFT(E1107,4)),VALUE(RIGHT(E1107,2)),1),0))</f>
        <v/>
      </c>
      <c r="J1107">
        <f>VALUE(LEFT(E1107,4))*12+VALUE(RIGHT(E1107,2))-1</f>
        <v/>
      </c>
    </row>
    <row r="1108">
      <c r="A1108" t="inlineStr">
        <is>
          <t>Puesto Hernández</t>
        </is>
      </c>
      <c r="B1108" t="inlineStr">
        <is>
          <t>Neuquina</t>
        </is>
      </c>
      <c r="C1108" t="inlineStr">
        <is>
          <t>PETROBRAS ARGENTINA S.A.</t>
        </is>
      </c>
      <c r="D1108" t="inlineStr">
        <is>
          <t>convencional</t>
        </is>
      </c>
      <c r="E1108" t="inlineStr">
        <is>
          <t>2007-05</t>
        </is>
      </c>
      <c r="F1108" t="n">
        <v>123927.1</v>
      </c>
      <c r="G1108" t="n">
        <v>2444045.3</v>
      </c>
      <c r="H1108" t="n">
        <v>3068615</v>
      </c>
      <c r="I1108">
        <f>DAY(EOMONTH(DATE(VALUE(LEFT(E1108,4)),VALUE(RIGHT(E1108,2)),1),0))</f>
        <v/>
      </c>
      <c r="J1108">
        <f>VALUE(LEFT(E1108,4))*12+VALUE(RIGHT(E1108,2))-1</f>
        <v/>
      </c>
    </row>
    <row r="1109">
      <c r="A1109" t="inlineStr">
        <is>
          <t>Puesto Hernández</t>
        </is>
      </c>
      <c r="B1109" t="inlineStr">
        <is>
          <t>Neuquina</t>
        </is>
      </c>
      <c r="C1109" t="inlineStr">
        <is>
          <t>PETROBRAS ARGENTINA S.A.</t>
        </is>
      </c>
      <c r="D1109" t="inlineStr">
        <is>
          <t>convencional</t>
        </is>
      </c>
      <c r="E1109" t="inlineStr">
        <is>
          <t>2007-06</t>
        </is>
      </c>
      <c r="F1109" t="n">
        <v>116992.4</v>
      </c>
      <c r="G1109" t="n">
        <v>2329911</v>
      </c>
      <c r="H1109" t="n">
        <v>2725799</v>
      </c>
      <c r="I1109">
        <f>DAY(EOMONTH(DATE(VALUE(LEFT(E1109,4)),VALUE(RIGHT(E1109,2)),1),0))</f>
        <v/>
      </c>
      <c r="J1109">
        <f>VALUE(LEFT(E1109,4))*12+VALUE(RIGHT(E1109,2))-1</f>
        <v/>
      </c>
    </row>
    <row r="1110">
      <c r="A1110" t="inlineStr">
        <is>
          <t>Puesto Hernández</t>
        </is>
      </c>
      <c r="B1110" t="inlineStr">
        <is>
          <t>Neuquina</t>
        </is>
      </c>
      <c r="C1110" t="inlineStr">
        <is>
          <t>PETROBRAS ARGENTINA S.A.</t>
        </is>
      </c>
      <c r="D1110" t="inlineStr">
        <is>
          <t>convencional</t>
        </is>
      </c>
      <c r="E1110" t="inlineStr">
        <is>
          <t>2007-07</t>
        </is>
      </c>
      <c r="F1110" t="n">
        <v>118389.6</v>
      </c>
      <c r="G1110" t="n">
        <v>2446147.1</v>
      </c>
      <c r="H1110" t="n">
        <v>3031203</v>
      </c>
      <c r="I1110">
        <f>DAY(EOMONTH(DATE(VALUE(LEFT(E1110,4)),VALUE(RIGHT(E1110,2)),1),0))</f>
        <v/>
      </c>
      <c r="J1110">
        <f>VALUE(LEFT(E1110,4))*12+VALUE(RIGHT(E1110,2))-1</f>
        <v/>
      </c>
    </row>
    <row r="1111">
      <c r="A1111" t="inlineStr">
        <is>
          <t>Puesto Hernández</t>
        </is>
      </c>
      <c r="B1111" t="inlineStr">
        <is>
          <t>Neuquina</t>
        </is>
      </c>
      <c r="C1111" t="inlineStr">
        <is>
          <t>PETROBRAS ARGENTINA S.A.</t>
        </is>
      </c>
      <c r="D1111" t="inlineStr">
        <is>
          <t>convencional</t>
        </is>
      </c>
      <c r="E1111" t="inlineStr">
        <is>
          <t>2007-08</t>
        </is>
      </c>
      <c r="F1111" t="n">
        <v>120590.6</v>
      </c>
      <c r="G1111" t="n">
        <v>2432532.1</v>
      </c>
      <c r="H1111" t="n">
        <v>3037733.1</v>
      </c>
      <c r="I1111">
        <f>DAY(EOMONTH(DATE(VALUE(LEFT(E1111,4)),VALUE(RIGHT(E1111,2)),1),0))</f>
        <v/>
      </c>
      <c r="J1111">
        <f>VALUE(LEFT(E1111,4))*12+VALUE(RIGHT(E1111,2))-1</f>
        <v/>
      </c>
    </row>
    <row r="1112">
      <c r="A1112" t="inlineStr">
        <is>
          <t>Puesto Hernández</t>
        </is>
      </c>
      <c r="B1112" t="inlineStr">
        <is>
          <t>Neuquina</t>
        </is>
      </c>
      <c r="C1112" t="inlineStr">
        <is>
          <t>PETROBRAS ARGENTINA S.A.</t>
        </is>
      </c>
      <c r="D1112" t="inlineStr">
        <is>
          <t>convencional</t>
        </is>
      </c>
      <c r="E1112" t="inlineStr">
        <is>
          <t>2007-09</t>
        </is>
      </c>
      <c r="F1112" t="n">
        <v>117428.7</v>
      </c>
      <c r="G1112" t="n">
        <v>2346924</v>
      </c>
      <c r="H1112" t="n">
        <v>2880323</v>
      </c>
      <c r="I1112">
        <f>DAY(EOMONTH(DATE(VALUE(LEFT(E1112,4)),VALUE(RIGHT(E1112,2)),1),0))</f>
        <v/>
      </c>
      <c r="J1112">
        <f>VALUE(LEFT(E1112,4))*12+VALUE(RIGHT(E1112,2))-1</f>
        <v/>
      </c>
    </row>
    <row r="1113">
      <c r="A1113" t="inlineStr">
        <is>
          <t>Puesto Hernández</t>
        </is>
      </c>
      <c r="B1113" t="inlineStr">
        <is>
          <t>Neuquina</t>
        </is>
      </c>
      <c r="C1113" t="inlineStr">
        <is>
          <t>PETROBRAS ARGENTINA S.A.</t>
        </is>
      </c>
      <c r="D1113" t="inlineStr">
        <is>
          <t>convencional</t>
        </is>
      </c>
      <c r="E1113" t="inlineStr">
        <is>
          <t>2007-10</t>
        </is>
      </c>
      <c r="F1113" t="n">
        <v>119444</v>
      </c>
      <c r="G1113" t="n">
        <v>2424568</v>
      </c>
      <c r="H1113" t="n">
        <v>2961818</v>
      </c>
      <c r="I1113">
        <f>DAY(EOMONTH(DATE(VALUE(LEFT(E1113,4)),VALUE(RIGHT(E1113,2)),1),0))</f>
        <v/>
      </c>
      <c r="J1113">
        <f>VALUE(LEFT(E1113,4))*12+VALUE(RIGHT(E1113,2))-1</f>
        <v/>
      </c>
    </row>
    <row r="1114">
      <c r="A1114" t="inlineStr">
        <is>
          <t>Puesto Hernández</t>
        </is>
      </c>
      <c r="B1114" t="inlineStr">
        <is>
          <t>Neuquina</t>
        </is>
      </c>
      <c r="C1114" t="inlineStr">
        <is>
          <t>PETROBRAS ARGENTINA S.A.</t>
        </is>
      </c>
      <c r="D1114" t="inlineStr">
        <is>
          <t>convencional</t>
        </is>
      </c>
      <c r="E1114" t="inlineStr">
        <is>
          <t>2007-11</t>
        </is>
      </c>
      <c r="F1114" t="n">
        <v>114341.2</v>
      </c>
      <c r="G1114" t="n">
        <v>2321170.6</v>
      </c>
      <c r="H1114" t="n">
        <v>2856627</v>
      </c>
      <c r="I1114">
        <f>DAY(EOMONTH(DATE(VALUE(LEFT(E1114,4)),VALUE(RIGHT(E1114,2)),1),0))</f>
        <v/>
      </c>
      <c r="J1114">
        <f>VALUE(LEFT(E1114,4))*12+VALUE(RIGHT(E1114,2))-1</f>
        <v/>
      </c>
    </row>
    <row r="1115">
      <c r="A1115" t="inlineStr">
        <is>
          <t>Puesto Hernández</t>
        </is>
      </c>
      <c r="B1115" t="inlineStr">
        <is>
          <t>Neuquina</t>
        </is>
      </c>
      <c r="C1115" t="inlineStr">
        <is>
          <t>PETROBRAS ARGENTINA S.A.</t>
        </is>
      </c>
      <c r="D1115" t="inlineStr">
        <is>
          <t>convencional</t>
        </is>
      </c>
      <c r="E1115" t="inlineStr">
        <is>
          <t>2007-12</t>
        </is>
      </c>
      <c r="F1115" t="n">
        <v>111975.3</v>
      </c>
      <c r="G1115" t="n">
        <v>2331647.5</v>
      </c>
      <c r="H1115" t="n">
        <v>2820592</v>
      </c>
      <c r="I1115">
        <f>DAY(EOMONTH(DATE(VALUE(LEFT(E1115,4)),VALUE(RIGHT(E1115,2)),1),0))</f>
        <v/>
      </c>
      <c r="J1115">
        <f>VALUE(LEFT(E1115,4))*12+VALUE(RIGHT(E1115,2))-1</f>
        <v/>
      </c>
    </row>
    <row r="1116">
      <c r="A1116" t="inlineStr">
        <is>
          <t>Puesto Hernández</t>
        </is>
      </c>
      <c r="B1116" t="inlineStr">
        <is>
          <t>Neuquina</t>
        </is>
      </c>
      <c r="C1116" t="inlineStr">
        <is>
          <t>PETROBRAS ARGENTINA S.A.</t>
        </is>
      </c>
      <c r="D1116" t="inlineStr">
        <is>
          <t>convencional</t>
        </is>
      </c>
      <c r="E1116" t="inlineStr">
        <is>
          <t>2008-01</t>
        </is>
      </c>
      <c r="F1116" t="n">
        <v>114607.5</v>
      </c>
      <c r="G1116" t="n">
        <v>2318271.3</v>
      </c>
      <c r="H1116" t="n">
        <v>2788726</v>
      </c>
      <c r="I1116">
        <f>DAY(EOMONTH(DATE(VALUE(LEFT(E1116,4)),VALUE(RIGHT(E1116,2)),1),0))</f>
        <v/>
      </c>
      <c r="J1116">
        <f>VALUE(LEFT(E1116,4))*12+VALUE(RIGHT(E1116,2))-1</f>
        <v/>
      </c>
    </row>
    <row r="1117">
      <c r="A1117" t="inlineStr">
        <is>
          <t>Puesto Hernández</t>
        </is>
      </c>
      <c r="B1117" t="inlineStr">
        <is>
          <t>Neuquina</t>
        </is>
      </c>
      <c r="C1117" t="inlineStr">
        <is>
          <t>PETROBRAS ARGENTINA S.A.</t>
        </is>
      </c>
      <c r="D1117" t="inlineStr">
        <is>
          <t>convencional</t>
        </is>
      </c>
      <c r="E1117" t="inlineStr">
        <is>
          <t>2008-02</t>
        </is>
      </c>
      <c r="F1117" t="n">
        <v>107095.7</v>
      </c>
      <c r="G1117" t="n">
        <v>2098328.7</v>
      </c>
      <c r="H1117" t="n">
        <v>2440688</v>
      </c>
      <c r="I1117">
        <f>DAY(EOMONTH(DATE(VALUE(LEFT(E1117,4)),VALUE(RIGHT(E1117,2)),1),0))</f>
        <v/>
      </c>
      <c r="J1117">
        <f>VALUE(LEFT(E1117,4))*12+VALUE(RIGHT(E1117,2))-1</f>
        <v/>
      </c>
    </row>
    <row r="1118">
      <c r="A1118" t="inlineStr">
        <is>
          <t>Puesto Hernández</t>
        </is>
      </c>
      <c r="B1118" t="inlineStr">
        <is>
          <t>Neuquina</t>
        </is>
      </c>
      <c r="C1118" t="inlineStr">
        <is>
          <t>PETROBRAS ARGENTINA S.A.</t>
        </is>
      </c>
      <c r="D1118" t="inlineStr">
        <is>
          <t>convencional</t>
        </is>
      </c>
      <c r="E1118" t="inlineStr">
        <is>
          <t>2008-03</t>
        </is>
      </c>
      <c r="F1118" t="n">
        <v>112084.9</v>
      </c>
      <c r="G1118" t="n">
        <v>2223766.2</v>
      </c>
      <c r="H1118" t="n">
        <v>2590584</v>
      </c>
      <c r="I1118">
        <f>DAY(EOMONTH(DATE(VALUE(LEFT(E1118,4)),VALUE(RIGHT(E1118,2)),1),0))</f>
        <v/>
      </c>
      <c r="J1118">
        <f>VALUE(LEFT(E1118,4))*12+VALUE(RIGHT(E1118,2))-1</f>
        <v/>
      </c>
    </row>
    <row r="1119">
      <c r="A1119" t="inlineStr">
        <is>
          <t>Puesto Hernández</t>
        </is>
      </c>
      <c r="B1119" t="inlineStr">
        <is>
          <t>Neuquina</t>
        </is>
      </c>
      <c r="C1119" t="inlineStr">
        <is>
          <t>PETROBRAS ARGENTINA S.A.</t>
        </is>
      </c>
      <c r="D1119" t="inlineStr">
        <is>
          <t>convencional</t>
        </is>
      </c>
      <c r="E1119" t="inlineStr">
        <is>
          <t>2008-04</t>
        </is>
      </c>
      <c r="F1119" t="n">
        <v>107137.9</v>
      </c>
      <c r="G1119" t="n">
        <v>2129784.9</v>
      </c>
      <c r="H1119" t="n">
        <v>2487217.3</v>
      </c>
      <c r="I1119">
        <f>DAY(EOMONTH(DATE(VALUE(LEFT(E1119,4)),VALUE(RIGHT(E1119,2)),1),0))</f>
        <v/>
      </c>
      <c r="J1119">
        <f>VALUE(LEFT(E1119,4))*12+VALUE(RIGHT(E1119,2))-1</f>
        <v/>
      </c>
    </row>
    <row r="1120">
      <c r="A1120" t="inlineStr">
        <is>
          <t>Puesto Hernández</t>
        </is>
      </c>
      <c r="B1120" t="inlineStr">
        <is>
          <t>Neuquina</t>
        </is>
      </c>
      <c r="C1120" t="inlineStr">
        <is>
          <t>PETROBRAS ARGENTINA S.A.</t>
        </is>
      </c>
      <c r="D1120" t="inlineStr">
        <is>
          <t>convencional</t>
        </is>
      </c>
      <c r="E1120" t="inlineStr">
        <is>
          <t>2008-05</t>
        </is>
      </c>
      <c r="F1120" t="n">
        <v>108769.1</v>
      </c>
      <c r="G1120" t="n">
        <v>2165042.5</v>
      </c>
      <c r="H1120" t="n">
        <v>2525675.5</v>
      </c>
      <c r="I1120">
        <f>DAY(EOMONTH(DATE(VALUE(LEFT(E1120,4)),VALUE(RIGHT(E1120,2)),1),0))</f>
        <v/>
      </c>
      <c r="J1120">
        <f>VALUE(LEFT(E1120,4))*12+VALUE(RIGHT(E1120,2))-1</f>
        <v/>
      </c>
    </row>
    <row r="1121">
      <c r="A1121" t="inlineStr">
        <is>
          <t>Puesto Hernández</t>
        </is>
      </c>
      <c r="B1121" t="inlineStr">
        <is>
          <t>Neuquina</t>
        </is>
      </c>
      <c r="C1121" t="inlineStr">
        <is>
          <t>PETROBRAS ARGENTINA S.A.</t>
        </is>
      </c>
      <c r="D1121" t="inlineStr">
        <is>
          <t>convencional</t>
        </is>
      </c>
      <c r="E1121" t="inlineStr">
        <is>
          <t>2008-06</t>
        </is>
      </c>
      <c r="F1121" t="n">
        <v>103899.2</v>
      </c>
      <c r="G1121" t="n">
        <v>2146587.5</v>
      </c>
      <c r="H1121" t="n">
        <v>2493421.7</v>
      </c>
      <c r="I1121">
        <f>DAY(EOMONTH(DATE(VALUE(LEFT(E1121,4)),VALUE(RIGHT(E1121,2)),1),0))</f>
        <v/>
      </c>
      <c r="J1121">
        <f>VALUE(LEFT(E1121,4))*12+VALUE(RIGHT(E1121,2))-1</f>
        <v/>
      </c>
    </row>
    <row r="1122">
      <c r="A1122" t="inlineStr">
        <is>
          <t>Puesto Hernández</t>
        </is>
      </c>
      <c r="B1122" t="inlineStr">
        <is>
          <t>Neuquina</t>
        </is>
      </c>
      <c r="C1122" t="inlineStr">
        <is>
          <t>PETROBRAS ARGENTINA S.A.</t>
        </is>
      </c>
      <c r="D1122" t="inlineStr">
        <is>
          <t>convencional</t>
        </is>
      </c>
      <c r="E1122" t="inlineStr">
        <is>
          <t>2008-07</t>
        </is>
      </c>
      <c r="F1122" t="n">
        <v>106521.6</v>
      </c>
      <c r="G1122" t="n">
        <v>2253273.2</v>
      </c>
      <c r="H1122" t="n">
        <v>2599101.4</v>
      </c>
      <c r="I1122">
        <f>DAY(EOMONTH(DATE(VALUE(LEFT(E1122,4)),VALUE(RIGHT(E1122,2)),1),0))</f>
        <v/>
      </c>
      <c r="J1122">
        <f>VALUE(LEFT(E1122,4))*12+VALUE(RIGHT(E1122,2))-1</f>
        <v/>
      </c>
    </row>
    <row r="1123">
      <c r="A1123" t="inlineStr">
        <is>
          <t>Puesto Hernández</t>
        </is>
      </c>
      <c r="B1123" t="inlineStr">
        <is>
          <t>Neuquina</t>
        </is>
      </c>
      <c r="C1123" t="inlineStr">
        <is>
          <t>PETROBRAS ARGENTINA S.A.</t>
        </is>
      </c>
      <c r="D1123" t="inlineStr">
        <is>
          <t>convencional</t>
        </is>
      </c>
      <c r="E1123" t="inlineStr">
        <is>
          <t>2008-08</t>
        </is>
      </c>
      <c r="F1123" t="n">
        <v>105181.6</v>
      </c>
      <c r="G1123" t="n">
        <v>2314897.4</v>
      </c>
      <c r="H1123" t="n">
        <v>2648261.2</v>
      </c>
      <c r="I1123">
        <f>DAY(EOMONTH(DATE(VALUE(LEFT(E1123,4)),VALUE(RIGHT(E1123,2)),1),0))</f>
        <v/>
      </c>
      <c r="J1123">
        <f>VALUE(LEFT(E1123,4))*12+VALUE(RIGHT(E1123,2))-1</f>
        <v/>
      </c>
    </row>
    <row r="1124">
      <c r="A1124" t="inlineStr">
        <is>
          <t>Puesto Hernández</t>
        </is>
      </c>
      <c r="B1124" t="inlineStr">
        <is>
          <t>Neuquina</t>
        </is>
      </c>
      <c r="C1124" t="inlineStr">
        <is>
          <t>PETROBRAS ARGENTINA S.A.</t>
        </is>
      </c>
      <c r="D1124" t="inlineStr">
        <is>
          <t>convencional</t>
        </is>
      </c>
      <c r="E1124" t="inlineStr">
        <is>
          <t>2008-09</t>
        </is>
      </c>
      <c r="F1124" t="n">
        <v>99883.8</v>
      </c>
      <c r="G1124" t="n">
        <v>2327287.4</v>
      </c>
      <c r="H1124" t="n">
        <v>2699051</v>
      </c>
      <c r="I1124">
        <f>DAY(EOMONTH(DATE(VALUE(LEFT(E1124,4)),VALUE(RIGHT(E1124,2)),1),0))</f>
        <v/>
      </c>
      <c r="J1124">
        <f>VALUE(LEFT(E1124,4))*12+VALUE(RIGHT(E1124,2))-1</f>
        <v/>
      </c>
    </row>
    <row r="1125">
      <c r="A1125" t="inlineStr">
        <is>
          <t>Puesto Hernández</t>
        </is>
      </c>
      <c r="B1125" t="inlineStr">
        <is>
          <t>Neuquina</t>
        </is>
      </c>
      <c r="C1125" t="inlineStr">
        <is>
          <t>PETROBRAS ARGENTINA S.A.</t>
        </is>
      </c>
      <c r="D1125" t="inlineStr">
        <is>
          <t>convencional</t>
        </is>
      </c>
      <c r="E1125" t="inlineStr">
        <is>
          <t>2008-10</t>
        </is>
      </c>
      <c r="F1125" t="n">
        <v>101888.7</v>
      </c>
      <c r="G1125" t="n">
        <v>2341067.9</v>
      </c>
      <c r="H1125" t="n">
        <v>2710944</v>
      </c>
      <c r="I1125">
        <f>DAY(EOMONTH(DATE(VALUE(LEFT(E1125,4)),VALUE(RIGHT(E1125,2)),1),0))</f>
        <v/>
      </c>
      <c r="J1125">
        <f>VALUE(LEFT(E1125,4))*12+VALUE(RIGHT(E1125,2))-1</f>
        <v/>
      </c>
    </row>
    <row r="1126">
      <c r="A1126" t="inlineStr">
        <is>
          <t>Puesto Hernández</t>
        </is>
      </c>
      <c r="B1126" t="inlineStr">
        <is>
          <t>Neuquina</t>
        </is>
      </c>
      <c r="C1126" t="inlineStr">
        <is>
          <t>PETROBRAS ARGENTINA S.A.</t>
        </is>
      </c>
      <c r="D1126" t="inlineStr">
        <is>
          <t>convencional</t>
        </is>
      </c>
      <c r="E1126" t="inlineStr">
        <is>
          <t>2008-11</t>
        </is>
      </c>
      <c r="F1126" t="n">
        <v>99579</v>
      </c>
      <c r="G1126" t="n">
        <v>2284192.5</v>
      </c>
      <c r="H1126" t="n">
        <v>2651499.2</v>
      </c>
      <c r="I1126">
        <f>DAY(EOMONTH(DATE(VALUE(LEFT(E1126,4)),VALUE(RIGHT(E1126,2)),1),0))</f>
        <v/>
      </c>
      <c r="J1126">
        <f>VALUE(LEFT(E1126,4))*12+VALUE(RIGHT(E1126,2))-1</f>
        <v/>
      </c>
    </row>
    <row r="1127">
      <c r="A1127" t="inlineStr">
        <is>
          <t>Puesto Hernández</t>
        </is>
      </c>
      <c r="B1127" t="inlineStr">
        <is>
          <t>Neuquina</t>
        </is>
      </c>
      <c r="C1127" t="inlineStr">
        <is>
          <t>PETROBRAS ARGENTINA S.A.</t>
        </is>
      </c>
      <c r="D1127" t="inlineStr">
        <is>
          <t>convencional</t>
        </is>
      </c>
      <c r="E1127" t="inlineStr">
        <is>
          <t>2008-12</t>
        </is>
      </c>
      <c r="F1127" t="n">
        <v>100793.4</v>
      </c>
      <c r="G1127" t="n">
        <v>2363219</v>
      </c>
      <c r="H1127" t="n">
        <v>2740862</v>
      </c>
      <c r="I1127">
        <f>DAY(EOMONTH(DATE(VALUE(LEFT(E1127,4)),VALUE(RIGHT(E1127,2)),1),0))</f>
        <v/>
      </c>
      <c r="J1127">
        <f>VALUE(LEFT(E1127,4))*12+VALUE(RIGHT(E1127,2))-1</f>
        <v/>
      </c>
    </row>
    <row r="1128">
      <c r="A1128" t="inlineStr">
        <is>
          <t>Puesto Hernández</t>
        </is>
      </c>
      <c r="B1128" t="inlineStr">
        <is>
          <t>Neuquina</t>
        </is>
      </c>
      <c r="C1128" t="inlineStr">
        <is>
          <t>PETROBRAS ARGENTINA S.A.</t>
        </is>
      </c>
      <c r="D1128" t="inlineStr">
        <is>
          <t>convencional</t>
        </is>
      </c>
      <c r="E1128" t="inlineStr">
        <is>
          <t>2009-01</t>
        </is>
      </c>
      <c r="F1128" t="n">
        <v>97919.7</v>
      </c>
      <c r="G1128" t="n">
        <v>2333942.7</v>
      </c>
      <c r="H1128" t="n">
        <v>2693132</v>
      </c>
      <c r="I1128">
        <f>DAY(EOMONTH(DATE(VALUE(LEFT(E1128,4)),VALUE(RIGHT(E1128,2)),1),0))</f>
        <v/>
      </c>
      <c r="J1128">
        <f>VALUE(LEFT(E1128,4))*12+VALUE(RIGHT(E1128,2))-1</f>
        <v/>
      </c>
    </row>
    <row r="1129">
      <c r="A1129" t="inlineStr">
        <is>
          <t>Puesto Hernández</t>
        </is>
      </c>
      <c r="B1129" t="inlineStr">
        <is>
          <t>Neuquina</t>
        </is>
      </c>
      <c r="C1129" t="inlineStr">
        <is>
          <t>PETROBRAS ARGENTINA S.A.</t>
        </is>
      </c>
      <c r="D1129" t="inlineStr">
        <is>
          <t>convencional</t>
        </is>
      </c>
      <c r="E1129" t="inlineStr">
        <is>
          <t>2009-02</t>
        </is>
      </c>
      <c r="F1129" t="n">
        <v>89337.39999999999</v>
      </c>
      <c r="G1129" t="n">
        <v>2153008.8</v>
      </c>
      <c r="H1129" t="n">
        <v>2489719.5</v>
      </c>
      <c r="I1129">
        <f>DAY(EOMONTH(DATE(VALUE(LEFT(E1129,4)),VALUE(RIGHT(E1129,2)),1),0))</f>
        <v/>
      </c>
      <c r="J1129">
        <f>VALUE(LEFT(E1129,4))*12+VALUE(RIGHT(E1129,2))-1</f>
        <v/>
      </c>
    </row>
    <row r="1130">
      <c r="A1130" t="inlineStr">
        <is>
          <t>Puesto Hernández</t>
        </is>
      </c>
      <c r="B1130" t="inlineStr">
        <is>
          <t>Neuquina</t>
        </is>
      </c>
      <c r="C1130" t="inlineStr">
        <is>
          <t>PETROBRAS ARGENTINA S.A.</t>
        </is>
      </c>
      <c r="D1130" t="inlineStr">
        <is>
          <t>convencional</t>
        </is>
      </c>
      <c r="E1130" t="inlineStr">
        <is>
          <t>2009-03</t>
        </is>
      </c>
      <c r="F1130" t="n">
        <v>98344.89999999999</v>
      </c>
      <c r="G1130" t="n">
        <v>2378098.2</v>
      </c>
      <c r="H1130" t="n">
        <v>2745749.6</v>
      </c>
      <c r="I1130">
        <f>DAY(EOMONTH(DATE(VALUE(LEFT(E1130,4)),VALUE(RIGHT(E1130,2)),1),0))</f>
        <v/>
      </c>
      <c r="J1130">
        <f>VALUE(LEFT(E1130,4))*12+VALUE(RIGHT(E1130,2))-1</f>
        <v/>
      </c>
    </row>
    <row r="1131">
      <c r="A1131" t="inlineStr">
        <is>
          <t>Puesto Hernández</t>
        </is>
      </c>
      <c r="B1131" t="inlineStr">
        <is>
          <t>Neuquina</t>
        </is>
      </c>
      <c r="C1131" t="inlineStr">
        <is>
          <t>PETROBRAS ARGENTINA S.A.</t>
        </is>
      </c>
      <c r="D1131" t="inlineStr">
        <is>
          <t>convencional</t>
        </is>
      </c>
      <c r="E1131" t="inlineStr">
        <is>
          <t>2009-04</t>
        </is>
      </c>
      <c r="F1131" t="n">
        <v>92140.89999999999</v>
      </c>
      <c r="G1131" t="n">
        <v>2296641.8</v>
      </c>
      <c r="H1131" t="n">
        <v>2659713</v>
      </c>
      <c r="I1131">
        <f>DAY(EOMONTH(DATE(VALUE(LEFT(E1131,4)),VALUE(RIGHT(E1131,2)),1),0))</f>
        <v/>
      </c>
      <c r="J1131">
        <f>VALUE(LEFT(E1131,4))*12+VALUE(RIGHT(E1131,2))-1</f>
        <v/>
      </c>
    </row>
    <row r="1132">
      <c r="A1132" t="inlineStr">
        <is>
          <t>Puesto Hernández</t>
        </is>
      </c>
      <c r="B1132" t="inlineStr">
        <is>
          <t>Neuquina</t>
        </is>
      </c>
      <c r="C1132" t="inlineStr">
        <is>
          <t>PETROBRAS ARGENTINA S.A.</t>
        </is>
      </c>
      <c r="D1132" t="inlineStr">
        <is>
          <t>convencional</t>
        </is>
      </c>
      <c r="E1132" t="inlineStr">
        <is>
          <t>2009-05</t>
        </is>
      </c>
      <c r="F1132" t="n">
        <v>92598</v>
      </c>
      <c r="G1132" t="n">
        <v>2363850.4</v>
      </c>
      <c r="H1132" t="n">
        <v>2716331.8</v>
      </c>
      <c r="I1132">
        <f>DAY(EOMONTH(DATE(VALUE(LEFT(E1132,4)),VALUE(RIGHT(E1132,2)),1),0))</f>
        <v/>
      </c>
      <c r="J1132">
        <f>VALUE(LEFT(E1132,4))*12+VALUE(RIGHT(E1132,2))-1</f>
        <v/>
      </c>
    </row>
    <row r="1133">
      <c r="A1133" t="inlineStr">
        <is>
          <t>Puesto Hernández</t>
        </is>
      </c>
      <c r="B1133" t="inlineStr">
        <is>
          <t>Neuquina</t>
        </is>
      </c>
      <c r="C1133" t="inlineStr">
        <is>
          <t>PETROBRAS ARGENTINA S.A.</t>
        </is>
      </c>
      <c r="D1133" t="inlineStr">
        <is>
          <t>convencional</t>
        </is>
      </c>
      <c r="E1133" t="inlineStr">
        <is>
          <t>2009-06</t>
        </is>
      </c>
      <c r="F1133" t="n">
        <v>89958</v>
      </c>
      <c r="G1133" t="n">
        <v>2310331.3</v>
      </c>
      <c r="H1133" t="n">
        <v>2667623.4</v>
      </c>
      <c r="I1133">
        <f>DAY(EOMONTH(DATE(VALUE(LEFT(E1133,4)),VALUE(RIGHT(E1133,2)),1),0))</f>
        <v/>
      </c>
      <c r="J1133">
        <f>VALUE(LEFT(E1133,4))*12+VALUE(RIGHT(E1133,2))-1</f>
        <v/>
      </c>
    </row>
    <row r="1134">
      <c r="A1134" t="inlineStr">
        <is>
          <t>Puesto Hernández</t>
        </is>
      </c>
      <c r="B1134" t="inlineStr">
        <is>
          <t>Neuquina</t>
        </is>
      </c>
      <c r="C1134" t="inlineStr">
        <is>
          <t>PETROBRAS ARGENTINA S.A.</t>
        </is>
      </c>
      <c r="D1134" t="inlineStr">
        <is>
          <t>convencional</t>
        </is>
      </c>
      <c r="E1134" t="inlineStr">
        <is>
          <t>2009-07</t>
        </is>
      </c>
      <c r="F1134" t="n">
        <v>80963.8</v>
      </c>
      <c r="G1134" t="n">
        <v>2180152.6</v>
      </c>
      <c r="H1134" t="n">
        <v>2512323</v>
      </c>
      <c r="I1134">
        <f>DAY(EOMONTH(DATE(VALUE(LEFT(E1134,4)),VALUE(RIGHT(E1134,2)),1),0))</f>
        <v/>
      </c>
      <c r="J1134">
        <f>VALUE(LEFT(E1134,4))*12+VALUE(RIGHT(E1134,2))-1</f>
        <v/>
      </c>
    </row>
    <row r="1135">
      <c r="A1135" t="inlineStr">
        <is>
          <t>Puesto Hernández</t>
        </is>
      </c>
      <c r="B1135" t="inlineStr">
        <is>
          <t>Neuquina</t>
        </is>
      </c>
      <c r="C1135" t="inlineStr">
        <is>
          <t>PETROBRAS ARGENTINA S.A.</t>
        </is>
      </c>
      <c r="D1135" t="inlineStr">
        <is>
          <t>convencional</t>
        </is>
      </c>
      <c r="E1135" t="inlineStr">
        <is>
          <t>2009-08</t>
        </is>
      </c>
      <c r="F1135" t="n">
        <v>91222.5</v>
      </c>
      <c r="G1135" t="n">
        <v>2363673.3</v>
      </c>
      <c r="H1135" t="n">
        <v>2718735.5</v>
      </c>
      <c r="I1135">
        <f>DAY(EOMONTH(DATE(VALUE(LEFT(E1135,4)),VALUE(RIGHT(E1135,2)),1),0))</f>
        <v/>
      </c>
      <c r="J1135">
        <f>VALUE(LEFT(E1135,4))*12+VALUE(RIGHT(E1135,2))-1</f>
        <v/>
      </c>
    </row>
    <row r="1136">
      <c r="A1136" t="inlineStr">
        <is>
          <t>Puesto Hernández</t>
        </is>
      </c>
      <c r="B1136" t="inlineStr">
        <is>
          <t>Neuquina</t>
        </is>
      </c>
      <c r="C1136" t="inlineStr">
        <is>
          <t>PETROBRAS ARGENTINA S.A.</t>
        </is>
      </c>
      <c r="D1136" t="inlineStr">
        <is>
          <t>convencional</t>
        </is>
      </c>
      <c r="E1136" t="inlineStr">
        <is>
          <t>2009-09</t>
        </is>
      </c>
      <c r="F1136" t="n">
        <v>84269.10000000001</v>
      </c>
      <c r="G1136" t="n">
        <v>2189719.1</v>
      </c>
      <c r="H1136" t="n">
        <v>2511775.1</v>
      </c>
      <c r="I1136">
        <f>DAY(EOMONTH(DATE(VALUE(LEFT(E1136,4)),VALUE(RIGHT(E1136,2)),1),0))</f>
        <v/>
      </c>
      <c r="J1136">
        <f>VALUE(LEFT(E1136,4))*12+VALUE(RIGHT(E1136,2))-1</f>
        <v/>
      </c>
    </row>
    <row r="1137">
      <c r="A1137" t="inlineStr">
        <is>
          <t>Puesto Hernández</t>
        </is>
      </c>
      <c r="B1137" t="inlineStr">
        <is>
          <t>Neuquina</t>
        </is>
      </c>
      <c r="C1137" t="inlineStr">
        <is>
          <t>PETROBRAS ARGENTINA S.A.</t>
        </is>
      </c>
      <c r="D1137" t="inlineStr">
        <is>
          <t>convencional</t>
        </is>
      </c>
      <c r="E1137" t="inlineStr">
        <is>
          <t>2009-10</t>
        </is>
      </c>
      <c r="F1137" t="n">
        <v>89506.89999999999</v>
      </c>
      <c r="G1137" t="n">
        <v>2303000.6</v>
      </c>
      <c r="H1137" t="n">
        <v>2639827.4</v>
      </c>
      <c r="I1137">
        <f>DAY(EOMONTH(DATE(VALUE(LEFT(E1137,4)),VALUE(RIGHT(E1137,2)),1),0))</f>
        <v/>
      </c>
      <c r="J1137">
        <f>VALUE(LEFT(E1137,4))*12+VALUE(RIGHT(E1137,2))-1</f>
        <v/>
      </c>
    </row>
    <row r="1138">
      <c r="A1138" t="inlineStr">
        <is>
          <t>Puesto Hernández</t>
        </is>
      </c>
      <c r="B1138" t="inlineStr">
        <is>
          <t>Neuquina</t>
        </is>
      </c>
      <c r="C1138" t="inlineStr">
        <is>
          <t>PETROBRAS ARGENTINA S.A.</t>
        </is>
      </c>
      <c r="D1138" t="inlineStr">
        <is>
          <t>convencional</t>
        </is>
      </c>
      <c r="E1138" t="inlineStr">
        <is>
          <t>2009-11</t>
        </is>
      </c>
      <c r="F1138" t="n">
        <v>84218.89999999999</v>
      </c>
      <c r="G1138" t="n">
        <v>2208565.3</v>
      </c>
      <c r="H1138" t="n">
        <v>2546430.5</v>
      </c>
      <c r="I1138">
        <f>DAY(EOMONTH(DATE(VALUE(LEFT(E1138,4)),VALUE(RIGHT(E1138,2)),1),0))</f>
        <v/>
      </c>
      <c r="J1138">
        <f>VALUE(LEFT(E1138,4))*12+VALUE(RIGHT(E1138,2))-1</f>
        <v/>
      </c>
    </row>
    <row r="1139">
      <c r="A1139" t="inlineStr">
        <is>
          <t>Puesto Hernández</t>
        </is>
      </c>
      <c r="B1139" t="inlineStr">
        <is>
          <t>Neuquina</t>
        </is>
      </c>
      <c r="C1139" t="inlineStr">
        <is>
          <t>PETROBRAS ARGENTINA S.A.</t>
        </is>
      </c>
      <c r="D1139" t="inlineStr">
        <is>
          <t>convencional</t>
        </is>
      </c>
      <c r="E1139" t="inlineStr">
        <is>
          <t>2009-12</t>
        </is>
      </c>
      <c r="F1139" t="n">
        <v>83572.89999999999</v>
      </c>
      <c r="G1139" t="n">
        <v>2220433.7</v>
      </c>
      <c r="H1139" t="n">
        <v>2539110.3</v>
      </c>
      <c r="I1139">
        <f>DAY(EOMONTH(DATE(VALUE(LEFT(E1139,4)),VALUE(RIGHT(E1139,2)),1),0))</f>
        <v/>
      </c>
      <c r="J1139">
        <f>VALUE(LEFT(E1139,4))*12+VALUE(RIGHT(E1139,2))-1</f>
        <v/>
      </c>
    </row>
    <row r="1140">
      <c r="A1140" t="inlineStr">
        <is>
          <t>Puesto Hernández</t>
        </is>
      </c>
      <c r="B1140" t="inlineStr">
        <is>
          <t>Neuquina</t>
        </is>
      </c>
      <c r="C1140" t="inlineStr">
        <is>
          <t>PETROBRAS ARGENTINA S.A.</t>
        </is>
      </c>
      <c r="D1140" t="inlineStr">
        <is>
          <t>convencional</t>
        </is>
      </c>
      <c r="E1140" t="inlineStr">
        <is>
          <t>2010-01</t>
        </is>
      </c>
      <c r="F1140" t="n">
        <v>82761.5</v>
      </c>
      <c r="G1140" t="n">
        <v>2239972.7</v>
      </c>
      <c r="H1140" t="n">
        <v>2565533.9</v>
      </c>
      <c r="I1140">
        <f>DAY(EOMONTH(DATE(VALUE(LEFT(E1140,4)),VALUE(RIGHT(E1140,2)),1),0))</f>
        <v/>
      </c>
      <c r="J1140">
        <f>VALUE(LEFT(E1140,4))*12+VALUE(RIGHT(E1140,2))-1</f>
        <v/>
      </c>
    </row>
    <row r="1141">
      <c r="A1141" t="inlineStr">
        <is>
          <t>Puesto Hernández</t>
        </is>
      </c>
      <c r="B1141" t="inlineStr">
        <is>
          <t>Neuquina</t>
        </is>
      </c>
      <c r="C1141" t="inlineStr">
        <is>
          <t>PETROBRAS ARGENTINA S.A.</t>
        </is>
      </c>
      <c r="D1141" t="inlineStr">
        <is>
          <t>convencional</t>
        </is>
      </c>
      <c r="E1141" t="inlineStr">
        <is>
          <t>2010-02</t>
        </is>
      </c>
      <c r="F1141" t="n">
        <v>74161.60000000001</v>
      </c>
      <c r="G1141" t="n">
        <v>2059242</v>
      </c>
      <c r="H1141" t="n">
        <v>2344159.1</v>
      </c>
      <c r="I1141">
        <f>DAY(EOMONTH(DATE(VALUE(LEFT(E1141,4)),VALUE(RIGHT(E1141,2)),1),0))</f>
        <v/>
      </c>
      <c r="J1141">
        <f>VALUE(LEFT(E1141,4))*12+VALUE(RIGHT(E1141,2))-1</f>
        <v/>
      </c>
    </row>
    <row r="1142">
      <c r="A1142" t="inlineStr">
        <is>
          <t>Puesto Hernández</t>
        </is>
      </c>
      <c r="B1142" t="inlineStr">
        <is>
          <t>Neuquina</t>
        </is>
      </c>
      <c r="C1142" t="inlineStr">
        <is>
          <t>PETROBRAS ARGENTINA S.A.</t>
        </is>
      </c>
      <c r="D1142" t="inlineStr">
        <is>
          <t>convencional</t>
        </is>
      </c>
      <c r="E1142" t="inlineStr">
        <is>
          <t>2010-03</t>
        </is>
      </c>
      <c r="F1142" t="n">
        <v>80934.89999999999</v>
      </c>
      <c r="G1142" t="n">
        <v>2221906.7</v>
      </c>
      <c r="H1142" t="n">
        <v>2546540.1</v>
      </c>
      <c r="I1142">
        <f>DAY(EOMONTH(DATE(VALUE(LEFT(E1142,4)),VALUE(RIGHT(E1142,2)),1),0))</f>
        <v/>
      </c>
      <c r="J1142">
        <f>VALUE(LEFT(E1142,4))*12+VALUE(RIGHT(E1142,2))-1</f>
        <v/>
      </c>
    </row>
    <row r="1143">
      <c r="A1143" t="inlineStr">
        <is>
          <t>Puesto Hernández</t>
        </is>
      </c>
      <c r="B1143" t="inlineStr">
        <is>
          <t>Neuquina</t>
        </is>
      </c>
      <c r="C1143" t="inlineStr">
        <is>
          <t>PETROBRAS ARGENTINA S.A.</t>
        </is>
      </c>
      <c r="D1143" t="inlineStr">
        <is>
          <t>convencional</t>
        </is>
      </c>
      <c r="E1143" t="inlineStr">
        <is>
          <t>2010-04</t>
        </is>
      </c>
      <c r="F1143" t="n">
        <v>77720.7</v>
      </c>
      <c r="G1143" t="n">
        <v>2148193.2</v>
      </c>
      <c r="H1143" t="n">
        <v>2477369.8</v>
      </c>
      <c r="I1143">
        <f>DAY(EOMONTH(DATE(VALUE(LEFT(E1143,4)),VALUE(RIGHT(E1143,2)),1),0))</f>
        <v/>
      </c>
      <c r="J1143">
        <f>VALUE(LEFT(E1143,4))*12+VALUE(RIGHT(E1143,2))-1</f>
        <v/>
      </c>
    </row>
    <row r="1144">
      <c r="A1144" t="inlineStr">
        <is>
          <t>Puesto Hernández</t>
        </is>
      </c>
      <c r="B1144" t="inlineStr">
        <is>
          <t>Neuquina</t>
        </is>
      </c>
      <c r="C1144" t="inlineStr">
        <is>
          <t>PETROBRAS ARGENTINA S.A.</t>
        </is>
      </c>
      <c r="D1144" t="inlineStr">
        <is>
          <t>convencional</t>
        </is>
      </c>
      <c r="E1144" t="inlineStr">
        <is>
          <t>2010-05</t>
        </is>
      </c>
      <c r="F1144" t="n">
        <v>78648.8</v>
      </c>
      <c r="G1144" t="n">
        <v>2183171.9</v>
      </c>
      <c r="H1144" t="n">
        <v>2508293.6</v>
      </c>
      <c r="I1144">
        <f>DAY(EOMONTH(DATE(VALUE(LEFT(E1144,4)),VALUE(RIGHT(E1144,2)),1),0))</f>
        <v/>
      </c>
      <c r="J1144">
        <f>VALUE(LEFT(E1144,4))*12+VALUE(RIGHT(E1144,2))-1</f>
        <v/>
      </c>
    </row>
    <row r="1145">
      <c r="A1145" t="inlineStr">
        <is>
          <t>Puesto Hernández</t>
        </is>
      </c>
      <c r="B1145" t="inlineStr">
        <is>
          <t>Neuquina</t>
        </is>
      </c>
      <c r="C1145" t="inlineStr">
        <is>
          <t>PETROBRAS ARGENTINA S.A.</t>
        </is>
      </c>
      <c r="D1145" t="inlineStr">
        <is>
          <t>convencional</t>
        </is>
      </c>
      <c r="E1145" t="inlineStr">
        <is>
          <t>2010-06</t>
        </is>
      </c>
      <c r="F1145" t="n">
        <v>74615.2</v>
      </c>
      <c r="G1145" t="n">
        <v>2085506</v>
      </c>
      <c r="H1145" t="n">
        <v>2379895.5</v>
      </c>
      <c r="I1145">
        <f>DAY(EOMONTH(DATE(VALUE(LEFT(E1145,4)),VALUE(RIGHT(E1145,2)),1),0))</f>
        <v/>
      </c>
      <c r="J1145">
        <f>VALUE(LEFT(E1145,4))*12+VALUE(RIGHT(E1145,2))-1</f>
        <v/>
      </c>
    </row>
    <row r="1146">
      <c r="A1146" t="inlineStr">
        <is>
          <t>Puesto Hernández</t>
        </is>
      </c>
      <c r="B1146" t="inlineStr">
        <is>
          <t>Neuquina</t>
        </is>
      </c>
      <c r="C1146" t="inlineStr">
        <is>
          <t>PETROBRAS ARGENTINA S.A.</t>
        </is>
      </c>
      <c r="D1146" t="inlineStr">
        <is>
          <t>convencional</t>
        </is>
      </c>
      <c r="E1146" t="inlineStr">
        <is>
          <t>2010-07</t>
        </is>
      </c>
      <c r="F1146" t="n">
        <v>76332.39999999999</v>
      </c>
      <c r="G1146" t="n">
        <v>2182842</v>
      </c>
      <c r="H1146" t="n">
        <v>2478103.7</v>
      </c>
      <c r="I1146">
        <f>DAY(EOMONTH(DATE(VALUE(LEFT(E1146,4)),VALUE(RIGHT(E1146,2)),1),0))</f>
        <v/>
      </c>
      <c r="J1146">
        <f>VALUE(LEFT(E1146,4))*12+VALUE(RIGHT(E1146,2))-1</f>
        <v/>
      </c>
    </row>
    <row r="1147">
      <c r="A1147" t="inlineStr">
        <is>
          <t>Puesto Hernández</t>
        </is>
      </c>
      <c r="B1147" t="inlineStr">
        <is>
          <t>Neuquina</t>
        </is>
      </c>
      <c r="C1147" t="inlineStr">
        <is>
          <t>PETROBRAS ARGENTINA S.A.</t>
        </is>
      </c>
      <c r="D1147" t="inlineStr">
        <is>
          <t>convencional</t>
        </is>
      </c>
      <c r="E1147" t="inlineStr">
        <is>
          <t>2010-08</t>
        </is>
      </c>
      <c r="F1147" t="n">
        <v>75392</v>
      </c>
      <c r="G1147" t="n">
        <v>2150064.3</v>
      </c>
      <c r="H1147" t="n">
        <v>2442693.8</v>
      </c>
      <c r="I1147">
        <f>DAY(EOMONTH(DATE(VALUE(LEFT(E1147,4)),VALUE(RIGHT(E1147,2)),1),0))</f>
        <v/>
      </c>
      <c r="J1147">
        <f>VALUE(LEFT(E1147,4))*12+VALUE(RIGHT(E1147,2))-1</f>
        <v/>
      </c>
    </row>
    <row r="1148">
      <c r="A1148" t="inlineStr">
        <is>
          <t>Puesto Hernández</t>
        </is>
      </c>
      <c r="B1148" t="inlineStr">
        <is>
          <t>Neuquina</t>
        </is>
      </c>
      <c r="C1148" t="inlineStr">
        <is>
          <t>PETROBRAS ARGENTINA S.A.</t>
        </is>
      </c>
      <c r="D1148" t="inlineStr">
        <is>
          <t>convencional</t>
        </is>
      </c>
      <c r="E1148" t="inlineStr">
        <is>
          <t>2010-09</t>
        </is>
      </c>
      <c r="F1148" t="n">
        <v>73301.10000000001</v>
      </c>
      <c r="G1148" t="n">
        <v>2060250.2</v>
      </c>
      <c r="H1148" t="n">
        <v>2348604.6</v>
      </c>
      <c r="I1148">
        <f>DAY(EOMONTH(DATE(VALUE(LEFT(E1148,4)),VALUE(RIGHT(E1148,2)),1),0))</f>
        <v/>
      </c>
      <c r="J1148">
        <f>VALUE(LEFT(E1148,4))*12+VALUE(RIGHT(E1148,2))-1</f>
        <v/>
      </c>
    </row>
    <row r="1149">
      <c r="A1149" t="inlineStr">
        <is>
          <t>Puesto Hernández</t>
        </is>
      </c>
      <c r="B1149" t="inlineStr">
        <is>
          <t>Neuquina</t>
        </is>
      </c>
      <c r="C1149" t="inlineStr">
        <is>
          <t>PETROBRAS ARGENTINA S.A.</t>
        </is>
      </c>
      <c r="D1149" t="inlineStr">
        <is>
          <t>convencional</t>
        </is>
      </c>
      <c r="E1149" t="inlineStr">
        <is>
          <t>2010-10</t>
        </is>
      </c>
      <c r="F1149" t="n">
        <v>74665.10000000001</v>
      </c>
      <c r="G1149" t="n">
        <v>2129563.6</v>
      </c>
      <c r="H1149" t="n">
        <v>2418207.3</v>
      </c>
      <c r="I1149">
        <f>DAY(EOMONTH(DATE(VALUE(LEFT(E1149,4)),VALUE(RIGHT(E1149,2)),1),0))</f>
        <v/>
      </c>
      <c r="J1149">
        <f>VALUE(LEFT(E1149,4))*12+VALUE(RIGHT(E1149,2))-1</f>
        <v/>
      </c>
    </row>
    <row r="1150">
      <c r="A1150" t="inlineStr">
        <is>
          <t>Puesto Hernández</t>
        </is>
      </c>
      <c r="B1150" t="inlineStr">
        <is>
          <t>Neuquina</t>
        </is>
      </c>
      <c r="C1150" t="inlineStr">
        <is>
          <t>PETROBRAS ARGENTINA S.A.</t>
        </is>
      </c>
      <c r="D1150" t="inlineStr">
        <is>
          <t>convencional</t>
        </is>
      </c>
      <c r="E1150" t="inlineStr">
        <is>
          <t>2010-11</t>
        </is>
      </c>
      <c r="F1150" t="n">
        <v>72023.89999999999</v>
      </c>
      <c r="G1150" t="n">
        <v>2072135</v>
      </c>
      <c r="H1150" t="n">
        <v>2353236.8</v>
      </c>
      <c r="I1150">
        <f>DAY(EOMONTH(DATE(VALUE(LEFT(E1150,4)),VALUE(RIGHT(E1150,2)),1),0))</f>
        <v/>
      </c>
      <c r="J1150">
        <f>VALUE(LEFT(E1150,4))*12+VALUE(RIGHT(E1150,2))-1</f>
        <v/>
      </c>
    </row>
    <row r="1151">
      <c r="A1151" t="inlineStr">
        <is>
          <t>Puesto Hernández</t>
        </is>
      </c>
      <c r="B1151" t="inlineStr">
        <is>
          <t>Neuquina</t>
        </is>
      </c>
      <c r="C1151" t="inlineStr">
        <is>
          <t>PETROBRAS ARGENTINA S.A.</t>
        </is>
      </c>
      <c r="D1151" t="inlineStr">
        <is>
          <t>convencional</t>
        </is>
      </c>
      <c r="E1151" t="inlineStr">
        <is>
          <t>2010-12</t>
        </is>
      </c>
      <c r="F1151" t="n">
        <v>73222.10000000001</v>
      </c>
      <c r="G1151" t="n">
        <v>2126291.9</v>
      </c>
      <c r="H1151" t="n">
        <v>2392967.6</v>
      </c>
      <c r="I1151">
        <f>DAY(EOMONTH(DATE(VALUE(LEFT(E1151,4)),VALUE(RIGHT(E1151,2)),1),0))</f>
        <v/>
      </c>
      <c r="J1151">
        <f>VALUE(LEFT(E1151,4))*12+VALUE(RIGHT(E1151,2))-1</f>
        <v/>
      </c>
    </row>
    <row r="1152">
      <c r="A1152" t="inlineStr">
        <is>
          <t>Puesto Hernández</t>
        </is>
      </c>
      <c r="B1152" t="inlineStr">
        <is>
          <t>Neuquina</t>
        </is>
      </c>
      <c r="C1152" t="inlineStr">
        <is>
          <t>PETROBRAS ARGENTINA S.A.</t>
        </is>
      </c>
      <c r="D1152" t="inlineStr">
        <is>
          <t>convencional</t>
        </is>
      </c>
      <c r="E1152" t="inlineStr">
        <is>
          <t>2011-01</t>
        </is>
      </c>
      <c r="F1152" t="n">
        <v>70991.89999999999</v>
      </c>
      <c r="G1152" t="n">
        <v>2076108.9</v>
      </c>
      <c r="H1152" t="n">
        <v>2304958.5</v>
      </c>
      <c r="I1152">
        <f>DAY(EOMONTH(DATE(VALUE(LEFT(E1152,4)),VALUE(RIGHT(E1152,2)),1),0))</f>
        <v/>
      </c>
      <c r="J1152">
        <f>VALUE(LEFT(E1152,4))*12+VALUE(RIGHT(E1152,2))-1</f>
        <v/>
      </c>
    </row>
    <row r="1153">
      <c r="A1153" t="inlineStr">
        <is>
          <t>Puesto Hernández</t>
        </is>
      </c>
      <c r="B1153" t="inlineStr">
        <is>
          <t>Neuquina</t>
        </is>
      </c>
      <c r="C1153" t="inlineStr">
        <is>
          <t>PETROBRAS ARGENTINA S.A.</t>
        </is>
      </c>
      <c r="D1153" t="inlineStr">
        <is>
          <t>convencional</t>
        </is>
      </c>
      <c r="E1153" t="inlineStr">
        <is>
          <t>2011-02</t>
        </is>
      </c>
      <c r="F1153" t="n">
        <v>61683.7</v>
      </c>
      <c r="G1153" t="n">
        <v>1751457.7</v>
      </c>
      <c r="H1153" t="n">
        <v>1912356.6</v>
      </c>
      <c r="I1153">
        <f>DAY(EOMONTH(DATE(VALUE(LEFT(E1153,4)),VALUE(RIGHT(E1153,2)),1),0))</f>
        <v/>
      </c>
      <c r="J1153">
        <f>VALUE(LEFT(E1153,4))*12+VALUE(RIGHT(E1153,2))-1</f>
        <v/>
      </c>
    </row>
    <row r="1154">
      <c r="A1154" t="inlineStr">
        <is>
          <t>Puesto Hernández</t>
        </is>
      </c>
      <c r="B1154" t="inlineStr">
        <is>
          <t>Neuquina</t>
        </is>
      </c>
      <c r="C1154" t="inlineStr">
        <is>
          <t>PETROBRAS ARGENTINA S.A.</t>
        </is>
      </c>
      <c r="D1154" t="inlineStr">
        <is>
          <t>convencional</t>
        </is>
      </c>
      <c r="E1154" t="inlineStr">
        <is>
          <t>2011-03</t>
        </is>
      </c>
      <c r="F1154" t="n">
        <v>70544.5</v>
      </c>
      <c r="G1154" t="n">
        <v>2061467</v>
      </c>
      <c r="H1154" t="n">
        <v>2240495.8</v>
      </c>
      <c r="I1154">
        <f>DAY(EOMONTH(DATE(VALUE(LEFT(E1154,4)),VALUE(RIGHT(E1154,2)),1),0))</f>
        <v/>
      </c>
      <c r="J1154">
        <f>VALUE(LEFT(E1154,4))*12+VALUE(RIGHT(E1154,2))-1</f>
        <v/>
      </c>
    </row>
    <row r="1155">
      <c r="A1155" t="inlineStr">
        <is>
          <t>Puesto Hernández</t>
        </is>
      </c>
      <c r="B1155" t="inlineStr">
        <is>
          <t>Neuquina</t>
        </is>
      </c>
      <c r="C1155" t="inlineStr">
        <is>
          <t>PETROBRAS ARGENTINA S.A.</t>
        </is>
      </c>
      <c r="D1155" t="inlineStr">
        <is>
          <t>convencional</t>
        </is>
      </c>
      <c r="E1155" t="inlineStr">
        <is>
          <t>2011-04</t>
        </is>
      </c>
      <c r="F1155" t="n">
        <v>66643.7</v>
      </c>
      <c r="G1155" t="n">
        <v>1981000.9</v>
      </c>
      <c r="H1155" t="n">
        <v>2149739.7</v>
      </c>
      <c r="I1155">
        <f>DAY(EOMONTH(DATE(VALUE(LEFT(E1155,4)),VALUE(RIGHT(E1155,2)),1),0))</f>
        <v/>
      </c>
      <c r="J1155">
        <f>VALUE(LEFT(E1155,4))*12+VALUE(RIGHT(E1155,2))-1</f>
        <v/>
      </c>
    </row>
    <row r="1156">
      <c r="A1156" t="inlineStr">
        <is>
          <t>Puesto Hernández</t>
        </is>
      </c>
      <c r="B1156" t="inlineStr">
        <is>
          <t>Neuquina</t>
        </is>
      </c>
      <c r="C1156" t="inlineStr">
        <is>
          <t>PETROBRAS ARGENTINA S.A.</t>
        </is>
      </c>
      <c r="D1156" t="inlineStr">
        <is>
          <t>convencional</t>
        </is>
      </c>
      <c r="E1156" t="inlineStr">
        <is>
          <t>2011-05</t>
        </is>
      </c>
      <c r="F1156" t="n">
        <v>66837.5</v>
      </c>
      <c r="G1156" t="n">
        <v>2035851.9</v>
      </c>
      <c r="H1156" t="n">
        <v>2232994</v>
      </c>
      <c r="I1156">
        <f>DAY(EOMONTH(DATE(VALUE(LEFT(E1156,4)),VALUE(RIGHT(E1156,2)),1),0))</f>
        <v/>
      </c>
      <c r="J1156">
        <f>VALUE(LEFT(E1156,4))*12+VALUE(RIGHT(E1156,2))-1</f>
        <v/>
      </c>
    </row>
    <row r="1157">
      <c r="A1157" t="inlineStr">
        <is>
          <t>Puesto Hernández</t>
        </is>
      </c>
      <c r="B1157" t="inlineStr">
        <is>
          <t>Neuquina</t>
        </is>
      </c>
      <c r="C1157" t="inlineStr">
        <is>
          <t>PETROBRAS ARGENTINA S.A.</t>
        </is>
      </c>
      <c r="D1157" t="inlineStr">
        <is>
          <t>convencional</t>
        </is>
      </c>
      <c r="E1157" t="inlineStr">
        <is>
          <t>2011-06</t>
        </is>
      </c>
      <c r="F1157" t="n">
        <v>64399.2</v>
      </c>
      <c r="G1157" t="n">
        <v>1959779.2</v>
      </c>
      <c r="H1157" t="n">
        <v>2152257.3</v>
      </c>
      <c r="I1157">
        <f>DAY(EOMONTH(DATE(VALUE(LEFT(E1157,4)),VALUE(RIGHT(E1157,2)),1),0))</f>
        <v/>
      </c>
      <c r="J1157">
        <f>VALUE(LEFT(E1157,4))*12+VALUE(RIGHT(E1157,2))-1</f>
        <v/>
      </c>
    </row>
    <row r="1158">
      <c r="A1158" t="inlineStr">
        <is>
          <t>Puesto Hernández</t>
        </is>
      </c>
      <c r="B1158" t="inlineStr">
        <is>
          <t>Neuquina</t>
        </is>
      </c>
      <c r="C1158" t="inlineStr">
        <is>
          <t>PETROBRAS ARGENTINA S.A.</t>
        </is>
      </c>
      <c r="D1158" t="inlineStr">
        <is>
          <t>convencional</t>
        </is>
      </c>
      <c r="E1158" t="inlineStr">
        <is>
          <t>2011-07</t>
        </is>
      </c>
      <c r="F1158" t="n">
        <v>66434.10000000001</v>
      </c>
      <c r="G1158" t="n">
        <v>2023888.5</v>
      </c>
      <c r="H1158" t="n">
        <v>2216938.9</v>
      </c>
      <c r="I1158">
        <f>DAY(EOMONTH(DATE(VALUE(LEFT(E1158,4)),VALUE(RIGHT(E1158,2)),1),0))</f>
        <v/>
      </c>
      <c r="J1158">
        <f>VALUE(LEFT(E1158,4))*12+VALUE(RIGHT(E1158,2))-1</f>
        <v/>
      </c>
    </row>
    <row r="1159">
      <c r="A1159" t="inlineStr">
        <is>
          <t>Puesto Hernández</t>
        </is>
      </c>
      <c r="B1159" t="inlineStr">
        <is>
          <t>Neuquina</t>
        </is>
      </c>
      <c r="C1159" t="inlineStr">
        <is>
          <t>PETROBRAS ARGENTINA S.A.</t>
        </is>
      </c>
      <c r="D1159" t="inlineStr">
        <is>
          <t>convencional</t>
        </is>
      </c>
      <c r="E1159" t="inlineStr">
        <is>
          <t>2011-08</t>
        </is>
      </c>
      <c r="F1159" t="n">
        <v>65506.7</v>
      </c>
      <c r="G1159" t="n">
        <v>2047095.8</v>
      </c>
      <c r="H1159" t="n">
        <v>2248189.4</v>
      </c>
      <c r="I1159">
        <f>DAY(EOMONTH(DATE(VALUE(LEFT(E1159,4)),VALUE(RIGHT(E1159,2)),1),0))</f>
        <v/>
      </c>
      <c r="J1159">
        <f>VALUE(LEFT(E1159,4))*12+VALUE(RIGHT(E1159,2))-1</f>
        <v/>
      </c>
    </row>
    <row r="1160">
      <c r="A1160" t="inlineStr">
        <is>
          <t>Puesto Hernández</t>
        </is>
      </c>
      <c r="B1160" t="inlineStr">
        <is>
          <t>Neuquina</t>
        </is>
      </c>
      <c r="C1160" t="inlineStr">
        <is>
          <t>PETROBRAS ARGENTINA S.A.</t>
        </is>
      </c>
      <c r="D1160" t="inlineStr">
        <is>
          <t>convencional</t>
        </is>
      </c>
      <c r="E1160" t="inlineStr">
        <is>
          <t>2011-09</t>
        </is>
      </c>
      <c r="F1160" t="n">
        <v>63302.8</v>
      </c>
      <c r="G1160" t="n">
        <v>1973330.2</v>
      </c>
      <c r="H1160" t="n">
        <v>2160056.2</v>
      </c>
      <c r="I1160">
        <f>DAY(EOMONTH(DATE(VALUE(LEFT(E1160,4)),VALUE(RIGHT(E1160,2)),1),0))</f>
        <v/>
      </c>
      <c r="J1160">
        <f>VALUE(LEFT(E1160,4))*12+VALUE(RIGHT(E1160,2))-1</f>
        <v/>
      </c>
    </row>
    <row r="1161">
      <c r="A1161" t="inlineStr">
        <is>
          <t>Puesto Hernández</t>
        </is>
      </c>
      <c r="B1161" t="inlineStr">
        <is>
          <t>Neuquina</t>
        </is>
      </c>
      <c r="C1161" t="inlineStr">
        <is>
          <t>PETROBRAS ARGENTINA S.A.</t>
        </is>
      </c>
      <c r="D1161" t="inlineStr">
        <is>
          <t>convencional</t>
        </is>
      </c>
      <c r="E1161" t="inlineStr">
        <is>
          <t>2011-10</t>
        </is>
      </c>
      <c r="F1161" t="n">
        <v>63851.2</v>
      </c>
      <c r="G1161" t="n">
        <v>2030351.5</v>
      </c>
      <c r="H1161" t="n">
        <v>2236572.7</v>
      </c>
      <c r="I1161">
        <f>DAY(EOMONTH(DATE(VALUE(LEFT(E1161,4)),VALUE(RIGHT(E1161,2)),1),0))</f>
        <v/>
      </c>
      <c r="J1161">
        <f>VALUE(LEFT(E1161,4))*12+VALUE(RIGHT(E1161,2))-1</f>
        <v/>
      </c>
    </row>
    <row r="1162">
      <c r="A1162" t="inlineStr">
        <is>
          <t>Puesto Hernández</t>
        </is>
      </c>
      <c r="B1162" t="inlineStr">
        <is>
          <t>Neuquina</t>
        </is>
      </c>
      <c r="C1162" t="inlineStr">
        <is>
          <t>PETROBRAS ARGENTINA S.A.</t>
        </is>
      </c>
      <c r="D1162" t="inlineStr">
        <is>
          <t>convencional</t>
        </is>
      </c>
      <c r="E1162" t="inlineStr">
        <is>
          <t>2011-11</t>
        </is>
      </c>
      <c r="F1162" t="n">
        <v>62360.4</v>
      </c>
      <c r="G1162" t="n">
        <v>1949358.1</v>
      </c>
      <c r="H1162" t="n">
        <v>2145190.1</v>
      </c>
      <c r="I1162">
        <f>DAY(EOMONTH(DATE(VALUE(LEFT(E1162,4)),VALUE(RIGHT(E1162,2)),1),0))</f>
        <v/>
      </c>
      <c r="J1162">
        <f>VALUE(LEFT(E1162,4))*12+VALUE(RIGHT(E1162,2))-1</f>
        <v/>
      </c>
    </row>
    <row r="1163">
      <c r="A1163" t="inlineStr">
        <is>
          <t>Puesto Hernández</t>
        </is>
      </c>
      <c r="B1163" t="inlineStr">
        <is>
          <t>Neuquina</t>
        </is>
      </c>
      <c r="C1163" t="inlineStr">
        <is>
          <t>PETROBRAS ARGENTINA S.A.</t>
        </is>
      </c>
      <c r="D1163" t="inlineStr">
        <is>
          <t>convencional</t>
        </is>
      </c>
      <c r="E1163" t="inlineStr">
        <is>
          <t>2011-12</t>
        </is>
      </c>
      <c r="F1163" t="n">
        <v>63709.3</v>
      </c>
      <c r="G1163" t="n">
        <v>1970995.9</v>
      </c>
      <c r="H1163" t="n">
        <v>2154564.2</v>
      </c>
      <c r="I1163">
        <f>DAY(EOMONTH(DATE(VALUE(LEFT(E1163,4)),VALUE(RIGHT(E1163,2)),1),0))</f>
        <v/>
      </c>
      <c r="J1163">
        <f>VALUE(LEFT(E1163,4))*12+VALUE(RIGHT(E1163,2))-1</f>
        <v/>
      </c>
    </row>
    <row r="1164">
      <c r="A1164" t="inlineStr">
        <is>
          <t>Puesto Hernández</t>
        </is>
      </c>
      <c r="B1164" t="inlineStr">
        <is>
          <t>Neuquina</t>
        </is>
      </c>
      <c r="C1164" t="inlineStr">
        <is>
          <t>PETROBRAS ARGENTINA S.A.</t>
        </is>
      </c>
      <c r="D1164" t="inlineStr">
        <is>
          <t>convencional</t>
        </is>
      </c>
      <c r="E1164" t="inlineStr">
        <is>
          <t>2012-01</t>
        </is>
      </c>
      <c r="F1164" t="n">
        <v>61307.6</v>
      </c>
      <c r="G1164" t="n">
        <v>1902585.1</v>
      </c>
      <c r="H1164" t="n">
        <v>2103341.2</v>
      </c>
      <c r="I1164">
        <f>DAY(EOMONTH(DATE(VALUE(LEFT(E1164,4)),VALUE(RIGHT(E1164,2)),1),0))</f>
        <v/>
      </c>
      <c r="J1164">
        <f>VALUE(LEFT(E1164,4))*12+VALUE(RIGHT(E1164,2))-1</f>
        <v/>
      </c>
    </row>
    <row r="1165">
      <c r="A1165" t="inlineStr">
        <is>
          <t>Puesto Hernández</t>
        </is>
      </c>
      <c r="B1165" t="inlineStr">
        <is>
          <t>Neuquina</t>
        </is>
      </c>
      <c r="C1165" t="inlineStr">
        <is>
          <t>PETROBRAS ARGENTINA S.A.</t>
        </is>
      </c>
      <c r="D1165" t="inlineStr">
        <is>
          <t>convencional</t>
        </is>
      </c>
      <c r="E1165" t="inlineStr">
        <is>
          <t>2012-02</t>
        </is>
      </c>
      <c r="F1165" t="n">
        <v>57351.8</v>
      </c>
      <c r="G1165" t="n">
        <v>1795513.2</v>
      </c>
      <c r="H1165" t="n">
        <v>1983906.1</v>
      </c>
      <c r="I1165">
        <f>DAY(EOMONTH(DATE(VALUE(LEFT(E1165,4)),VALUE(RIGHT(E1165,2)),1),0))</f>
        <v/>
      </c>
      <c r="J1165">
        <f>VALUE(LEFT(E1165,4))*12+VALUE(RIGHT(E1165,2))-1</f>
        <v/>
      </c>
    </row>
    <row r="1166">
      <c r="A1166" t="inlineStr">
        <is>
          <t>Puesto Hernández</t>
        </is>
      </c>
      <c r="B1166" t="inlineStr">
        <is>
          <t>Neuquina</t>
        </is>
      </c>
      <c r="C1166" t="inlineStr">
        <is>
          <t>PETROBRAS ARGENTINA S.A.</t>
        </is>
      </c>
      <c r="D1166" t="inlineStr">
        <is>
          <t>convencional</t>
        </is>
      </c>
      <c r="E1166" t="inlineStr">
        <is>
          <t>2012-03</t>
        </is>
      </c>
      <c r="F1166" t="n">
        <v>60524.9</v>
      </c>
      <c r="G1166" t="n">
        <v>1912536.9</v>
      </c>
      <c r="H1166" t="n">
        <v>2110827.1</v>
      </c>
      <c r="I1166">
        <f>DAY(EOMONTH(DATE(VALUE(LEFT(E1166,4)),VALUE(RIGHT(E1166,2)),1),0))</f>
        <v/>
      </c>
      <c r="J1166">
        <f>VALUE(LEFT(E1166,4))*12+VALUE(RIGHT(E1166,2))-1</f>
        <v/>
      </c>
    </row>
    <row r="1167">
      <c r="A1167" t="inlineStr">
        <is>
          <t>Puesto Hernández</t>
        </is>
      </c>
      <c r="B1167" t="inlineStr">
        <is>
          <t>Neuquina</t>
        </is>
      </c>
      <c r="C1167" t="inlineStr">
        <is>
          <t>PETROBRAS ARGENTINA S.A.</t>
        </is>
      </c>
      <c r="D1167" t="inlineStr">
        <is>
          <t>convencional</t>
        </is>
      </c>
      <c r="E1167" t="inlineStr">
        <is>
          <t>2012-04</t>
        </is>
      </c>
      <c r="F1167" t="n">
        <v>57755.5</v>
      </c>
      <c r="G1167" t="n">
        <v>1807348.6</v>
      </c>
      <c r="H1167" t="n">
        <v>2007675.8</v>
      </c>
      <c r="I1167">
        <f>DAY(EOMONTH(DATE(VALUE(LEFT(E1167,4)),VALUE(RIGHT(E1167,2)),1),0))</f>
        <v/>
      </c>
      <c r="J1167">
        <f>VALUE(LEFT(E1167,4))*12+VALUE(RIGHT(E1167,2))-1</f>
        <v/>
      </c>
    </row>
    <row r="1168">
      <c r="A1168" t="inlineStr">
        <is>
          <t>Puesto Hernández</t>
        </is>
      </c>
      <c r="B1168" t="inlineStr">
        <is>
          <t>Neuquina</t>
        </is>
      </c>
      <c r="C1168" t="inlineStr">
        <is>
          <t>PETROBRAS ARGENTINA S.A.</t>
        </is>
      </c>
      <c r="D1168" t="inlineStr">
        <is>
          <t>convencional</t>
        </is>
      </c>
      <c r="E1168" t="inlineStr">
        <is>
          <t>2012-05</t>
        </is>
      </c>
      <c r="F1168" t="n">
        <v>60522.2</v>
      </c>
      <c r="G1168" t="n">
        <v>1896755.8</v>
      </c>
      <c r="H1168" t="n">
        <v>2075555.9</v>
      </c>
      <c r="I1168">
        <f>DAY(EOMONTH(DATE(VALUE(LEFT(E1168,4)),VALUE(RIGHT(E1168,2)),1),0))</f>
        <v/>
      </c>
      <c r="J1168">
        <f>VALUE(LEFT(E1168,4))*12+VALUE(RIGHT(E1168,2))-1</f>
        <v/>
      </c>
    </row>
    <row r="1169">
      <c r="A1169" t="inlineStr">
        <is>
          <t>Puesto Hernández</t>
        </is>
      </c>
      <c r="B1169" t="inlineStr">
        <is>
          <t>Neuquina</t>
        </is>
      </c>
      <c r="C1169" t="inlineStr">
        <is>
          <t>PETROBRAS ARGENTINA S.A.</t>
        </is>
      </c>
      <c r="D1169" t="inlineStr">
        <is>
          <t>convencional</t>
        </is>
      </c>
      <c r="E1169" t="inlineStr">
        <is>
          <t>2012-06</t>
        </is>
      </c>
      <c r="F1169" t="n">
        <v>53033.9</v>
      </c>
      <c r="G1169" t="n">
        <v>1696971.7</v>
      </c>
      <c r="H1169" t="n">
        <v>1935777.7</v>
      </c>
      <c r="I1169">
        <f>DAY(EOMONTH(DATE(VALUE(LEFT(E1169,4)),VALUE(RIGHT(E1169,2)),1),0))</f>
        <v/>
      </c>
      <c r="J1169">
        <f>VALUE(LEFT(E1169,4))*12+VALUE(RIGHT(E1169,2))-1</f>
        <v/>
      </c>
    </row>
    <row r="1170">
      <c r="A1170" t="inlineStr">
        <is>
          <t>Puesto Hernández</t>
        </is>
      </c>
      <c r="B1170" t="inlineStr">
        <is>
          <t>Neuquina</t>
        </is>
      </c>
      <c r="C1170" t="inlineStr">
        <is>
          <t>PETROBRAS ARGENTINA S.A.</t>
        </is>
      </c>
      <c r="D1170" t="inlineStr">
        <is>
          <t>convencional</t>
        </is>
      </c>
      <c r="E1170" t="inlineStr">
        <is>
          <t>2012-07</t>
        </is>
      </c>
      <c r="F1170" t="n">
        <v>60318.1</v>
      </c>
      <c r="G1170" t="n">
        <v>1908839.1</v>
      </c>
      <c r="H1170" t="n">
        <v>2079134.6</v>
      </c>
      <c r="I1170">
        <f>DAY(EOMONTH(DATE(VALUE(LEFT(E1170,4)),VALUE(RIGHT(E1170,2)),1),0))</f>
        <v/>
      </c>
      <c r="J1170">
        <f>VALUE(LEFT(E1170,4))*12+VALUE(RIGHT(E1170,2))-1</f>
        <v/>
      </c>
    </row>
    <row r="1171">
      <c r="A1171" t="inlineStr">
        <is>
          <t>Puesto Hernández</t>
        </is>
      </c>
      <c r="B1171" t="inlineStr">
        <is>
          <t>Neuquina</t>
        </is>
      </c>
      <c r="C1171" t="inlineStr">
        <is>
          <t>PETROBRAS ARGENTINA S.A.</t>
        </is>
      </c>
      <c r="D1171" t="inlineStr">
        <is>
          <t>convencional</t>
        </is>
      </c>
      <c r="E1171" t="inlineStr">
        <is>
          <t>2012-08</t>
        </is>
      </c>
      <c r="F1171" t="n">
        <v>59767.9</v>
      </c>
      <c r="G1171" t="n">
        <v>1897560.8</v>
      </c>
      <c r="H1171" t="n">
        <v>2024651.8</v>
      </c>
      <c r="I1171">
        <f>DAY(EOMONTH(DATE(VALUE(LEFT(E1171,4)),VALUE(RIGHT(E1171,2)),1),0))</f>
        <v/>
      </c>
      <c r="J1171">
        <f>VALUE(LEFT(E1171,4))*12+VALUE(RIGHT(E1171,2))-1</f>
        <v/>
      </c>
    </row>
    <row r="1172">
      <c r="A1172" t="inlineStr">
        <is>
          <t>Puesto Hernández</t>
        </is>
      </c>
      <c r="B1172" t="inlineStr">
        <is>
          <t>Neuquina</t>
        </is>
      </c>
      <c r="C1172" t="inlineStr">
        <is>
          <t>PETROBRAS ARGENTINA S.A.</t>
        </is>
      </c>
      <c r="D1172" t="inlineStr">
        <is>
          <t>convencional</t>
        </is>
      </c>
      <c r="E1172" t="inlineStr">
        <is>
          <t>2012-09</t>
        </is>
      </c>
      <c r="F1172" t="n">
        <v>56813.3</v>
      </c>
      <c r="G1172" t="n">
        <v>1805999.5</v>
      </c>
      <c r="H1172" t="n">
        <v>1901111.3</v>
      </c>
      <c r="I1172">
        <f>DAY(EOMONTH(DATE(VALUE(LEFT(E1172,4)),VALUE(RIGHT(E1172,2)),1),0))</f>
        <v/>
      </c>
      <c r="J1172">
        <f>VALUE(LEFT(E1172,4))*12+VALUE(RIGHT(E1172,2))-1</f>
        <v/>
      </c>
    </row>
    <row r="1173">
      <c r="A1173" t="inlineStr">
        <is>
          <t>Puesto Hernández</t>
        </is>
      </c>
      <c r="B1173" t="inlineStr">
        <is>
          <t>Neuquina</t>
        </is>
      </c>
      <c r="C1173" t="inlineStr">
        <is>
          <t>PETROBRAS ARGENTINA S.A.</t>
        </is>
      </c>
      <c r="D1173" t="inlineStr">
        <is>
          <t>convencional</t>
        </is>
      </c>
      <c r="E1173" t="inlineStr">
        <is>
          <t>2012-10</t>
        </is>
      </c>
      <c r="F1173" t="n">
        <v>57432.8</v>
      </c>
      <c r="G1173" t="n">
        <v>1834863.9</v>
      </c>
      <c r="H1173" t="n">
        <v>1989879.9</v>
      </c>
      <c r="I1173">
        <f>DAY(EOMONTH(DATE(VALUE(LEFT(E1173,4)),VALUE(RIGHT(E1173,2)),1),0))</f>
        <v/>
      </c>
      <c r="J1173">
        <f>VALUE(LEFT(E1173,4))*12+VALUE(RIGHT(E1173,2))-1</f>
        <v/>
      </c>
    </row>
    <row r="1174">
      <c r="A1174" t="inlineStr">
        <is>
          <t>Puesto Hernández</t>
        </is>
      </c>
      <c r="B1174" t="inlineStr">
        <is>
          <t>Neuquina</t>
        </is>
      </c>
      <c r="C1174" t="inlineStr">
        <is>
          <t>PETROBRAS ARGENTINA S.A.</t>
        </is>
      </c>
      <c r="D1174" t="inlineStr">
        <is>
          <t>convencional</t>
        </is>
      </c>
      <c r="E1174" t="inlineStr">
        <is>
          <t>2012-11</t>
        </is>
      </c>
      <c r="F1174" t="n">
        <v>51583.8</v>
      </c>
      <c r="G1174" t="n">
        <v>1723910.9</v>
      </c>
      <c r="H1174" t="n">
        <v>1889490.3</v>
      </c>
      <c r="I1174">
        <f>DAY(EOMONTH(DATE(VALUE(LEFT(E1174,4)),VALUE(RIGHT(E1174,2)),1),0))</f>
        <v/>
      </c>
      <c r="J1174">
        <f>VALUE(LEFT(E1174,4))*12+VALUE(RIGHT(E1174,2))-1</f>
        <v/>
      </c>
    </row>
    <row r="1175">
      <c r="A1175" t="inlineStr">
        <is>
          <t>Puesto Hernández</t>
        </is>
      </c>
      <c r="B1175" t="inlineStr">
        <is>
          <t>Neuquina</t>
        </is>
      </c>
      <c r="C1175" t="inlineStr">
        <is>
          <t>PETROBRAS ARGENTINA S.A.</t>
        </is>
      </c>
      <c r="D1175" t="inlineStr">
        <is>
          <t>convencional</t>
        </is>
      </c>
      <c r="E1175" t="inlineStr">
        <is>
          <t>2012-12</t>
        </is>
      </c>
      <c r="F1175" t="n">
        <v>58010.5</v>
      </c>
      <c r="G1175" t="n">
        <v>1865547.7</v>
      </c>
      <c r="H1175" t="n">
        <v>2016042.4</v>
      </c>
      <c r="I1175">
        <f>DAY(EOMONTH(DATE(VALUE(LEFT(E1175,4)),VALUE(RIGHT(E1175,2)),1),0))</f>
        <v/>
      </c>
      <c r="J1175">
        <f>VALUE(LEFT(E1175,4))*12+VALUE(RIGHT(E1175,2))-1</f>
        <v/>
      </c>
    </row>
    <row r="1176">
      <c r="A1176" t="inlineStr">
        <is>
          <t>Puesto Hernández</t>
        </is>
      </c>
      <c r="B1176" t="inlineStr">
        <is>
          <t>Neuquina</t>
        </is>
      </c>
      <c r="C1176" t="inlineStr">
        <is>
          <t>PETROBRAS ARGENTINA S.A.</t>
        </is>
      </c>
      <c r="D1176" t="inlineStr">
        <is>
          <t>convencional</t>
        </is>
      </c>
      <c r="E1176" t="inlineStr">
        <is>
          <t>2013-01</t>
        </is>
      </c>
      <c r="F1176" t="n">
        <v>54079.4</v>
      </c>
      <c r="G1176" t="n">
        <v>1782404.5</v>
      </c>
      <c r="H1176" t="n">
        <v>1929603.1</v>
      </c>
      <c r="I1176">
        <f>DAY(EOMONTH(DATE(VALUE(LEFT(E1176,4)),VALUE(RIGHT(E1176,2)),1),0))</f>
        <v/>
      </c>
      <c r="J1176">
        <f>VALUE(LEFT(E1176,4))*12+VALUE(RIGHT(E1176,2))-1</f>
        <v/>
      </c>
    </row>
    <row r="1177">
      <c r="A1177" t="inlineStr">
        <is>
          <t>Puesto Hernández</t>
        </is>
      </c>
      <c r="B1177" t="inlineStr">
        <is>
          <t>Neuquina</t>
        </is>
      </c>
      <c r="C1177" t="inlineStr">
        <is>
          <t>PETROBRAS ARGENTINA S.A.</t>
        </is>
      </c>
      <c r="D1177" t="inlineStr">
        <is>
          <t>convencional</t>
        </is>
      </c>
      <c r="E1177" t="inlineStr">
        <is>
          <t>2013-02</t>
        </is>
      </c>
      <c r="F1177" t="n">
        <v>49138.6</v>
      </c>
      <c r="G1177" t="n">
        <v>1638048</v>
      </c>
      <c r="H1177" t="n">
        <v>1775055.5</v>
      </c>
      <c r="I1177">
        <f>DAY(EOMONTH(DATE(VALUE(LEFT(E1177,4)),VALUE(RIGHT(E1177,2)),1),0))</f>
        <v/>
      </c>
      <c r="J1177">
        <f>VALUE(LEFT(E1177,4))*12+VALUE(RIGHT(E1177,2))-1</f>
        <v/>
      </c>
    </row>
    <row r="1178">
      <c r="A1178" t="inlineStr">
        <is>
          <t>Puesto Hernández</t>
        </is>
      </c>
      <c r="B1178" t="inlineStr">
        <is>
          <t>Neuquina</t>
        </is>
      </c>
      <c r="C1178" t="inlineStr">
        <is>
          <t>PETROBRAS ARGENTINA S.A.</t>
        </is>
      </c>
      <c r="D1178" t="inlineStr">
        <is>
          <t>convencional</t>
        </is>
      </c>
      <c r="E1178" t="inlineStr">
        <is>
          <t>2013-03</t>
        </is>
      </c>
      <c r="F1178" t="n">
        <v>54759.9</v>
      </c>
      <c r="G1178" t="n">
        <v>1830784</v>
      </c>
      <c r="H1178" t="n">
        <v>1982677.2</v>
      </c>
      <c r="I1178">
        <f>DAY(EOMONTH(DATE(VALUE(LEFT(E1178,4)),VALUE(RIGHT(E1178,2)),1),0))</f>
        <v/>
      </c>
      <c r="J1178">
        <f>VALUE(LEFT(E1178,4))*12+VALUE(RIGHT(E1178,2))-1</f>
        <v/>
      </c>
    </row>
    <row r="1179">
      <c r="A1179" t="inlineStr">
        <is>
          <t>Puesto Hernández</t>
        </is>
      </c>
      <c r="B1179" t="inlineStr">
        <is>
          <t>Neuquina</t>
        </is>
      </c>
      <c r="C1179" t="inlineStr">
        <is>
          <t>PETROBRAS ARGENTINA S.A.</t>
        </is>
      </c>
      <c r="D1179" t="inlineStr">
        <is>
          <t>convencional</t>
        </is>
      </c>
      <c r="E1179" t="inlineStr">
        <is>
          <t>2013-04</t>
        </is>
      </c>
      <c r="F1179" t="n">
        <v>51367.8</v>
      </c>
      <c r="G1179" t="n">
        <v>1745889.6</v>
      </c>
      <c r="H1179" t="n">
        <v>1895201.7</v>
      </c>
      <c r="I1179">
        <f>DAY(EOMONTH(DATE(VALUE(LEFT(E1179,4)),VALUE(RIGHT(E1179,2)),1),0))</f>
        <v/>
      </c>
      <c r="J1179">
        <f>VALUE(LEFT(E1179,4))*12+VALUE(RIGHT(E1179,2))-1</f>
        <v/>
      </c>
    </row>
    <row r="1180">
      <c r="A1180" t="inlineStr">
        <is>
          <t>Puesto Hernández</t>
        </is>
      </c>
      <c r="B1180" t="inlineStr">
        <is>
          <t>Neuquina</t>
        </is>
      </c>
      <c r="C1180" t="inlineStr">
        <is>
          <t>PETROBRAS ARGENTINA S.A.</t>
        </is>
      </c>
      <c r="D1180" t="inlineStr">
        <is>
          <t>convencional</t>
        </is>
      </c>
      <c r="E1180" t="inlineStr">
        <is>
          <t>2013-05</t>
        </is>
      </c>
      <c r="F1180" t="n">
        <v>53022.6</v>
      </c>
      <c r="G1180" t="n">
        <v>1840013.5</v>
      </c>
      <c r="H1180" t="n">
        <v>1994748.2</v>
      </c>
      <c r="I1180">
        <f>DAY(EOMONTH(DATE(VALUE(LEFT(E1180,4)),VALUE(RIGHT(E1180,2)),1),0))</f>
        <v/>
      </c>
      <c r="J1180">
        <f>VALUE(LEFT(E1180,4))*12+VALUE(RIGHT(E1180,2))-1</f>
        <v/>
      </c>
    </row>
    <row r="1181">
      <c r="A1181" t="inlineStr">
        <is>
          <t>Puesto Hernández</t>
        </is>
      </c>
      <c r="B1181" t="inlineStr">
        <is>
          <t>Neuquina</t>
        </is>
      </c>
      <c r="C1181" t="inlineStr">
        <is>
          <t>PETROBRAS ARGENTINA S.A.</t>
        </is>
      </c>
      <c r="D1181" t="inlineStr">
        <is>
          <t>convencional</t>
        </is>
      </c>
      <c r="E1181" t="inlineStr">
        <is>
          <t>2013-06</t>
        </is>
      </c>
      <c r="F1181" t="n">
        <v>49606.4</v>
      </c>
      <c r="G1181" t="n">
        <v>1768281.7</v>
      </c>
      <c r="H1181" t="n">
        <v>1890560.1</v>
      </c>
      <c r="I1181">
        <f>DAY(EOMONTH(DATE(VALUE(LEFT(E1181,4)),VALUE(RIGHT(E1181,2)),1),0))</f>
        <v/>
      </c>
      <c r="J1181">
        <f>VALUE(LEFT(E1181,4))*12+VALUE(RIGHT(E1181,2))-1</f>
        <v/>
      </c>
    </row>
    <row r="1182">
      <c r="A1182" t="inlineStr">
        <is>
          <t>Puesto Hernández</t>
        </is>
      </c>
      <c r="B1182" t="inlineStr">
        <is>
          <t>Neuquina</t>
        </is>
      </c>
      <c r="C1182" t="inlineStr">
        <is>
          <t>PETROBRAS ARGENTINA S.A.</t>
        </is>
      </c>
      <c r="D1182" t="inlineStr">
        <is>
          <t>convencional</t>
        </is>
      </c>
      <c r="E1182" t="inlineStr">
        <is>
          <t>2013-07</t>
        </is>
      </c>
      <c r="F1182" t="n">
        <v>51941.8</v>
      </c>
      <c r="G1182" t="n">
        <v>1863685.4</v>
      </c>
      <c r="H1182" t="n">
        <v>2015569.1</v>
      </c>
      <c r="I1182">
        <f>DAY(EOMONTH(DATE(VALUE(LEFT(E1182,4)),VALUE(RIGHT(E1182,2)),1),0))</f>
        <v/>
      </c>
      <c r="J1182">
        <f>VALUE(LEFT(E1182,4))*12+VALUE(RIGHT(E1182,2))-1</f>
        <v/>
      </c>
    </row>
    <row r="1183">
      <c r="A1183" t="inlineStr">
        <is>
          <t>Puesto Hernández</t>
        </is>
      </c>
      <c r="B1183" t="inlineStr">
        <is>
          <t>Neuquina</t>
        </is>
      </c>
      <c r="C1183" t="inlineStr">
        <is>
          <t>PETROBRAS ARGENTINA S.A.</t>
        </is>
      </c>
      <c r="D1183" t="inlineStr">
        <is>
          <t>convencional</t>
        </is>
      </c>
      <c r="E1183" t="inlineStr">
        <is>
          <t>2013-08</t>
        </is>
      </c>
      <c r="F1183" t="n">
        <v>52522.1</v>
      </c>
      <c r="G1183" t="n">
        <v>1874412.1</v>
      </c>
      <c r="H1183" t="n">
        <v>2031871.7</v>
      </c>
      <c r="I1183">
        <f>DAY(EOMONTH(DATE(VALUE(LEFT(E1183,4)),VALUE(RIGHT(E1183,2)),1),0))</f>
        <v/>
      </c>
      <c r="J1183">
        <f>VALUE(LEFT(E1183,4))*12+VALUE(RIGHT(E1183,2))-1</f>
        <v/>
      </c>
    </row>
    <row r="1184">
      <c r="A1184" t="inlineStr">
        <is>
          <t>Puesto Hernández</t>
        </is>
      </c>
      <c r="B1184" t="inlineStr">
        <is>
          <t>Neuquina</t>
        </is>
      </c>
      <c r="C1184" t="inlineStr">
        <is>
          <t>PETROBRAS ARGENTINA S.A.</t>
        </is>
      </c>
      <c r="D1184" t="inlineStr">
        <is>
          <t>convencional</t>
        </is>
      </c>
      <c r="E1184" t="inlineStr">
        <is>
          <t>2013-09</t>
        </is>
      </c>
      <c r="F1184" t="n">
        <v>49935.5</v>
      </c>
      <c r="G1184" t="n">
        <v>1802963</v>
      </c>
      <c r="H1184" t="n">
        <v>1980745.8</v>
      </c>
      <c r="I1184">
        <f>DAY(EOMONTH(DATE(VALUE(LEFT(E1184,4)),VALUE(RIGHT(E1184,2)),1),0))</f>
        <v/>
      </c>
      <c r="J1184">
        <f>VALUE(LEFT(E1184,4))*12+VALUE(RIGHT(E1184,2))-1</f>
        <v/>
      </c>
    </row>
    <row r="1185">
      <c r="A1185" t="inlineStr">
        <is>
          <t>Puesto Hernández</t>
        </is>
      </c>
      <c r="B1185" t="inlineStr">
        <is>
          <t>Neuquina</t>
        </is>
      </c>
      <c r="C1185" t="inlineStr">
        <is>
          <t>PETROBRAS ARGENTINA S.A.</t>
        </is>
      </c>
      <c r="D1185" t="inlineStr">
        <is>
          <t>convencional</t>
        </is>
      </c>
      <c r="E1185" t="inlineStr">
        <is>
          <t>2013-10</t>
        </is>
      </c>
      <c r="F1185" t="n">
        <v>50843.5</v>
      </c>
      <c r="G1185" t="n">
        <v>1873760</v>
      </c>
      <c r="H1185" t="n">
        <v>2062221.4</v>
      </c>
      <c r="I1185">
        <f>DAY(EOMONTH(DATE(VALUE(LEFT(E1185,4)),VALUE(RIGHT(E1185,2)),1),0))</f>
        <v/>
      </c>
      <c r="J1185">
        <f>VALUE(LEFT(E1185,4))*12+VALUE(RIGHT(E1185,2))-1</f>
        <v/>
      </c>
    </row>
    <row r="1186">
      <c r="A1186" t="inlineStr">
        <is>
          <t>Puesto Hernández</t>
        </is>
      </c>
      <c r="B1186" t="inlineStr">
        <is>
          <t>Neuquina</t>
        </is>
      </c>
      <c r="C1186" t="inlineStr">
        <is>
          <t>PETROBRAS ARGENTINA S.A.</t>
        </is>
      </c>
      <c r="D1186" t="inlineStr">
        <is>
          <t>convencional</t>
        </is>
      </c>
      <c r="E1186" t="inlineStr">
        <is>
          <t>2013-11</t>
        </is>
      </c>
      <c r="F1186" t="n">
        <v>48784.8</v>
      </c>
      <c r="G1186" t="n">
        <v>1785808.6</v>
      </c>
      <c r="H1186" t="n">
        <v>1958917.5</v>
      </c>
      <c r="I1186">
        <f>DAY(EOMONTH(DATE(VALUE(LEFT(E1186,4)),VALUE(RIGHT(E1186,2)),1),0))</f>
        <v/>
      </c>
      <c r="J1186">
        <f>VALUE(LEFT(E1186,4))*12+VALUE(RIGHT(E1186,2))-1</f>
        <v/>
      </c>
    </row>
    <row r="1187">
      <c r="A1187" t="inlineStr">
        <is>
          <t>Puesto Hernández</t>
        </is>
      </c>
      <c r="B1187" t="inlineStr">
        <is>
          <t>Neuquina</t>
        </is>
      </c>
      <c r="C1187" t="inlineStr">
        <is>
          <t>PETROBRAS ARGENTINA S.A.</t>
        </is>
      </c>
      <c r="D1187" t="inlineStr">
        <is>
          <t>convencional</t>
        </is>
      </c>
      <c r="E1187" t="inlineStr">
        <is>
          <t>2013-12</t>
        </is>
      </c>
      <c r="F1187" t="n">
        <v>51108.3</v>
      </c>
      <c r="G1187" t="n">
        <v>1898719.2</v>
      </c>
      <c r="H1187" t="n">
        <v>2078964.9</v>
      </c>
      <c r="I1187">
        <f>DAY(EOMONTH(DATE(VALUE(LEFT(E1187,4)),VALUE(RIGHT(E1187,2)),1),0))</f>
        <v/>
      </c>
      <c r="J1187">
        <f>VALUE(LEFT(E1187,4))*12+VALUE(RIGHT(E1187,2))-1</f>
        <v/>
      </c>
    </row>
    <row r="1188">
      <c r="A1188" t="inlineStr">
        <is>
          <t>Puesto Hernández</t>
        </is>
      </c>
      <c r="B1188" t="inlineStr">
        <is>
          <t>Neuquina</t>
        </is>
      </c>
      <c r="C1188" t="inlineStr">
        <is>
          <t>YPF S.A.</t>
        </is>
      </c>
      <c r="D1188" t="inlineStr">
        <is>
          <t>convencional</t>
        </is>
      </c>
      <c r="E1188" t="inlineStr">
        <is>
          <t>2014-01</t>
        </is>
      </c>
      <c r="F1188" t="n">
        <v>50768.2</v>
      </c>
      <c r="G1188" t="n">
        <v>1902020.8</v>
      </c>
      <c r="H1188" t="n">
        <v>2089253</v>
      </c>
      <c r="I1188">
        <f>DAY(EOMONTH(DATE(VALUE(LEFT(E1188,4)),VALUE(RIGHT(E1188,2)),1),0))</f>
        <v/>
      </c>
      <c r="J1188">
        <f>VALUE(LEFT(E1188,4))*12+VALUE(RIGHT(E1188,2))-1</f>
        <v/>
      </c>
    </row>
    <row r="1189">
      <c r="A1189" t="inlineStr">
        <is>
          <t>Puesto Hernández</t>
        </is>
      </c>
      <c r="B1189" t="inlineStr">
        <is>
          <t>Neuquina</t>
        </is>
      </c>
      <c r="C1189" t="inlineStr">
        <is>
          <t>YPF S.A.</t>
        </is>
      </c>
      <c r="D1189" t="inlineStr">
        <is>
          <t>convencional</t>
        </is>
      </c>
      <c r="E1189" t="inlineStr">
        <is>
          <t>2014-02</t>
        </is>
      </c>
      <c r="F1189" t="n">
        <v>45986.6</v>
      </c>
      <c r="G1189" t="n">
        <v>1740217.2</v>
      </c>
      <c r="H1189" t="n">
        <v>1914746</v>
      </c>
      <c r="I1189">
        <f>DAY(EOMONTH(DATE(VALUE(LEFT(E1189,4)),VALUE(RIGHT(E1189,2)),1),0))</f>
        <v/>
      </c>
      <c r="J1189">
        <f>VALUE(LEFT(E1189,4))*12+VALUE(RIGHT(E1189,2))-1</f>
        <v/>
      </c>
    </row>
    <row r="1190">
      <c r="A1190" t="inlineStr">
        <is>
          <t>Puesto Hernández</t>
        </is>
      </c>
      <c r="B1190" t="inlineStr">
        <is>
          <t>Neuquina</t>
        </is>
      </c>
      <c r="C1190" t="inlineStr">
        <is>
          <t>YPF S.A.</t>
        </is>
      </c>
      <c r="D1190" t="inlineStr">
        <is>
          <t>convencional</t>
        </is>
      </c>
      <c r="E1190" t="inlineStr">
        <is>
          <t>2014-03</t>
        </is>
      </c>
      <c r="F1190" t="n">
        <v>50141.3</v>
      </c>
      <c r="G1190" t="n">
        <v>1892954.5</v>
      </c>
      <c r="H1190" t="n">
        <v>2080120</v>
      </c>
      <c r="I1190">
        <f>DAY(EOMONTH(DATE(VALUE(LEFT(E1190,4)),VALUE(RIGHT(E1190,2)),1),0))</f>
        <v/>
      </c>
      <c r="J1190">
        <f>VALUE(LEFT(E1190,4))*12+VALUE(RIGHT(E1190,2))-1</f>
        <v/>
      </c>
    </row>
    <row r="1191">
      <c r="A1191" t="inlineStr">
        <is>
          <t>Puesto Hernández</t>
        </is>
      </c>
      <c r="B1191" t="inlineStr">
        <is>
          <t>Neuquina</t>
        </is>
      </c>
      <c r="C1191" t="inlineStr">
        <is>
          <t>YPF S.A.</t>
        </is>
      </c>
      <c r="D1191" t="inlineStr">
        <is>
          <t>convencional</t>
        </is>
      </c>
      <c r="E1191" t="inlineStr">
        <is>
          <t>2014-04</t>
        </is>
      </c>
      <c r="F1191" t="n">
        <v>43900.6</v>
      </c>
      <c r="G1191" t="n">
        <v>1724922.8</v>
      </c>
      <c r="H1191" t="n">
        <v>1890843</v>
      </c>
      <c r="I1191">
        <f>DAY(EOMONTH(DATE(VALUE(LEFT(E1191,4)),VALUE(RIGHT(E1191,2)),1),0))</f>
        <v/>
      </c>
      <c r="J1191">
        <f>VALUE(LEFT(E1191,4))*12+VALUE(RIGHT(E1191,2))-1</f>
        <v/>
      </c>
    </row>
    <row r="1192">
      <c r="A1192" t="inlineStr">
        <is>
          <t>Puesto Hernández</t>
        </is>
      </c>
      <c r="B1192" t="inlineStr">
        <is>
          <t>Neuquina</t>
        </is>
      </c>
      <c r="C1192" t="inlineStr">
        <is>
          <t>YPF S.A.</t>
        </is>
      </c>
      <c r="D1192" t="inlineStr">
        <is>
          <t>convencional</t>
        </is>
      </c>
      <c r="E1192" t="inlineStr">
        <is>
          <t>2014-05</t>
        </is>
      </c>
      <c r="F1192" t="n">
        <v>49011.4</v>
      </c>
      <c r="G1192" t="n">
        <v>1869881.1</v>
      </c>
      <c r="H1192" t="n">
        <v>2052751</v>
      </c>
      <c r="I1192">
        <f>DAY(EOMONTH(DATE(VALUE(LEFT(E1192,4)),VALUE(RIGHT(E1192,2)),1),0))</f>
        <v/>
      </c>
      <c r="J1192">
        <f>VALUE(LEFT(E1192,4))*12+VALUE(RIGHT(E1192,2))-1</f>
        <v/>
      </c>
    </row>
    <row r="1193">
      <c r="A1193" t="inlineStr">
        <is>
          <t>Puesto Hernández</t>
        </is>
      </c>
      <c r="B1193" t="inlineStr">
        <is>
          <t>Neuquina</t>
        </is>
      </c>
      <c r="C1193" t="inlineStr">
        <is>
          <t>YPF S.A.</t>
        </is>
      </c>
      <c r="D1193" t="inlineStr">
        <is>
          <t>convencional</t>
        </is>
      </c>
      <c r="E1193" t="inlineStr">
        <is>
          <t>2014-06</t>
        </is>
      </c>
      <c r="F1193" t="n">
        <v>47291</v>
      </c>
      <c r="G1193" t="n">
        <v>1829146.3</v>
      </c>
      <c r="H1193" t="n">
        <v>2021139</v>
      </c>
      <c r="I1193">
        <f>DAY(EOMONTH(DATE(VALUE(LEFT(E1193,4)),VALUE(RIGHT(E1193,2)),1),0))</f>
        <v/>
      </c>
      <c r="J1193">
        <f>VALUE(LEFT(E1193,4))*12+VALUE(RIGHT(E1193,2))-1</f>
        <v/>
      </c>
    </row>
    <row r="1194">
      <c r="A1194" t="inlineStr">
        <is>
          <t>Puesto Hernández</t>
        </is>
      </c>
      <c r="B1194" t="inlineStr">
        <is>
          <t>Neuquina</t>
        </is>
      </c>
      <c r="C1194" t="inlineStr">
        <is>
          <t>YPF S.A.</t>
        </is>
      </c>
      <c r="D1194" t="inlineStr">
        <is>
          <t>convencional</t>
        </is>
      </c>
      <c r="E1194" t="inlineStr">
        <is>
          <t>2014-07</t>
        </is>
      </c>
      <c r="F1194" t="n">
        <v>47338.6</v>
      </c>
      <c r="G1194" t="n">
        <v>1874767.2</v>
      </c>
      <c r="H1194" t="n">
        <v>1963481</v>
      </c>
      <c r="I1194">
        <f>DAY(EOMONTH(DATE(VALUE(LEFT(E1194,4)),VALUE(RIGHT(E1194,2)),1),0))</f>
        <v/>
      </c>
      <c r="J1194">
        <f>VALUE(LEFT(E1194,4))*12+VALUE(RIGHT(E1194,2))-1</f>
        <v/>
      </c>
    </row>
    <row r="1195">
      <c r="A1195" t="inlineStr">
        <is>
          <t>Puesto Hernández</t>
        </is>
      </c>
      <c r="B1195" t="inlineStr">
        <is>
          <t>Neuquina</t>
        </is>
      </c>
      <c r="C1195" t="inlineStr">
        <is>
          <t>YPF S.A.</t>
        </is>
      </c>
      <c r="D1195" t="inlineStr">
        <is>
          <t>convencional</t>
        </is>
      </c>
      <c r="E1195" t="inlineStr">
        <is>
          <t>2014-08</t>
        </is>
      </c>
      <c r="F1195" t="n">
        <v>48745.7</v>
      </c>
      <c r="G1195" t="n">
        <v>1940279.6</v>
      </c>
      <c r="H1195" t="n">
        <v>2137447</v>
      </c>
      <c r="I1195">
        <f>DAY(EOMONTH(DATE(VALUE(LEFT(E1195,4)),VALUE(RIGHT(E1195,2)),1),0))</f>
        <v/>
      </c>
      <c r="J1195">
        <f>VALUE(LEFT(E1195,4))*12+VALUE(RIGHT(E1195,2))-1</f>
        <v/>
      </c>
    </row>
    <row r="1196">
      <c r="A1196" t="inlineStr">
        <is>
          <t>Puesto Hernández</t>
        </is>
      </c>
      <c r="B1196" t="inlineStr">
        <is>
          <t>Neuquina</t>
        </is>
      </c>
      <c r="C1196" t="inlineStr">
        <is>
          <t>YPF S.A.</t>
        </is>
      </c>
      <c r="D1196" t="inlineStr">
        <is>
          <t>convencional</t>
        </is>
      </c>
      <c r="E1196" t="inlineStr">
        <is>
          <t>2014-09</t>
        </is>
      </c>
      <c r="F1196" t="n">
        <v>47440.4</v>
      </c>
      <c r="G1196" t="n">
        <v>1918253.4</v>
      </c>
      <c r="H1196" t="n">
        <v>2101632</v>
      </c>
      <c r="I1196">
        <f>DAY(EOMONTH(DATE(VALUE(LEFT(E1196,4)),VALUE(RIGHT(E1196,2)),1),0))</f>
        <v/>
      </c>
      <c r="J1196">
        <f>VALUE(LEFT(E1196,4))*12+VALUE(RIGHT(E1196,2))-1</f>
        <v/>
      </c>
    </row>
    <row r="1197">
      <c r="A1197" t="inlineStr">
        <is>
          <t>Puesto Hernández</t>
        </is>
      </c>
      <c r="B1197" t="inlineStr">
        <is>
          <t>Neuquina</t>
        </is>
      </c>
      <c r="C1197" t="inlineStr">
        <is>
          <t>YPF S.A.</t>
        </is>
      </c>
      <c r="D1197" t="inlineStr">
        <is>
          <t>convencional</t>
        </is>
      </c>
      <c r="E1197" t="inlineStr">
        <is>
          <t>2014-10</t>
        </is>
      </c>
      <c r="F1197" t="n">
        <v>48966.6</v>
      </c>
      <c r="G1197" t="n">
        <v>2002802</v>
      </c>
      <c r="H1197" t="n">
        <v>2187295</v>
      </c>
      <c r="I1197">
        <f>DAY(EOMONTH(DATE(VALUE(LEFT(E1197,4)),VALUE(RIGHT(E1197,2)),1),0))</f>
        <v/>
      </c>
      <c r="J1197">
        <f>VALUE(LEFT(E1197,4))*12+VALUE(RIGHT(E1197,2))-1</f>
        <v/>
      </c>
    </row>
    <row r="1198">
      <c r="A1198" t="inlineStr">
        <is>
          <t>Puesto Hernández</t>
        </is>
      </c>
      <c r="B1198" t="inlineStr">
        <is>
          <t>Neuquina</t>
        </is>
      </c>
      <c r="C1198" t="inlineStr">
        <is>
          <t>YPF S.A.</t>
        </is>
      </c>
      <c r="D1198" t="inlineStr">
        <is>
          <t>convencional</t>
        </is>
      </c>
      <c r="E1198" t="inlineStr">
        <is>
          <t>2014-11</t>
        </is>
      </c>
      <c r="F1198" t="n">
        <v>46774.3</v>
      </c>
      <c r="G1198" t="n">
        <v>1936775</v>
      </c>
      <c r="H1198" t="n">
        <v>2091575.2</v>
      </c>
      <c r="I1198">
        <f>DAY(EOMONTH(DATE(VALUE(LEFT(E1198,4)),VALUE(RIGHT(E1198,2)),1),0))</f>
        <v/>
      </c>
      <c r="J1198">
        <f>VALUE(LEFT(E1198,4))*12+VALUE(RIGHT(E1198,2))-1</f>
        <v/>
      </c>
    </row>
    <row r="1199">
      <c r="A1199" t="inlineStr">
        <is>
          <t>Puesto Hernández</t>
        </is>
      </c>
      <c r="B1199" t="inlineStr">
        <is>
          <t>Neuquina</t>
        </is>
      </c>
      <c r="C1199" t="inlineStr">
        <is>
          <t>YPF S.A.</t>
        </is>
      </c>
      <c r="D1199" t="inlineStr">
        <is>
          <t>convencional</t>
        </is>
      </c>
      <c r="E1199" t="inlineStr">
        <is>
          <t>2014-12</t>
        </is>
      </c>
      <c r="F1199" t="n">
        <v>47735.5</v>
      </c>
      <c r="G1199" t="n">
        <v>1998731.3</v>
      </c>
      <c r="H1199" t="n">
        <v>2198612.3</v>
      </c>
      <c r="I1199">
        <f>DAY(EOMONTH(DATE(VALUE(LEFT(E1199,4)),VALUE(RIGHT(E1199,2)),1),0))</f>
        <v/>
      </c>
      <c r="J1199">
        <f>VALUE(LEFT(E1199,4))*12+VALUE(RIGHT(E1199,2))-1</f>
        <v/>
      </c>
    </row>
    <row r="1200">
      <c r="A1200" t="inlineStr">
        <is>
          <t>Puesto Hernández</t>
        </is>
      </c>
      <c r="B1200" t="inlineStr">
        <is>
          <t>Neuquina</t>
        </is>
      </c>
      <c r="C1200" t="inlineStr">
        <is>
          <t>YPF S.A.</t>
        </is>
      </c>
      <c r="D1200" t="inlineStr">
        <is>
          <t>convencional</t>
        </is>
      </c>
      <c r="E1200" t="inlineStr">
        <is>
          <t>2015-01</t>
        </is>
      </c>
      <c r="F1200" t="n">
        <v>47609.2</v>
      </c>
      <c r="G1200" t="n">
        <v>2033417.2</v>
      </c>
      <c r="H1200" t="n">
        <v>2226200.2</v>
      </c>
      <c r="I1200">
        <f>DAY(EOMONTH(DATE(VALUE(LEFT(E1200,4)),VALUE(RIGHT(E1200,2)),1),0))</f>
        <v/>
      </c>
      <c r="J1200">
        <f>VALUE(LEFT(E1200,4))*12+VALUE(RIGHT(E1200,2))-1</f>
        <v/>
      </c>
    </row>
    <row r="1201">
      <c r="A1201" t="inlineStr">
        <is>
          <t>Puesto Hernández</t>
        </is>
      </c>
      <c r="B1201" t="inlineStr">
        <is>
          <t>Neuquina</t>
        </is>
      </c>
      <c r="C1201" t="inlineStr">
        <is>
          <t>YPF S.A.</t>
        </is>
      </c>
      <c r="D1201" t="inlineStr">
        <is>
          <t>convencional</t>
        </is>
      </c>
      <c r="E1201" t="inlineStr">
        <is>
          <t>2015-02</t>
        </is>
      </c>
      <c r="F1201" t="n">
        <v>38518.5</v>
      </c>
      <c r="G1201" t="n">
        <v>1701091.3</v>
      </c>
      <c r="H1201" t="n">
        <v>1868394.2</v>
      </c>
      <c r="I1201">
        <f>DAY(EOMONTH(DATE(VALUE(LEFT(E1201,4)),VALUE(RIGHT(E1201,2)),1),0))</f>
        <v/>
      </c>
      <c r="J1201">
        <f>VALUE(LEFT(E1201,4))*12+VALUE(RIGHT(E1201,2))-1</f>
        <v/>
      </c>
    </row>
    <row r="1202">
      <c r="A1202" t="inlineStr">
        <is>
          <t>Puesto Hernández</t>
        </is>
      </c>
      <c r="B1202" t="inlineStr">
        <is>
          <t>Neuquina</t>
        </is>
      </c>
      <c r="C1202" t="inlineStr">
        <is>
          <t>YPF S.A.</t>
        </is>
      </c>
      <c r="D1202" t="inlineStr">
        <is>
          <t>convencional</t>
        </is>
      </c>
      <c r="E1202" t="inlineStr">
        <is>
          <t>2015-03</t>
        </is>
      </c>
      <c r="F1202" t="n">
        <v>46926.8</v>
      </c>
      <c r="G1202" t="n">
        <v>2030576.9</v>
      </c>
      <c r="H1202" t="n">
        <v>2253853.2</v>
      </c>
      <c r="I1202">
        <f>DAY(EOMONTH(DATE(VALUE(LEFT(E1202,4)),VALUE(RIGHT(E1202,2)),1),0))</f>
        <v/>
      </c>
      <c r="J1202">
        <f>VALUE(LEFT(E1202,4))*12+VALUE(RIGHT(E1202,2))-1</f>
        <v/>
      </c>
    </row>
    <row r="1203">
      <c r="A1203" t="inlineStr">
        <is>
          <t>Puesto Hernández</t>
        </is>
      </c>
      <c r="B1203" t="inlineStr">
        <is>
          <t>Neuquina</t>
        </is>
      </c>
      <c r="C1203" t="inlineStr">
        <is>
          <t>YPF S.A.</t>
        </is>
      </c>
      <c r="D1203" t="inlineStr">
        <is>
          <t>convencional</t>
        </is>
      </c>
      <c r="E1203" t="inlineStr">
        <is>
          <t>2015-04</t>
        </is>
      </c>
      <c r="F1203" t="n">
        <v>45112.7</v>
      </c>
      <c r="G1203" t="n">
        <v>1974485.5</v>
      </c>
      <c r="H1203" t="n">
        <v>2183128.3</v>
      </c>
      <c r="I1203">
        <f>DAY(EOMONTH(DATE(VALUE(LEFT(E1203,4)),VALUE(RIGHT(E1203,2)),1),0))</f>
        <v/>
      </c>
      <c r="J1203">
        <f>VALUE(LEFT(E1203,4))*12+VALUE(RIGHT(E1203,2))-1</f>
        <v/>
      </c>
    </row>
    <row r="1204">
      <c r="A1204" t="inlineStr">
        <is>
          <t>Puesto Hernández</t>
        </is>
      </c>
      <c r="B1204" t="inlineStr">
        <is>
          <t>Neuquina</t>
        </is>
      </c>
      <c r="C1204" t="inlineStr">
        <is>
          <t>YPF S.A.</t>
        </is>
      </c>
      <c r="D1204" t="inlineStr">
        <is>
          <t>convencional</t>
        </is>
      </c>
      <c r="E1204" t="inlineStr">
        <is>
          <t>2015-05</t>
        </is>
      </c>
      <c r="F1204" t="n">
        <v>46927.8</v>
      </c>
      <c r="G1204" t="n">
        <v>2047809</v>
      </c>
      <c r="H1204" t="n">
        <v>2271123.2</v>
      </c>
      <c r="I1204">
        <f>DAY(EOMONTH(DATE(VALUE(LEFT(E1204,4)),VALUE(RIGHT(E1204,2)),1),0))</f>
        <v/>
      </c>
      <c r="J1204">
        <f>VALUE(LEFT(E1204,4))*12+VALUE(RIGHT(E1204,2))-1</f>
        <v/>
      </c>
    </row>
    <row r="1205">
      <c r="A1205" t="inlineStr">
        <is>
          <t>Puesto Hernández</t>
        </is>
      </c>
      <c r="B1205" t="inlineStr">
        <is>
          <t>Neuquina</t>
        </is>
      </c>
      <c r="C1205" t="inlineStr">
        <is>
          <t>YPF S.A.</t>
        </is>
      </c>
      <c r="D1205" t="inlineStr">
        <is>
          <t>convencional</t>
        </is>
      </c>
      <c r="E1205" t="inlineStr">
        <is>
          <t>2015-06</t>
        </is>
      </c>
      <c r="F1205" t="n">
        <v>45111.9</v>
      </c>
      <c r="G1205" t="n">
        <v>1945564.1</v>
      </c>
      <c r="H1205" t="n">
        <v>2155174.2</v>
      </c>
      <c r="I1205">
        <f>DAY(EOMONTH(DATE(VALUE(LEFT(E1205,4)),VALUE(RIGHT(E1205,2)),1),0))</f>
        <v/>
      </c>
      <c r="J1205">
        <f>VALUE(LEFT(E1205,4))*12+VALUE(RIGHT(E1205,2))-1</f>
        <v/>
      </c>
    </row>
    <row r="1206">
      <c r="A1206" t="inlineStr">
        <is>
          <t>Puesto Hernández</t>
        </is>
      </c>
      <c r="B1206" t="inlineStr">
        <is>
          <t>Neuquina</t>
        </is>
      </c>
      <c r="C1206" t="inlineStr">
        <is>
          <t>YPF S.A.</t>
        </is>
      </c>
      <c r="D1206" t="inlineStr">
        <is>
          <t>convencional</t>
        </is>
      </c>
      <c r="E1206" t="inlineStr">
        <is>
          <t>2015-07</t>
        </is>
      </c>
      <c r="F1206" t="n">
        <v>46197.6</v>
      </c>
      <c r="G1206" t="n">
        <v>2017343.9</v>
      </c>
      <c r="H1206" t="n">
        <v>2236182.2</v>
      </c>
      <c r="I1206">
        <f>DAY(EOMONTH(DATE(VALUE(LEFT(E1206,4)),VALUE(RIGHT(E1206,2)),1),0))</f>
        <v/>
      </c>
      <c r="J1206">
        <f>VALUE(LEFT(E1206,4))*12+VALUE(RIGHT(E1206,2))-1</f>
        <v/>
      </c>
    </row>
    <row r="1207">
      <c r="A1207" t="inlineStr">
        <is>
          <t>Puesto Hernández</t>
        </is>
      </c>
      <c r="B1207" t="inlineStr">
        <is>
          <t>Neuquina</t>
        </is>
      </c>
      <c r="C1207" t="inlineStr">
        <is>
          <t>YPF S.A.</t>
        </is>
      </c>
      <c r="D1207" t="inlineStr">
        <is>
          <t>convencional</t>
        </is>
      </c>
      <c r="E1207" t="inlineStr">
        <is>
          <t>2015-08</t>
        </is>
      </c>
      <c r="F1207" t="n">
        <v>46115.7</v>
      </c>
      <c r="G1207" t="n">
        <v>2035448.8</v>
      </c>
      <c r="H1207" t="n">
        <v>2263376.2</v>
      </c>
      <c r="I1207">
        <f>DAY(EOMONTH(DATE(VALUE(LEFT(E1207,4)),VALUE(RIGHT(E1207,2)),1),0))</f>
        <v/>
      </c>
      <c r="J1207">
        <f>VALUE(LEFT(E1207,4))*12+VALUE(RIGHT(E1207,2))-1</f>
        <v/>
      </c>
    </row>
    <row r="1208">
      <c r="A1208" t="inlineStr">
        <is>
          <t>Puesto Hernández</t>
        </is>
      </c>
      <c r="B1208" t="inlineStr">
        <is>
          <t>Neuquina</t>
        </is>
      </c>
      <c r="C1208" t="inlineStr">
        <is>
          <t>YPF S.A.</t>
        </is>
      </c>
      <c r="D1208" t="inlineStr">
        <is>
          <t>convencional</t>
        </is>
      </c>
      <c r="E1208" t="inlineStr">
        <is>
          <t>2015-09</t>
        </is>
      </c>
      <c r="F1208" t="n">
        <v>44171.7</v>
      </c>
      <c r="G1208" t="n">
        <v>1973126</v>
      </c>
      <c r="H1208" t="n">
        <v>2186264.3</v>
      </c>
      <c r="I1208">
        <f>DAY(EOMONTH(DATE(VALUE(LEFT(E1208,4)),VALUE(RIGHT(E1208,2)),1),0))</f>
        <v/>
      </c>
      <c r="J1208">
        <f>VALUE(LEFT(E1208,4))*12+VALUE(RIGHT(E1208,2))-1</f>
        <v/>
      </c>
    </row>
    <row r="1209">
      <c r="A1209" t="inlineStr">
        <is>
          <t>Puesto Hernández</t>
        </is>
      </c>
      <c r="B1209" t="inlineStr">
        <is>
          <t>Neuquina</t>
        </is>
      </c>
      <c r="C1209" t="inlineStr">
        <is>
          <t>YPF S.A.</t>
        </is>
      </c>
      <c r="D1209" t="inlineStr">
        <is>
          <t>convencional</t>
        </is>
      </c>
      <c r="E1209" t="inlineStr">
        <is>
          <t>2015-10</t>
        </is>
      </c>
      <c r="F1209" t="n">
        <v>45579</v>
      </c>
      <c r="G1209" t="n">
        <v>2030201.5</v>
      </c>
      <c r="H1209" t="n">
        <v>2232483.2</v>
      </c>
      <c r="I1209">
        <f>DAY(EOMONTH(DATE(VALUE(LEFT(E1209,4)),VALUE(RIGHT(E1209,2)),1),0))</f>
        <v/>
      </c>
      <c r="J1209">
        <f>VALUE(LEFT(E1209,4))*12+VALUE(RIGHT(E1209,2))-1</f>
        <v/>
      </c>
    </row>
    <row r="1210">
      <c r="A1210" t="inlineStr">
        <is>
          <t>Puesto Hernández</t>
        </is>
      </c>
      <c r="B1210" t="inlineStr">
        <is>
          <t>Neuquina</t>
        </is>
      </c>
      <c r="C1210" t="inlineStr">
        <is>
          <t>YPF S.A.</t>
        </is>
      </c>
      <c r="D1210" t="inlineStr">
        <is>
          <t>convencional</t>
        </is>
      </c>
      <c r="E1210" t="inlineStr">
        <is>
          <t>2015-11</t>
        </is>
      </c>
      <c r="F1210" t="n">
        <v>43065.8</v>
      </c>
      <c r="G1210" t="n">
        <v>1939366.6</v>
      </c>
      <c r="H1210" t="n">
        <v>2124080.2</v>
      </c>
      <c r="I1210">
        <f>DAY(EOMONTH(DATE(VALUE(LEFT(E1210,4)),VALUE(RIGHT(E1210,2)),1),0))</f>
        <v/>
      </c>
      <c r="J1210">
        <f>VALUE(LEFT(E1210,4))*12+VALUE(RIGHT(E1210,2))-1</f>
        <v/>
      </c>
    </row>
    <row r="1211">
      <c r="A1211" t="inlineStr">
        <is>
          <t>Puesto Hernández</t>
        </is>
      </c>
      <c r="B1211" t="inlineStr">
        <is>
          <t>Neuquina</t>
        </is>
      </c>
      <c r="C1211" t="inlineStr">
        <is>
          <t>YPF S.A.</t>
        </is>
      </c>
      <c r="D1211" t="inlineStr">
        <is>
          <t>convencional</t>
        </is>
      </c>
      <c r="E1211" t="inlineStr">
        <is>
          <t>2015-12</t>
        </is>
      </c>
      <c r="F1211" t="n">
        <v>45178.6</v>
      </c>
      <c r="G1211" t="n">
        <v>2017892.5</v>
      </c>
      <c r="H1211" t="n">
        <v>2201727.1</v>
      </c>
      <c r="I1211">
        <f>DAY(EOMONTH(DATE(VALUE(LEFT(E1211,4)),VALUE(RIGHT(E1211,2)),1),0))</f>
        <v/>
      </c>
      <c r="J1211">
        <f>VALUE(LEFT(E1211,4))*12+VALUE(RIGHT(E1211,2))-1</f>
        <v/>
      </c>
    </row>
    <row r="1212">
      <c r="A1212" t="inlineStr">
        <is>
          <t>Puesto Hernández</t>
        </is>
      </c>
      <c r="B1212" t="inlineStr">
        <is>
          <t>Neuquina</t>
        </is>
      </c>
      <c r="C1212" t="inlineStr">
        <is>
          <t>YPF S.A.</t>
        </is>
      </c>
      <c r="D1212" t="inlineStr">
        <is>
          <t>convencional</t>
        </is>
      </c>
      <c r="E1212" t="inlineStr">
        <is>
          <t>2016-01</t>
        </is>
      </c>
      <c r="F1212" t="n">
        <v>44636.1</v>
      </c>
      <c r="G1212" t="n">
        <v>2029044.4</v>
      </c>
      <c r="H1212" t="n">
        <v>2195756.2</v>
      </c>
      <c r="I1212">
        <f>DAY(EOMONTH(DATE(VALUE(LEFT(E1212,4)),VALUE(RIGHT(E1212,2)),1),0))</f>
        <v/>
      </c>
      <c r="J1212">
        <f>VALUE(LEFT(E1212,4))*12+VALUE(RIGHT(E1212,2))-1</f>
        <v/>
      </c>
    </row>
    <row r="1213">
      <c r="A1213" t="inlineStr">
        <is>
          <t>Puesto Hernández</t>
        </is>
      </c>
      <c r="B1213" t="inlineStr">
        <is>
          <t>Neuquina</t>
        </is>
      </c>
      <c r="C1213" t="inlineStr">
        <is>
          <t>YPF S.A.</t>
        </is>
      </c>
      <c r="D1213" t="inlineStr">
        <is>
          <t>convencional</t>
        </is>
      </c>
      <c r="E1213" t="inlineStr">
        <is>
          <t>2016-02</t>
        </is>
      </c>
      <c r="F1213" t="n">
        <v>40796.6</v>
      </c>
      <c r="G1213" t="n">
        <v>1889771.1</v>
      </c>
      <c r="H1213" t="n">
        <v>2064327.3</v>
      </c>
      <c r="I1213">
        <f>DAY(EOMONTH(DATE(VALUE(LEFT(E1213,4)),VALUE(RIGHT(E1213,2)),1),0))</f>
        <v/>
      </c>
      <c r="J1213">
        <f>VALUE(LEFT(E1213,4))*12+VALUE(RIGHT(E1213,2))-1</f>
        <v/>
      </c>
    </row>
    <row r="1214">
      <c r="A1214" t="inlineStr">
        <is>
          <t>Puesto Hernández</t>
        </is>
      </c>
      <c r="B1214" t="inlineStr">
        <is>
          <t>Neuquina</t>
        </is>
      </c>
      <c r="C1214" t="inlineStr">
        <is>
          <t>YPF S.A.</t>
        </is>
      </c>
      <c r="D1214" t="inlineStr">
        <is>
          <t>convencional</t>
        </is>
      </c>
      <c r="E1214" t="inlineStr">
        <is>
          <t>2016-03</t>
        </is>
      </c>
      <c r="F1214" t="n">
        <v>43627</v>
      </c>
      <c r="G1214" t="n">
        <v>2031671.9</v>
      </c>
      <c r="H1214" t="n">
        <v>2229594.2</v>
      </c>
      <c r="I1214">
        <f>DAY(EOMONTH(DATE(VALUE(LEFT(E1214,4)),VALUE(RIGHT(E1214,2)),1),0))</f>
        <v/>
      </c>
      <c r="J1214">
        <f>VALUE(LEFT(E1214,4))*12+VALUE(RIGHT(E1214,2))-1</f>
        <v/>
      </c>
    </row>
    <row r="1215">
      <c r="A1215" t="inlineStr">
        <is>
          <t>Puesto Hernández</t>
        </is>
      </c>
      <c r="B1215" t="inlineStr">
        <is>
          <t>Neuquina</t>
        </is>
      </c>
      <c r="C1215" t="inlineStr">
        <is>
          <t>YPF S.A.</t>
        </is>
      </c>
      <c r="D1215" t="inlineStr">
        <is>
          <t>convencional</t>
        </is>
      </c>
      <c r="E1215" t="inlineStr">
        <is>
          <t>2016-04</t>
        </is>
      </c>
      <c r="F1215" t="n">
        <v>42360.7</v>
      </c>
      <c r="G1215" t="n">
        <v>1978123.9</v>
      </c>
      <c r="H1215" t="n">
        <v>2171868.3</v>
      </c>
      <c r="I1215">
        <f>DAY(EOMONTH(DATE(VALUE(LEFT(E1215,4)),VALUE(RIGHT(E1215,2)),1),0))</f>
        <v/>
      </c>
      <c r="J1215">
        <f>VALUE(LEFT(E1215,4))*12+VALUE(RIGHT(E1215,2))-1</f>
        <v/>
      </c>
    </row>
    <row r="1216">
      <c r="A1216" t="inlineStr">
        <is>
          <t>Puesto Hernández</t>
        </is>
      </c>
      <c r="B1216" t="inlineStr">
        <is>
          <t>Neuquina</t>
        </is>
      </c>
      <c r="C1216" t="inlineStr">
        <is>
          <t>YPF S.A.</t>
        </is>
      </c>
      <c r="D1216" t="inlineStr">
        <is>
          <t>convencional</t>
        </is>
      </c>
      <c r="E1216" t="inlineStr">
        <is>
          <t>2016-05</t>
        </is>
      </c>
      <c r="F1216" t="n">
        <v>43140.4</v>
      </c>
      <c r="G1216" t="n">
        <v>2089747.1</v>
      </c>
      <c r="H1216" t="n">
        <v>2296036.2</v>
      </c>
      <c r="I1216">
        <f>DAY(EOMONTH(DATE(VALUE(LEFT(E1216,4)),VALUE(RIGHT(E1216,2)),1),0))</f>
        <v/>
      </c>
      <c r="J1216">
        <f>VALUE(LEFT(E1216,4))*12+VALUE(RIGHT(E1216,2))-1</f>
        <v/>
      </c>
    </row>
    <row r="1217">
      <c r="A1217" t="inlineStr">
        <is>
          <t>Puesto Hernández</t>
        </is>
      </c>
      <c r="B1217" t="inlineStr">
        <is>
          <t>Neuquina</t>
        </is>
      </c>
      <c r="C1217" t="inlineStr">
        <is>
          <t>YPF S.A.</t>
        </is>
      </c>
      <c r="D1217" t="inlineStr">
        <is>
          <t>convencional</t>
        </is>
      </c>
      <c r="E1217" t="inlineStr">
        <is>
          <t>2016-06</t>
        </is>
      </c>
      <c r="F1217" t="n">
        <v>38435.1</v>
      </c>
      <c r="G1217" t="n">
        <v>1892356.7</v>
      </c>
      <c r="H1217" t="n">
        <v>2074819.2</v>
      </c>
      <c r="I1217">
        <f>DAY(EOMONTH(DATE(VALUE(LEFT(E1217,4)),VALUE(RIGHT(E1217,2)),1),0))</f>
        <v/>
      </c>
      <c r="J1217">
        <f>VALUE(LEFT(E1217,4))*12+VALUE(RIGHT(E1217,2))-1</f>
        <v/>
      </c>
    </row>
    <row r="1218">
      <c r="A1218" t="inlineStr">
        <is>
          <t>Puesto Hernández</t>
        </is>
      </c>
      <c r="B1218" t="inlineStr">
        <is>
          <t>Neuquina</t>
        </is>
      </c>
      <c r="C1218" t="inlineStr">
        <is>
          <t>YPF S.A.</t>
        </is>
      </c>
      <c r="D1218" t="inlineStr">
        <is>
          <t>convencional</t>
        </is>
      </c>
      <c r="E1218" t="inlineStr">
        <is>
          <t>2016-07</t>
        </is>
      </c>
      <c r="F1218" t="n">
        <v>42065</v>
      </c>
      <c r="G1218" t="n">
        <v>2064344.2</v>
      </c>
      <c r="H1218" t="n">
        <v>2281377.2</v>
      </c>
      <c r="I1218">
        <f>DAY(EOMONTH(DATE(VALUE(LEFT(E1218,4)),VALUE(RIGHT(E1218,2)),1),0))</f>
        <v/>
      </c>
      <c r="J1218">
        <f>VALUE(LEFT(E1218,4))*12+VALUE(RIGHT(E1218,2))-1</f>
        <v/>
      </c>
    </row>
    <row r="1219">
      <c r="A1219" t="inlineStr">
        <is>
          <t>Puesto Hernández</t>
        </is>
      </c>
      <c r="B1219" t="inlineStr">
        <is>
          <t>Neuquina</t>
        </is>
      </c>
      <c r="C1219" t="inlineStr">
        <is>
          <t>YPF S.A.</t>
        </is>
      </c>
      <c r="D1219" t="inlineStr">
        <is>
          <t>convencional</t>
        </is>
      </c>
      <c r="E1219" t="inlineStr">
        <is>
          <t>2016-08</t>
        </is>
      </c>
      <c r="F1219" t="n">
        <v>41831.1</v>
      </c>
      <c r="G1219" t="n">
        <v>2030779.1</v>
      </c>
      <c r="H1219" t="n">
        <v>2239472.3</v>
      </c>
      <c r="I1219">
        <f>DAY(EOMONTH(DATE(VALUE(LEFT(E1219,4)),VALUE(RIGHT(E1219,2)),1),0))</f>
        <v/>
      </c>
      <c r="J1219">
        <f>VALUE(LEFT(E1219,4))*12+VALUE(RIGHT(E1219,2))-1</f>
        <v/>
      </c>
    </row>
    <row r="1220">
      <c r="A1220" t="inlineStr">
        <is>
          <t>Puesto Hernández</t>
        </is>
      </c>
      <c r="B1220" t="inlineStr">
        <is>
          <t>Neuquina</t>
        </is>
      </c>
      <c r="C1220" t="inlineStr">
        <is>
          <t>YPF S.A.</t>
        </is>
      </c>
      <c r="D1220" t="inlineStr">
        <is>
          <t>convencional</t>
        </is>
      </c>
      <c r="E1220" t="inlineStr">
        <is>
          <t>2016-09</t>
        </is>
      </c>
      <c r="F1220" t="n">
        <v>39290.7</v>
      </c>
      <c r="G1220" t="n">
        <v>1972960</v>
      </c>
      <c r="H1220" t="n">
        <v>2133732.2</v>
      </c>
      <c r="I1220">
        <f>DAY(EOMONTH(DATE(VALUE(LEFT(E1220,4)),VALUE(RIGHT(E1220,2)),1),0))</f>
        <v/>
      </c>
      <c r="J1220">
        <f>VALUE(LEFT(E1220,4))*12+VALUE(RIGHT(E1220,2))-1</f>
        <v/>
      </c>
    </row>
    <row r="1221">
      <c r="A1221" t="inlineStr">
        <is>
          <t>Puesto Hernández</t>
        </is>
      </c>
      <c r="B1221" t="inlineStr">
        <is>
          <t>Neuquina</t>
        </is>
      </c>
      <c r="C1221" t="inlineStr">
        <is>
          <t>YPF S.A.</t>
        </is>
      </c>
      <c r="D1221" t="inlineStr">
        <is>
          <t>convencional</t>
        </is>
      </c>
      <c r="E1221" t="inlineStr">
        <is>
          <t>2016-10</t>
        </is>
      </c>
      <c r="F1221" t="n">
        <v>39647.2</v>
      </c>
      <c r="G1221" t="n">
        <v>1960942.2</v>
      </c>
      <c r="H1221" t="n">
        <v>2126458.3</v>
      </c>
      <c r="I1221">
        <f>DAY(EOMONTH(DATE(VALUE(LEFT(E1221,4)),VALUE(RIGHT(E1221,2)),1),0))</f>
        <v/>
      </c>
      <c r="J1221">
        <f>VALUE(LEFT(E1221,4))*12+VALUE(RIGHT(E1221,2))-1</f>
        <v/>
      </c>
    </row>
    <row r="1222">
      <c r="A1222" t="inlineStr">
        <is>
          <t>Puesto Hernández</t>
        </is>
      </c>
      <c r="B1222" t="inlineStr">
        <is>
          <t>Neuquina</t>
        </is>
      </c>
      <c r="C1222" t="inlineStr">
        <is>
          <t>YPF S.A.</t>
        </is>
      </c>
      <c r="D1222" t="inlineStr">
        <is>
          <t>convencional</t>
        </is>
      </c>
      <c r="E1222" t="inlineStr">
        <is>
          <t>2016-11</t>
        </is>
      </c>
      <c r="F1222" t="n">
        <v>37987.9</v>
      </c>
      <c r="G1222" t="n">
        <v>1920265.8</v>
      </c>
      <c r="H1222" t="n">
        <v>2107192.2</v>
      </c>
      <c r="I1222">
        <f>DAY(EOMONTH(DATE(VALUE(LEFT(E1222,4)),VALUE(RIGHT(E1222,2)),1),0))</f>
        <v/>
      </c>
      <c r="J1222">
        <f>VALUE(LEFT(E1222,4))*12+VALUE(RIGHT(E1222,2))-1</f>
        <v/>
      </c>
    </row>
    <row r="1223">
      <c r="A1223" t="inlineStr">
        <is>
          <t>Puesto Hernández</t>
        </is>
      </c>
      <c r="B1223" t="inlineStr">
        <is>
          <t>Neuquina</t>
        </is>
      </c>
      <c r="C1223" t="inlineStr">
        <is>
          <t>YPF S.A.</t>
        </is>
      </c>
      <c r="D1223" t="inlineStr">
        <is>
          <t>convencional</t>
        </is>
      </c>
      <c r="E1223" t="inlineStr">
        <is>
          <t>2016-12</t>
        </is>
      </c>
      <c r="F1223" t="n">
        <v>36492.4</v>
      </c>
      <c r="G1223" t="n">
        <v>1914173.1</v>
      </c>
      <c r="H1223" t="n">
        <v>2076784.2</v>
      </c>
      <c r="I1223">
        <f>DAY(EOMONTH(DATE(VALUE(LEFT(E1223,4)),VALUE(RIGHT(E1223,2)),1),0))</f>
        <v/>
      </c>
      <c r="J1223">
        <f>VALUE(LEFT(E1223,4))*12+VALUE(RIGHT(E1223,2))-1</f>
        <v/>
      </c>
    </row>
    <row r="1224">
      <c r="A1224" t="inlineStr">
        <is>
          <t>Puesto Hernández</t>
        </is>
      </c>
      <c r="B1224" t="inlineStr">
        <is>
          <t>Neuquina</t>
        </is>
      </c>
      <c r="C1224" t="inlineStr">
        <is>
          <t>YPF S.A.</t>
        </is>
      </c>
      <c r="D1224" t="inlineStr">
        <is>
          <t>convencional</t>
        </is>
      </c>
      <c r="E1224" t="inlineStr">
        <is>
          <t>2017-01</t>
        </is>
      </c>
      <c r="F1224" t="n">
        <v>39030.9</v>
      </c>
      <c r="G1224" t="n">
        <v>1980643.2</v>
      </c>
      <c r="H1224" t="n">
        <v>2181558.2</v>
      </c>
      <c r="I1224">
        <f>DAY(EOMONTH(DATE(VALUE(LEFT(E1224,4)),VALUE(RIGHT(E1224,2)),1),0))</f>
        <v/>
      </c>
      <c r="J1224">
        <f>VALUE(LEFT(E1224,4))*12+VALUE(RIGHT(E1224,2))-1</f>
        <v/>
      </c>
    </row>
    <row r="1225">
      <c r="A1225" t="inlineStr">
        <is>
          <t>Puesto Hernández</t>
        </is>
      </c>
      <c r="B1225" t="inlineStr">
        <is>
          <t>Neuquina</t>
        </is>
      </c>
      <c r="C1225" t="inlineStr">
        <is>
          <t>YPF S.A.</t>
        </is>
      </c>
      <c r="D1225" t="inlineStr">
        <is>
          <t>convencional</t>
        </is>
      </c>
      <c r="E1225" t="inlineStr">
        <is>
          <t>2017-02</t>
        </is>
      </c>
      <c r="F1225" t="n">
        <v>31416.5</v>
      </c>
      <c r="G1225" t="n">
        <v>1634535.3</v>
      </c>
      <c r="H1225" t="n">
        <v>1785339.5</v>
      </c>
      <c r="I1225">
        <f>DAY(EOMONTH(DATE(VALUE(LEFT(E1225,4)),VALUE(RIGHT(E1225,2)),1),0))</f>
        <v/>
      </c>
      <c r="J1225">
        <f>VALUE(LEFT(E1225,4))*12+VALUE(RIGHT(E1225,2))-1</f>
        <v/>
      </c>
    </row>
    <row r="1226">
      <c r="A1226" t="inlineStr">
        <is>
          <t>Puesto Hernández</t>
        </is>
      </c>
      <c r="B1226" t="inlineStr">
        <is>
          <t>Neuquina</t>
        </is>
      </c>
      <c r="C1226" t="inlineStr">
        <is>
          <t>YPF S.A.</t>
        </is>
      </c>
      <c r="D1226" t="inlineStr">
        <is>
          <t>convencional</t>
        </is>
      </c>
      <c r="E1226" t="inlineStr">
        <is>
          <t>2017-03</t>
        </is>
      </c>
      <c r="F1226" t="n">
        <v>38139.8</v>
      </c>
      <c r="G1226" t="n">
        <v>1961451.1</v>
      </c>
      <c r="H1226" t="n">
        <v>2153413.2</v>
      </c>
      <c r="I1226">
        <f>DAY(EOMONTH(DATE(VALUE(LEFT(E1226,4)),VALUE(RIGHT(E1226,2)),1),0))</f>
        <v/>
      </c>
      <c r="J1226">
        <f>VALUE(LEFT(E1226,4))*12+VALUE(RIGHT(E1226,2))-1</f>
        <v/>
      </c>
    </row>
    <row r="1227">
      <c r="A1227" t="inlineStr">
        <is>
          <t>Puesto Hernández</t>
        </is>
      </c>
      <c r="B1227" t="inlineStr">
        <is>
          <t>Neuquina</t>
        </is>
      </c>
      <c r="C1227" t="inlineStr">
        <is>
          <t>YPF S.A.</t>
        </is>
      </c>
      <c r="D1227" t="inlineStr">
        <is>
          <t>convencional</t>
        </is>
      </c>
      <c r="E1227" t="inlineStr">
        <is>
          <t>2017-04</t>
        </is>
      </c>
      <c r="F1227" t="n">
        <v>32243.2</v>
      </c>
      <c r="G1227" t="n">
        <v>1671134.8</v>
      </c>
      <c r="H1227" t="n">
        <v>1828552.3</v>
      </c>
      <c r="I1227">
        <f>DAY(EOMONTH(DATE(VALUE(LEFT(E1227,4)),VALUE(RIGHT(E1227,2)),1),0))</f>
        <v/>
      </c>
      <c r="J1227">
        <f>VALUE(LEFT(E1227,4))*12+VALUE(RIGHT(E1227,2))-1</f>
        <v/>
      </c>
    </row>
    <row r="1228">
      <c r="A1228" t="inlineStr">
        <is>
          <t>Puesto Hernández</t>
        </is>
      </c>
      <c r="B1228" t="inlineStr">
        <is>
          <t>Neuquina</t>
        </is>
      </c>
      <c r="C1228" t="inlineStr">
        <is>
          <t>YPF S.A.</t>
        </is>
      </c>
      <c r="D1228" t="inlineStr">
        <is>
          <t>convencional</t>
        </is>
      </c>
      <c r="E1228" t="inlineStr">
        <is>
          <t>2017-05</t>
        </is>
      </c>
      <c r="F1228" t="n">
        <v>33111.4</v>
      </c>
      <c r="G1228" t="n">
        <v>1815053.3</v>
      </c>
      <c r="H1228" t="n">
        <v>1974072.2</v>
      </c>
      <c r="I1228">
        <f>DAY(EOMONTH(DATE(VALUE(LEFT(E1228,4)),VALUE(RIGHT(E1228,2)),1),0))</f>
        <v/>
      </c>
      <c r="J1228">
        <f>VALUE(LEFT(E1228,4))*12+VALUE(RIGHT(E1228,2))-1</f>
        <v/>
      </c>
    </row>
    <row r="1229">
      <c r="A1229" t="inlineStr">
        <is>
          <t>Puesto Hernández</t>
        </is>
      </c>
      <c r="B1229" t="inlineStr">
        <is>
          <t>Neuquina</t>
        </is>
      </c>
      <c r="C1229" t="inlineStr">
        <is>
          <t>YPF S.A.</t>
        </is>
      </c>
      <c r="D1229" t="inlineStr">
        <is>
          <t>convencional</t>
        </is>
      </c>
      <c r="E1229" t="inlineStr">
        <is>
          <t>2017-06</t>
        </is>
      </c>
      <c r="F1229" t="n">
        <v>35658.7</v>
      </c>
      <c r="G1229" t="n">
        <v>1870347.4</v>
      </c>
      <c r="H1229" t="n">
        <v>2049996.5</v>
      </c>
      <c r="I1229">
        <f>DAY(EOMONTH(DATE(VALUE(LEFT(E1229,4)),VALUE(RIGHT(E1229,2)),1),0))</f>
        <v/>
      </c>
      <c r="J1229">
        <f>VALUE(LEFT(E1229,4))*12+VALUE(RIGHT(E1229,2))-1</f>
        <v/>
      </c>
    </row>
    <row r="1230">
      <c r="A1230" t="inlineStr">
        <is>
          <t>Puesto Hernández</t>
        </is>
      </c>
      <c r="B1230" t="inlineStr">
        <is>
          <t>Neuquina</t>
        </is>
      </c>
      <c r="C1230" t="inlineStr">
        <is>
          <t>YPF S.A.</t>
        </is>
      </c>
      <c r="D1230" t="inlineStr">
        <is>
          <t>convencional</t>
        </is>
      </c>
      <c r="E1230" t="inlineStr">
        <is>
          <t>2017-07</t>
        </is>
      </c>
      <c r="F1230" t="n">
        <v>37263.1</v>
      </c>
      <c r="G1230" t="n">
        <v>1911267.2</v>
      </c>
      <c r="H1230" t="n">
        <v>2085703.2</v>
      </c>
      <c r="I1230">
        <f>DAY(EOMONTH(DATE(VALUE(LEFT(E1230,4)),VALUE(RIGHT(E1230,2)),1),0))</f>
        <v/>
      </c>
      <c r="J1230">
        <f>VALUE(LEFT(E1230,4))*12+VALUE(RIGHT(E1230,2))-1</f>
        <v/>
      </c>
    </row>
    <row r="1231">
      <c r="A1231" t="inlineStr">
        <is>
          <t>Puesto Hernández</t>
        </is>
      </c>
      <c r="B1231" t="inlineStr">
        <is>
          <t>Neuquina</t>
        </is>
      </c>
      <c r="C1231" t="inlineStr">
        <is>
          <t>YPF S.A.</t>
        </is>
      </c>
      <c r="D1231" t="inlineStr">
        <is>
          <t>convencional</t>
        </is>
      </c>
      <c r="E1231" t="inlineStr">
        <is>
          <t>2017-08</t>
        </is>
      </c>
      <c r="F1231" t="n">
        <v>36553.9</v>
      </c>
      <c r="G1231" t="n">
        <v>1881051</v>
      </c>
      <c r="H1231" t="n">
        <v>2053763.2</v>
      </c>
      <c r="I1231">
        <f>DAY(EOMONTH(DATE(VALUE(LEFT(E1231,4)),VALUE(RIGHT(E1231,2)),1),0))</f>
        <v/>
      </c>
      <c r="J1231">
        <f>VALUE(LEFT(E1231,4))*12+VALUE(RIGHT(E1231,2))-1</f>
        <v/>
      </c>
    </row>
    <row r="1232">
      <c r="A1232" t="inlineStr">
        <is>
          <t>Puesto Hernández</t>
        </is>
      </c>
      <c r="B1232" t="inlineStr">
        <is>
          <t>Neuquina</t>
        </is>
      </c>
      <c r="C1232" t="inlineStr">
        <is>
          <t>YPF S.A.</t>
        </is>
      </c>
      <c r="D1232" t="inlineStr">
        <is>
          <t>convencional</t>
        </is>
      </c>
      <c r="E1232" t="inlineStr">
        <is>
          <t>2017-09</t>
        </is>
      </c>
      <c r="F1232" t="n">
        <v>35622.2</v>
      </c>
      <c r="G1232" t="n">
        <v>1811727.7</v>
      </c>
      <c r="H1232" t="n">
        <v>1972198.1</v>
      </c>
      <c r="I1232">
        <f>DAY(EOMONTH(DATE(VALUE(LEFT(E1232,4)),VALUE(RIGHT(E1232,2)),1),0))</f>
        <v/>
      </c>
      <c r="J1232">
        <f>VALUE(LEFT(E1232,4))*12+VALUE(RIGHT(E1232,2))-1</f>
        <v/>
      </c>
    </row>
    <row r="1233">
      <c r="A1233" t="inlineStr">
        <is>
          <t>Puesto Hernández</t>
        </is>
      </c>
      <c r="B1233" t="inlineStr">
        <is>
          <t>Neuquina</t>
        </is>
      </c>
      <c r="C1233" t="inlineStr">
        <is>
          <t>YPF S.A.</t>
        </is>
      </c>
      <c r="D1233" t="inlineStr">
        <is>
          <t>convencional</t>
        </is>
      </c>
      <c r="E1233" t="inlineStr">
        <is>
          <t>2017-10</t>
        </is>
      </c>
      <c r="F1233" t="n">
        <v>36935</v>
      </c>
      <c r="G1233" t="n">
        <v>1887179.5</v>
      </c>
      <c r="H1233" t="n">
        <v>2064298.2</v>
      </c>
      <c r="I1233">
        <f>DAY(EOMONTH(DATE(VALUE(LEFT(E1233,4)),VALUE(RIGHT(E1233,2)),1),0))</f>
        <v/>
      </c>
      <c r="J1233">
        <f>VALUE(LEFT(E1233,4))*12+VALUE(RIGHT(E1233,2))-1</f>
        <v/>
      </c>
    </row>
    <row r="1234">
      <c r="A1234" t="inlineStr">
        <is>
          <t>Puesto Hernández</t>
        </is>
      </c>
      <c r="B1234" t="inlineStr">
        <is>
          <t>Neuquina</t>
        </is>
      </c>
      <c r="C1234" t="inlineStr">
        <is>
          <t>YPF S.A.</t>
        </is>
      </c>
      <c r="D1234" t="inlineStr">
        <is>
          <t>convencional</t>
        </is>
      </c>
      <c r="E1234" t="inlineStr">
        <is>
          <t>2017-11</t>
        </is>
      </c>
      <c r="F1234" t="n">
        <v>35647.3</v>
      </c>
      <c r="G1234" t="n">
        <v>1795544.6</v>
      </c>
      <c r="H1234" t="n">
        <v>1968655.2</v>
      </c>
      <c r="I1234">
        <f>DAY(EOMONTH(DATE(VALUE(LEFT(E1234,4)),VALUE(RIGHT(E1234,2)),1),0))</f>
        <v/>
      </c>
      <c r="J1234">
        <f>VALUE(LEFT(E1234,4))*12+VALUE(RIGHT(E1234,2))-1</f>
        <v/>
      </c>
    </row>
    <row r="1235">
      <c r="A1235" t="inlineStr">
        <is>
          <t>Puesto Hernández</t>
        </is>
      </c>
      <c r="B1235" t="inlineStr">
        <is>
          <t>Neuquina</t>
        </is>
      </c>
      <c r="C1235" t="inlineStr">
        <is>
          <t>YPF S.A.</t>
        </is>
      </c>
      <c r="D1235" t="inlineStr">
        <is>
          <t>convencional</t>
        </is>
      </c>
      <c r="E1235" t="inlineStr">
        <is>
          <t>2017-12</t>
        </is>
      </c>
      <c r="F1235" t="n">
        <v>35552.2</v>
      </c>
      <c r="G1235" t="n">
        <v>1819850.1</v>
      </c>
      <c r="H1235" t="n">
        <v>1998422.2</v>
      </c>
      <c r="I1235">
        <f>DAY(EOMONTH(DATE(VALUE(LEFT(E1235,4)),VALUE(RIGHT(E1235,2)),1),0))</f>
        <v/>
      </c>
      <c r="J1235">
        <f>VALUE(LEFT(E1235,4))*12+VALUE(RIGHT(E1235,2))-1</f>
        <v/>
      </c>
    </row>
    <row r="1236">
      <c r="A1236" t="inlineStr">
        <is>
          <t>Puesto Hernández</t>
        </is>
      </c>
      <c r="B1236" t="inlineStr">
        <is>
          <t>Neuquina</t>
        </is>
      </c>
      <c r="C1236" t="inlineStr">
        <is>
          <t>YPF S.A.</t>
        </is>
      </c>
      <c r="D1236" t="inlineStr">
        <is>
          <t>convencional</t>
        </is>
      </c>
      <c r="E1236" t="inlineStr">
        <is>
          <t>2018-01</t>
        </is>
      </c>
      <c r="F1236" t="n">
        <v>35206.2</v>
      </c>
      <c r="G1236" t="n">
        <v>1839557.1</v>
      </c>
      <c r="H1236" t="n">
        <v>2005931.1</v>
      </c>
      <c r="I1236">
        <f>DAY(EOMONTH(DATE(VALUE(LEFT(E1236,4)),VALUE(RIGHT(E1236,2)),1),0))</f>
        <v/>
      </c>
      <c r="J1236">
        <f>VALUE(LEFT(E1236,4))*12+VALUE(RIGHT(E1236,2))-1</f>
        <v/>
      </c>
    </row>
    <row r="1237">
      <c r="A1237" t="inlineStr">
        <is>
          <t>Puesto Hernández</t>
        </is>
      </c>
      <c r="B1237" t="inlineStr">
        <is>
          <t>Neuquina</t>
        </is>
      </c>
      <c r="C1237" t="inlineStr">
        <is>
          <t>YPF S.A.</t>
        </is>
      </c>
      <c r="D1237" t="inlineStr">
        <is>
          <t>convencional</t>
        </is>
      </c>
      <c r="E1237" t="inlineStr">
        <is>
          <t>2018-02</t>
        </is>
      </c>
      <c r="F1237" t="n">
        <v>31663.1</v>
      </c>
      <c r="G1237" t="n">
        <v>1649484.4</v>
      </c>
      <c r="H1237" t="n">
        <v>1794625.3</v>
      </c>
      <c r="I1237">
        <f>DAY(EOMONTH(DATE(VALUE(LEFT(E1237,4)),VALUE(RIGHT(E1237,2)),1),0))</f>
        <v/>
      </c>
      <c r="J1237">
        <f>VALUE(LEFT(E1237,4))*12+VALUE(RIGHT(E1237,2))-1</f>
        <v/>
      </c>
    </row>
    <row r="1238">
      <c r="A1238" t="inlineStr">
        <is>
          <t>Puesto Hernández</t>
        </is>
      </c>
      <c r="B1238" t="inlineStr">
        <is>
          <t>Neuquina</t>
        </is>
      </c>
      <c r="C1238" t="inlineStr">
        <is>
          <t>YPF S.A.</t>
        </is>
      </c>
      <c r="D1238" t="inlineStr">
        <is>
          <t>convencional</t>
        </is>
      </c>
      <c r="E1238" t="inlineStr">
        <is>
          <t>2018-03</t>
        </is>
      </c>
      <c r="F1238" t="n">
        <v>34850.6</v>
      </c>
      <c r="G1238" t="n">
        <v>1814847.5</v>
      </c>
      <c r="H1238" t="n">
        <v>1990851.2</v>
      </c>
      <c r="I1238">
        <f>DAY(EOMONTH(DATE(VALUE(LEFT(E1238,4)),VALUE(RIGHT(E1238,2)),1),0))</f>
        <v/>
      </c>
      <c r="J1238">
        <f>VALUE(LEFT(E1238,4))*12+VALUE(RIGHT(E1238,2))-1</f>
        <v/>
      </c>
    </row>
    <row r="1239">
      <c r="A1239" t="inlineStr">
        <is>
          <t>Puesto Hernández</t>
        </is>
      </c>
      <c r="B1239" t="inlineStr">
        <is>
          <t>Neuquina</t>
        </is>
      </c>
      <c r="C1239" t="inlineStr">
        <is>
          <t>YPF S.A.</t>
        </is>
      </c>
      <c r="D1239" t="inlineStr">
        <is>
          <t>convencional</t>
        </is>
      </c>
      <c r="E1239" t="inlineStr">
        <is>
          <t>2018-04</t>
        </is>
      </c>
      <c r="F1239" t="n">
        <v>33281.1</v>
      </c>
      <c r="G1239" t="n">
        <v>1758554.5</v>
      </c>
      <c r="H1239" t="n">
        <v>1916873.2</v>
      </c>
      <c r="I1239">
        <f>DAY(EOMONTH(DATE(VALUE(LEFT(E1239,4)),VALUE(RIGHT(E1239,2)),1),0))</f>
        <v/>
      </c>
      <c r="J1239">
        <f>VALUE(LEFT(E1239,4))*12+VALUE(RIGHT(E1239,2))-1</f>
        <v/>
      </c>
    </row>
    <row r="1240">
      <c r="A1240" t="inlineStr">
        <is>
          <t>Puesto Hernández</t>
        </is>
      </c>
      <c r="B1240" t="inlineStr">
        <is>
          <t>Neuquina</t>
        </is>
      </c>
      <c r="C1240" t="inlineStr">
        <is>
          <t>YPF S.A.</t>
        </is>
      </c>
      <c r="D1240" t="inlineStr">
        <is>
          <t>convencional</t>
        </is>
      </c>
      <c r="E1240" t="inlineStr">
        <is>
          <t>2018-05</t>
        </is>
      </c>
      <c r="F1240" t="n">
        <v>34778.4</v>
      </c>
      <c r="G1240" t="n">
        <v>1793566.6</v>
      </c>
      <c r="H1240" t="n">
        <v>1952127.2</v>
      </c>
      <c r="I1240">
        <f>DAY(EOMONTH(DATE(VALUE(LEFT(E1240,4)),VALUE(RIGHT(E1240,2)),1),0))</f>
        <v/>
      </c>
      <c r="J1240">
        <f>VALUE(LEFT(E1240,4))*12+VALUE(RIGHT(E1240,2))-1</f>
        <v/>
      </c>
    </row>
    <row r="1241">
      <c r="A1241" t="inlineStr">
        <is>
          <t>Puesto Hernández</t>
        </is>
      </c>
      <c r="B1241" t="inlineStr">
        <is>
          <t>Neuquina</t>
        </is>
      </c>
      <c r="C1241" t="inlineStr">
        <is>
          <t>YPF S.A.</t>
        </is>
      </c>
      <c r="D1241" t="inlineStr">
        <is>
          <t>convencional</t>
        </is>
      </c>
      <c r="E1241" t="inlineStr">
        <is>
          <t>2018-06</t>
        </is>
      </c>
      <c r="F1241" t="n">
        <v>33222.6</v>
      </c>
      <c r="G1241" t="n">
        <v>1723276.8</v>
      </c>
      <c r="H1241" t="n">
        <v>1890017.2</v>
      </c>
      <c r="I1241">
        <f>DAY(EOMONTH(DATE(VALUE(LEFT(E1241,4)),VALUE(RIGHT(E1241,2)),1),0))</f>
        <v/>
      </c>
      <c r="J1241">
        <f>VALUE(LEFT(E1241,4))*12+VALUE(RIGHT(E1241,2))-1</f>
        <v/>
      </c>
    </row>
    <row r="1242">
      <c r="A1242" t="inlineStr">
        <is>
          <t>Puesto Hernández</t>
        </is>
      </c>
      <c r="B1242" t="inlineStr">
        <is>
          <t>Neuquina</t>
        </is>
      </c>
      <c r="C1242" t="inlineStr">
        <is>
          <t>YPF S.A.</t>
        </is>
      </c>
      <c r="D1242" t="inlineStr">
        <is>
          <t>convencional</t>
        </is>
      </c>
      <c r="E1242" t="inlineStr">
        <is>
          <t>2018-07</t>
        </is>
      </c>
      <c r="F1242" t="n">
        <v>33850.5</v>
      </c>
      <c r="G1242" t="n">
        <v>1784801.8</v>
      </c>
      <c r="H1242" t="n">
        <v>1952774.2</v>
      </c>
      <c r="I1242">
        <f>DAY(EOMONTH(DATE(VALUE(LEFT(E1242,4)),VALUE(RIGHT(E1242,2)),1),0))</f>
        <v/>
      </c>
      <c r="J1242">
        <f>VALUE(LEFT(E1242,4))*12+VALUE(RIGHT(E1242,2))-1</f>
        <v/>
      </c>
    </row>
    <row r="1243">
      <c r="A1243" t="inlineStr">
        <is>
          <t>Puesto Hernández</t>
        </is>
      </c>
      <c r="B1243" t="inlineStr">
        <is>
          <t>Neuquina</t>
        </is>
      </c>
      <c r="C1243" t="inlineStr">
        <is>
          <t>YPF S.A.</t>
        </is>
      </c>
      <c r="D1243" t="inlineStr">
        <is>
          <t>convencional</t>
        </is>
      </c>
      <c r="E1243" t="inlineStr">
        <is>
          <t>2018-08</t>
        </is>
      </c>
      <c r="F1243" t="n">
        <v>33017.2</v>
      </c>
      <c r="G1243" t="n">
        <v>1716469.9</v>
      </c>
      <c r="H1243" t="n">
        <v>1877608.1</v>
      </c>
      <c r="I1243">
        <f>DAY(EOMONTH(DATE(VALUE(LEFT(E1243,4)),VALUE(RIGHT(E1243,2)),1),0))</f>
        <v/>
      </c>
      <c r="J1243">
        <f>VALUE(LEFT(E1243,4))*12+VALUE(RIGHT(E1243,2))-1</f>
        <v/>
      </c>
    </row>
    <row r="1244">
      <c r="A1244" t="inlineStr">
        <is>
          <t>Puesto Hernández</t>
        </is>
      </c>
      <c r="B1244" t="inlineStr">
        <is>
          <t>Neuquina</t>
        </is>
      </c>
      <c r="C1244" t="inlineStr">
        <is>
          <t>YPF S.A.</t>
        </is>
      </c>
      <c r="D1244" t="inlineStr">
        <is>
          <t>convencional</t>
        </is>
      </c>
      <c r="E1244" t="inlineStr">
        <is>
          <t>2018-09</t>
        </is>
      </c>
      <c r="F1244" t="n">
        <v>32117.5</v>
      </c>
      <c r="G1244" t="n">
        <v>1706803.5</v>
      </c>
      <c r="H1244" t="n">
        <v>1873029.3</v>
      </c>
      <c r="I1244">
        <f>DAY(EOMONTH(DATE(VALUE(LEFT(E1244,4)),VALUE(RIGHT(E1244,2)),1),0))</f>
        <v/>
      </c>
      <c r="J1244">
        <f>VALUE(LEFT(E1244,4))*12+VALUE(RIGHT(E1244,2))-1</f>
        <v/>
      </c>
    </row>
    <row r="1245">
      <c r="A1245" t="inlineStr">
        <is>
          <t>Puesto Hernández</t>
        </is>
      </c>
      <c r="B1245" t="inlineStr">
        <is>
          <t>Neuquina</t>
        </is>
      </c>
      <c r="C1245" t="inlineStr">
        <is>
          <t>YPF S.A.</t>
        </is>
      </c>
      <c r="D1245" t="inlineStr">
        <is>
          <t>convencional</t>
        </is>
      </c>
      <c r="E1245" t="inlineStr">
        <is>
          <t>2018-10</t>
        </is>
      </c>
      <c r="F1245" t="n">
        <v>32926.2</v>
      </c>
      <c r="G1245" t="n">
        <v>1741688.8</v>
      </c>
      <c r="H1245" t="n">
        <v>1904498.1</v>
      </c>
      <c r="I1245">
        <f>DAY(EOMONTH(DATE(VALUE(LEFT(E1245,4)),VALUE(RIGHT(E1245,2)),1),0))</f>
        <v/>
      </c>
      <c r="J1245">
        <f>VALUE(LEFT(E1245,4))*12+VALUE(RIGHT(E1245,2))-1</f>
        <v/>
      </c>
    </row>
    <row r="1246">
      <c r="A1246" t="inlineStr">
        <is>
          <t>Puesto Hernández</t>
        </is>
      </c>
      <c r="B1246" t="inlineStr">
        <is>
          <t>Neuquina</t>
        </is>
      </c>
      <c r="C1246" t="inlineStr">
        <is>
          <t>YPF S.A.</t>
        </is>
      </c>
      <c r="D1246" t="inlineStr">
        <is>
          <t>convencional</t>
        </is>
      </c>
      <c r="E1246" t="inlineStr">
        <is>
          <t>2018-11</t>
        </is>
      </c>
      <c r="F1246" t="n">
        <v>30824.4</v>
      </c>
      <c r="G1246" t="n">
        <v>1647450.8</v>
      </c>
      <c r="H1246" t="n">
        <v>1809082.2</v>
      </c>
      <c r="I1246">
        <f>DAY(EOMONTH(DATE(VALUE(LEFT(E1246,4)),VALUE(RIGHT(E1246,2)),1),0))</f>
        <v/>
      </c>
      <c r="J1246">
        <f>VALUE(LEFT(E1246,4))*12+VALUE(RIGHT(E1246,2))-1</f>
        <v/>
      </c>
    </row>
    <row r="1247">
      <c r="A1247" t="inlineStr">
        <is>
          <t>Puesto Hernández</t>
        </is>
      </c>
      <c r="B1247" t="inlineStr">
        <is>
          <t>Neuquina</t>
        </is>
      </c>
      <c r="C1247" t="inlineStr">
        <is>
          <t>YPF S.A.</t>
        </is>
      </c>
      <c r="D1247" t="inlineStr">
        <is>
          <t>convencional</t>
        </is>
      </c>
      <c r="E1247" t="inlineStr">
        <is>
          <t>2018-12</t>
        </is>
      </c>
      <c r="F1247" t="n">
        <v>31569.1</v>
      </c>
      <c r="G1247" t="n">
        <v>1721405.1</v>
      </c>
      <c r="H1247" t="n">
        <v>1893895.1</v>
      </c>
      <c r="I1247">
        <f>DAY(EOMONTH(DATE(VALUE(LEFT(E1247,4)),VALUE(RIGHT(E1247,2)),1),0))</f>
        <v/>
      </c>
      <c r="J1247">
        <f>VALUE(LEFT(E1247,4))*12+VALUE(RIGHT(E1247,2))-1</f>
        <v/>
      </c>
    </row>
    <row r="1248">
      <c r="A1248" t="inlineStr">
        <is>
          <t>Puesto Hernández</t>
        </is>
      </c>
      <c r="B1248" t="inlineStr">
        <is>
          <t>Neuquina</t>
        </is>
      </c>
      <c r="C1248" t="inlineStr">
        <is>
          <t>YPF S.A.</t>
        </is>
      </c>
      <c r="D1248" t="inlineStr">
        <is>
          <t>convencional</t>
        </is>
      </c>
      <c r="E1248" t="inlineStr">
        <is>
          <t>2019-01</t>
        </is>
      </c>
      <c r="F1248" t="n">
        <v>32072.4</v>
      </c>
      <c r="G1248" t="n">
        <v>1720248.5</v>
      </c>
      <c r="H1248" t="n">
        <v>1891636.1</v>
      </c>
      <c r="I1248">
        <f>DAY(EOMONTH(DATE(VALUE(LEFT(E1248,4)),VALUE(RIGHT(E1248,2)),1),0))</f>
        <v/>
      </c>
      <c r="J1248">
        <f>VALUE(LEFT(E1248,4))*12+VALUE(RIGHT(E1248,2))-1</f>
        <v/>
      </c>
    </row>
    <row r="1249">
      <c r="A1249" t="inlineStr">
        <is>
          <t>Puesto Hernández</t>
        </is>
      </c>
      <c r="B1249" t="inlineStr">
        <is>
          <t>Neuquina</t>
        </is>
      </c>
      <c r="C1249" t="inlineStr">
        <is>
          <t>YPF S.A.</t>
        </is>
      </c>
      <c r="D1249" t="inlineStr">
        <is>
          <t>convencional</t>
        </is>
      </c>
      <c r="E1249" t="inlineStr">
        <is>
          <t>2019-02</t>
        </is>
      </c>
      <c r="F1249" t="n">
        <v>28352</v>
      </c>
      <c r="G1249" t="n">
        <v>1550054.3</v>
      </c>
      <c r="H1249" t="n">
        <v>1708281.2</v>
      </c>
      <c r="I1249">
        <f>DAY(EOMONTH(DATE(VALUE(LEFT(E1249,4)),VALUE(RIGHT(E1249,2)),1),0))</f>
        <v/>
      </c>
      <c r="J1249">
        <f>VALUE(LEFT(E1249,4))*12+VALUE(RIGHT(E1249,2))-1</f>
        <v/>
      </c>
    </row>
    <row r="1250">
      <c r="A1250" t="inlineStr">
        <is>
          <t>Puesto Hernández</t>
        </is>
      </c>
      <c r="B1250" t="inlineStr">
        <is>
          <t>Neuquina</t>
        </is>
      </c>
      <c r="C1250" t="inlineStr">
        <is>
          <t>YPF S.A.</t>
        </is>
      </c>
      <c r="D1250" t="inlineStr">
        <is>
          <t>convencional</t>
        </is>
      </c>
      <c r="E1250" t="inlineStr">
        <is>
          <t>2019-03</t>
        </is>
      </c>
      <c r="F1250" t="n">
        <v>31209.4</v>
      </c>
      <c r="G1250" t="n">
        <v>1716805.7</v>
      </c>
      <c r="H1250" t="n">
        <v>1888079.2</v>
      </c>
      <c r="I1250">
        <f>DAY(EOMONTH(DATE(VALUE(LEFT(E1250,4)),VALUE(RIGHT(E1250,2)),1),0))</f>
        <v/>
      </c>
      <c r="J1250">
        <f>VALUE(LEFT(E1250,4))*12+VALUE(RIGHT(E1250,2))-1</f>
        <v/>
      </c>
    </row>
    <row r="1251">
      <c r="A1251" t="inlineStr">
        <is>
          <t>Puesto Hernández</t>
        </is>
      </c>
      <c r="B1251" t="inlineStr">
        <is>
          <t>Neuquina</t>
        </is>
      </c>
      <c r="C1251" t="inlineStr">
        <is>
          <t>YPF S.A.</t>
        </is>
      </c>
      <c r="D1251" t="inlineStr">
        <is>
          <t>convencional</t>
        </is>
      </c>
      <c r="E1251" t="inlineStr">
        <is>
          <t>2019-04</t>
        </is>
      </c>
      <c r="F1251" t="n">
        <v>30065.8</v>
      </c>
      <c r="G1251" t="n">
        <v>1655911.9</v>
      </c>
      <c r="H1251" t="n">
        <v>1819038.2</v>
      </c>
      <c r="I1251">
        <f>DAY(EOMONTH(DATE(VALUE(LEFT(E1251,4)),VALUE(RIGHT(E1251,2)),1),0))</f>
        <v/>
      </c>
      <c r="J1251">
        <f>VALUE(LEFT(E1251,4))*12+VALUE(RIGHT(E1251,2))-1</f>
        <v/>
      </c>
    </row>
    <row r="1252">
      <c r="A1252" t="inlineStr">
        <is>
          <t>Puesto Hernández</t>
        </is>
      </c>
      <c r="B1252" t="inlineStr">
        <is>
          <t>Neuquina</t>
        </is>
      </c>
      <c r="C1252" t="inlineStr">
        <is>
          <t>YPF S.A.</t>
        </is>
      </c>
      <c r="D1252" t="inlineStr">
        <is>
          <t>convencional</t>
        </is>
      </c>
      <c r="E1252" t="inlineStr">
        <is>
          <t>2019-05</t>
        </is>
      </c>
      <c r="F1252" t="n">
        <v>30445.8</v>
      </c>
      <c r="G1252" t="n">
        <v>1700942.3</v>
      </c>
      <c r="H1252" t="n">
        <v>1873355.2</v>
      </c>
      <c r="I1252">
        <f>DAY(EOMONTH(DATE(VALUE(LEFT(E1252,4)),VALUE(RIGHT(E1252,2)),1),0))</f>
        <v/>
      </c>
      <c r="J1252">
        <f>VALUE(LEFT(E1252,4))*12+VALUE(RIGHT(E1252,2))-1</f>
        <v/>
      </c>
    </row>
    <row r="1253">
      <c r="A1253" t="inlineStr">
        <is>
          <t>Puesto Hernández</t>
        </is>
      </c>
      <c r="B1253" t="inlineStr">
        <is>
          <t>Neuquina</t>
        </is>
      </c>
      <c r="C1253" t="inlineStr">
        <is>
          <t>YPF S.A.</t>
        </is>
      </c>
      <c r="D1253" t="inlineStr">
        <is>
          <t>convencional</t>
        </is>
      </c>
      <c r="E1253" t="inlineStr">
        <is>
          <t>2019-06</t>
        </is>
      </c>
      <c r="F1253" t="n">
        <v>27068.7</v>
      </c>
      <c r="G1253" t="n">
        <v>1560420.7</v>
      </c>
      <c r="H1253" t="n">
        <v>1717465.3</v>
      </c>
      <c r="I1253">
        <f>DAY(EOMONTH(DATE(VALUE(LEFT(E1253,4)),VALUE(RIGHT(E1253,2)),1),0))</f>
        <v/>
      </c>
      <c r="J1253">
        <f>VALUE(LEFT(E1253,4))*12+VALUE(RIGHT(E1253,2))-1</f>
        <v/>
      </c>
    </row>
    <row r="1254">
      <c r="A1254" t="inlineStr">
        <is>
          <t>Puesto Hernández</t>
        </is>
      </c>
      <c r="B1254" t="inlineStr">
        <is>
          <t>Neuquina</t>
        </is>
      </c>
      <c r="C1254" t="inlineStr">
        <is>
          <t>YPF S.A.</t>
        </is>
      </c>
      <c r="D1254" t="inlineStr">
        <is>
          <t>convencional</t>
        </is>
      </c>
      <c r="E1254" t="inlineStr">
        <is>
          <t>2019-07</t>
        </is>
      </c>
      <c r="F1254" t="n">
        <v>28570.1</v>
      </c>
      <c r="G1254" t="n">
        <v>1625505.6</v>
      </c>
      <c r="H1254" t="n">
        <v>1798316.2</v>
      </c>
      <c r="I1254">
        <f>DAY(EOMONTH(DATE(VALUE(LEFT(E1254,4)),VALUE(RIGHT(E1254,2)),1),0))</f>
        <v/>
      </c>
      <c r="J1254">
        <f>VALUE(LEFT(E1254,4))*12+VALUE(RIGHT(E1254,2))-1</f>
        <v/>
      </c>
    </row>
    <row r="1255">
      <c r="A1255" t="inlineStr">
        <is>
          <t>Puesto Hernández</t>
        </is>
      </c>
      <c r="B1255" t="inlineStr">
        <is>
          <t>Neuquina</t>
        </is>
      </c>
      <c r="C1255" t="inlineStr">
        <is>
          <t>YPF S.A.</t>
        </is>
      </c>
      <c r="D1255" t="inlineStr">
        <is>
          <t>convencional</t>
        </is>
      </c>
      <c r="E1255" t="inlineStr">
        <is>
          <t>2019-08</t>
        </is>
      </c>
      <c r="F1255" t="n">
        <v>28671.2</v>
      </c>
      <c r="G1255" t="n">
        <v>1632708.6</v>
      </c>
      <c r="H1255" t="n">
        <v>1802548.3</v>
      </c>
      <c r="I1255">
        <f>DAY(EOMONTH(DATE(VALUE(LEFT(E1255,4)),VALUE(RIGHT(E1255,2)),1),0))</f>
        <v/>
      </c>
      <c r="J1255">
        <f>VALUE(LEFT(E1255,4))*12+VALUE(RIGHT(E1255,2))-1</f>
        <v/>
      </c>
    </row>
    <row r="1256">
      <c r="A1256" t="inlineStr">
        <is>
          <t>Puesto Hernández</t>
        </is>
      </c>
      <c r="B1256" t="inlineStr">
        <is>
          <t>Neuquina</t>
        </is>
      </c>
      <c r="C1256" t="inlineStr">
        <is>
          <t>YPF S.A.</t>
        </is>
      </c>
      <c r="D1256" t="inlineStr">
        <is>
          <t>convencional</t>
        </is>
      </c>
      <c r="E1256" t="inlineStr">
        <is>
          <t>2019-09</t>
        </is>
      </c>
      <c r="F1256" t="n">
        <v>27937.1</v>
      </c>
      <c r="G1256" t="n">
        <v>1582690.1</v>
      </c>
      <c r="H1256" t="n">
        <v>1737898.2</v>
      </c>
      <c r="I1256">
        <f>DAY(EOMONTH(DATE(VALUE(LEFT(E1256,4)),VALUE(RIGHT(E1256,2)),1),0))</f>
        <v/>
      </c>
      <c r="J1256">
        <f>VALUE(LEFT(E1256,4))*12+VALUE(RIGHT(E1256,2))-1</f>
        <v/>
      </c>
    </row>
    <row r="1257">
      <c r="A1257" t="inlineStr">
        <is>
          <t>Puesto Hernández</t>
        </is>
      </c>
      <c r="B1257" t="inlineStr">
        <is>
          <t>Neuquina</t>
        </is>
      </c>
      <c r="C1257" t="inlineStr">
        <is>
          <t>YPF S.A.</t>
        </is>
      </c>
      <c r="D1257" t="inlineStr">
        <is>
          <t>convencional</t>
        </is>
      </c>
      <c r="E1257" t="inlineStr">
        <is>
          <t>2019-10</t>
        </is>
      </c>
      <c r="F1257" t="n">
        <v>27729.3</v>
      </c>
      <c r="G1257" t="n">
        <v>1595017.6</v>
      </c>
      <c r="H1257" t="n">
        <v>1764154.3</v>
      </c>
      <c r="I1257">
        <f>DAY(EOMONTH(DATE(VALUE(LEFT(E1257,4)),VALUE(RIGHT(E1257,2)),1),0))</f>
        <v/>
      </c>
      <c r="J1257">
        <f>VALUE(LEFT(E1257,4))*12+VALUE(RIGHT(E1257,2))-1</f>
        <v/>
      </c>
    </row>
    <row r="1258">
      <c r="A1258" t="inlineStr">
        <is>
          <t>Puesto Hernández</t>
        </is>
      </c>
      <c r="B1258" t="inlineStr">
        <is>
          <t>Neuquina</t>
        </is>
      </c>
      <c r="C1258" t="inlineStr">
        <is>
          <t>YPF S.A.</t>
        </is>
      </c>
      <c r="D1258" t="inlineStr">
        <is>
          <t>convencional</t>
        </is>
      </c>
      <c r="E1258" t="inlineStr">
        <is>
          <t>2019-11</t>
        </is>
      </c>
      <c r="F1258" t="n">
        <v>26669</v>
      </c>
      <c r="G1258" t="n">
        <v>1515217.3</v>
      </c>
      <c r="H1258" t="n">
        <v>1694672.4</v>
      </c>
      <c r="I1258">
        <f>DAY(EOMONTH(DATE(VALUE(LEFT(E1258,4)),VALUE(RIGHT(E1258,2)),1),0))</f>
        <v/>
      </c>
      <c r="J1258">
        <f>VALUE(LEFT(E1258,4))*12+VALUE(RIGHT(E1258,2))-1</f>
        <v/>
      </c>
    </row>
    <row r="1259">
      <c r="A1259" t="inlineStr">
        <is>
          <t>Puesto Hernández</t>
        </is>
      </c>
      <c r="B1259" t="inlineStr">
        <is>
          <t>Neuquina</t>
        </is>
      </c>
      <c r="C1259" t="inlineStr">
        <is>
          <t>YPF S.A.</t>
        </is>
      </c>
      <c r="D1259" t="inlineStr">
        <is>
          <t>convencional</t>
        </is>
      </c>
      <c r="E1259" t="inlineStr">
        <is>
          <t>2019-12</t>
        </is>
      </c>
      <c r="F1259" t="n">
        <v>22852.4</v>
      </c>
      <c r="G1259" t="n">
        <v>1381703.5</v>
      </c>
      <c r="H1259" t="n">
        <v>1479866.7</v>
      </c>
      <c r="I1259">
        <f>DAY(EOMONTH(DATE(VALUE(LEFT(E1259,4)),VALUE(RIGHT(E1259,2)),1),0))</f>
        <v/>
      </c>
      <c r="J1259">
        <f>VALUE(LEFT(E1259,4))*12+VALUE(RIGHT(E1259,2))-1</f>
        <v/>
      </c>
    </row>
    <row r="1260">
      <c r="A1260" t="inlineStr">
        <is>
          <t>Puesto Hernández</t>
        </is>
      </c>
      <c r="B1260" t="inlineStr">
        <is>
          <t>Neuquina</t>
        </is>
      </c>
      <c r="C1260" t="inlineStr">
        <is>
          <t>YPF S.A.</t>
        </is>
      </c>
      <c r="D1260" t="inlineStr">
        <is>
          <t>convencional</t>
        </is>
      </c>
      <c r="E1260" t="inlineStr">
        <is>
          <t>2020-01</t>
        </is>
      </c>
      <c r="F1260" t="n">
        <v>25121.8</v>
      </c>
      <c r="G1260" t="n">
        <v>1499847.4</v>
      </c>
      <c r="H1260" t="n">
        <v>1597951.2</v>
      </c>
      <c r="I1260">
        <f>DAY(EOMONTH(DATE(VALUE(LEFT(E1260,4)),VALUE(RIGHT(E1260,2)),1),0))</f>
        <v/>
      </c>
      <c r="J1260">
        <f>VALUE(LEFT(E1260,4))*12+VALUE(RIGHT(E1260,2))-1</f>
        <v/>
      </c>
    </row>
    <row r="1261">
      <c r="A1261" t="inlineStr">
        <is>
          <t>Puesto Hernández</t>
        </is>
      </c>
      <c r="B1261" t="inlineStr">
        <is>
          <t>Neuquina</t>
        </is>
      </c>
      <c r="C1261" t="inlineStr">
        <is>
          <t>YPF S.A.</t>
        </is>
      </c>
      <c r="D1261" t="inlineStr">
        <is>
          <t>convencional</t>
        </is>
      </c>
      <c r="E1261" t="inlineStr">
        <is>
          <t>2020-02</t>
        </is>
      </c>
      <c r="F1261" t="n">
        <v>24207.4</v>
      </c>
      <c r="G1261" t="n">
        <v>1435328.1</v>
      </c>
      <c r="H1261" t="n">
        <v>1557268.2</v>
      </c>
      <c r="I1261">
        <f>DAY(EOMONTH(DATE(VALUE(LEFT(E1261,4)),VALUE(RIGHT(E1261,2)),1),0))</f>
        <v/>
      </c>
      <c r="J1261">
        <f>VALUE(LEFT(E1261,4))*12+VALUE(RIGHT(E1261,2))-1</f>
        <v/>
      </c>
    </row>
    <row r="1262">
      <c r="A1262" t="inlineStr">
        <is>
          <t>Puesto Hernández</t>
        </is>
      </c>
      <c r="B1262" t="inlineStr">
        <is>
          <t>Neuquina</t>
        </is>
      </c>
      <c r="C1262" t="inlineStr">
        <is>
          <t>YPF S.A.</t>
        </is>
      </c>
      <c r="D1262" t="inlineStr">
        <is>
          <t>convencional</t>
        </is>
      </c>
      <c r="E1262" t="inlineStr">
        <is>
          <t>2020-03</t>
        </is>
      </c>
      <c r="F1262" t="n">
        <v>25368.9</v>
      </c>
      <c r="G1262" t="n">
        <v>1535876.6</v>
      </c>
      <c r="H1262" t="n">
        <v>1630753.2</v>
      </c>
      <c r="I1262">
        <f>DAY(EOMONTH(DATE(VALUE(LEFT(E1262,4)),VALUE(RIGHT(E1262,2)),1),0))</f>
        <v/>
      </c>
      <c r="J1262">
        <f>VALUE(LEFT(E1262,4))*12+VALUE(RIGHT(E1262,2))-1</f>
        <v/>
      </c>
    </row>
    <row r="1263">
      <c r="A1263" t="inlineStr">
        <is>
          <t>Puesto Hernández</t>
        </is>
      </c>
      <c r="B1263" t="inlineStr">
        <is>
          <t>Neuquina</t>
        </is>
      </c>
      <c r="C1263" t="inlineStr">
        <is>
          <t>YPF S.A.</t>
        </is>
      </c>
      <c r="D1263" t="inlineStr">
        <is>
          <t>convencional</t>
        </is>
      </c>
      <c r="E1263" t="inlineStr">
        <is>
          <t>2020-04</t>
        </is>
      </c>
      <c r="F1263" t="n">
        <v>11791.6</v>
      </c>
      <c r="G1263" t="n">
        <v>695068.3</v>
      </c>
      <c r="H1263" t="n">
        <v>733936.1</v>
      </c>
      <c r="I1263">
        <f>DAY(EOMONTH(DATE(VALUE(LEFT(E1263,4)),VALUE(RIGHT(E1263,2)),1),0))</f>
        <v/>
      </c>
      <c r="J1263">
        <f>VALUE(LEFT(E1263,4))*12+VALUE(RIGHT(E1263,2))-1</f>
        <v/>
      </c>
    </row>
    <row r="1264">
      <c r="A1264" t="inlineStr">
        <is>
          <t>Puesto Hernández</t>
        </is>
      </c>
      <c r="B1264" t="inlineStr">
        <is>
          <t>Neuquina</t>
        </is>
      </c>
      <c r="C1264" t="inlineStr">
        <is>
          <t>YPF S.A.</t>
        </is>
      </c>
      <c r="D1264" t="inlineStr">
        <is>
          <t>convencional</t>
        </is>
      </c>
      <c r="E1264" t="inlineStr">
        <is>
          <t>2020-05</t>
        </is>
      </c>
      <c r="F1264" t="n">
        <v>5797.3</v>
      </c>
      <c r="G1264" t="n">
        <v>337265.5</v>
      </c>
      <c r="H1264" t="n">
        <v>376450.2</v>
      </c>
      <c r="I1264">
        <f>DAY(EOMONTH(DATE(VALUE(LEFT(E1264,4)),VALUE(RIGHT(E1264,2)),1),0))</f>
        <v/>
      </c>
      <c r="J1264">
        <f>VALUE(LEFT(E1264,4))*12+VALUE(RIGHT(E1264,2))-1</f>
        <v/>
      </c>
    </row>
    <row r="1265">
      <c r="A1265" t="inlineStr">
        <is>
          <t>Puesto Hernández</t>
        </is>
      </c>
      <c r="B1265" t="inlineStr">
        <is>
          <t>Neuquina</t>
        </is>
      </c>
      <c r="C1265" t="inlineStr">
        <is>
          <t>YPF S.A.</t>
        </is>
      </c>
      <c r="D1265" t="inlineStr">
        <is>
          <t>convencional</t>
        </is>
      </c>
      <c r="E1265" t="inlineStr">
        <is>
          <t>2020-06</t>
        </is>
      </c>
      <c r="F1265" t="n">
        <v>16328.9</v>
      </c>
      <c r="G1265" t="n">
        <v>1185455.7</v>
      </c>
      <c r="H1265" t="n">
        <v>1220869.2</v>
      </c>
      <c r="I1265">
        <f>DAY(EOMONTH(DATE(VALUE(LEFT(E1265,4)),VALUE(RIGHT(E1265,2)),1),0))</f>
        <v/>
      </c>
      <c r="J1265">
        <f>VALUE(LEFT(E1265,4))*12+VALUE(RIGHT(E1265,2))-1</f>
        <v/>
      </c>
    </row>
    <row r="1266">
      <c r="A1266" t="inlineStr">
        <is>
          <t>Puesto Hernández</t>
        </is>
      </c>
      <c r="B1266" t="inlineStr">
        <is>
          <t>Neuquina</t>
        </is>
      </c>
      <c r="C1266" t="inlineStr">
        <is>
          <t>YPF S.A.</t>
        </is>
      </c>
      <c r="D1266" t="inlineStr">
        <is>
          <t>convencional</t>
        </is>
      </c>
      <c r="E1266" t="inlineStr">
        <is>
          <t>2020-07</t>
        </is>
      </c>
      <c r="F1266" t="n">
        <v>20486.2</v>
      </c>
      <c r="G1266" t="n">
        <v>1214119.3</v>
      </c>
      <c r="H1266" t="n">
        <v>1294562.1</v>
      </c>
      <c r="I1266">
        <f>DAY(EOMONTH(DATE(VALUE(LEFT(E1266,4)),VALUE(RIGHT(E1266,2)),1),0))</f>
        <v/>
      </c>
      <c r="J1266">
        <f>VALUE(LEFT(E1266,4))*12+VALUE(RIGHT(E1266,2))-1</f>
        <v/>
      </c>
    </row>
    <row r="1267">
      <c r="A1267" t="inlineStr">
        <is>
          <t>Puesto Hernández</t>
        </is>
      </c>
      <c r="B1267" t="inlineStr">
        <is>
          <t>Neuquina</t>
        </is>
      </c>
      <c r="C1267" t="inlineStr">
        <is>
          <t>YPF S.A.</t>
        </is>
      </c>
      <c r="D1267" t="inlineStr">
        <is>
          <t>convencional</t>
        </is>
      </c>
      <c r="E1267" t="inlineStr">
        <is>
          <t>2020-08</t>
        </is>
      </c>
      <c r="F1267" t="n">
        <v>21395.7</v>
      </c>
      <c r="G1267" t="n">
        <v>1190961.5</v>
      </c>
      <c r="H1267" t="n">
        <v>1279322.1</v>
      </c>
      <c r="I1267">
        <f>DAY(EOMONTH(DATE(VALUE(LEFT(E1267,4)),VALUE(RIGHT(E1267,2)),1),0))</f>
        <v/>
      </c>
      <c r="J1267">
        <f>VALUE(LEFT(E1267,4))*12+VALUE(RIGHT(E1267,2))-1</f>
        <v/>
      </c>
    </row>
    <row r="1268">
      <c r="A1268" t="inlineStr">
        <is>
          <t>Puesto Hernández</t>
        </is>
      </c>
      <c r="B1268" t="inlineStr">
        <is>
          <t>Neuquina</t>
        </is>
      </c>
      <c r="C1268" t="inlineStr">
        <is>
          <t>YPF S.A.</t>
        </is>
      </c>
      <c r="D1268" t="inlineStr">
        <is>
          <t>convencional</t>
        </is>
      </c>
      <c r="E1268" t="inlineStr">
        <is>
          <t>2020-09</t>
        </is>
      </c>
      <c r="F1268" t="n">
        <v>19464.3</v>
      </c>
      <c r="G1268" t="n">
        <v>1103040.9</v>
      </c>
      <c r="H1268" t="n">
        <v>1182861</v>
      </c>
      <c r="I1268">
        <f>DAY(EOMONTH(DATE(VALUE(LEFT(E1268,4)),VALUE(RIGHT(E1268,2)),1),0))</f>
        <v/>
      </c>
      <c r="J1268">
        <f>VALUE(LEFT(E1268,4))*12+VALUE(RIGHT(E1268,2))-1</f>
        <v/>
      </c>
    </row>
    <row r="1269">
      <c r="A1269" t="inlineStr">
        <is>
          <t>Puesto Hernández</t>
        </is>
      </c>
      <c r="B1269" t="inlineStr">
        <is>
          <t>Neuquina</t>
        </is>
      </c>
      <c r="C1269" t="inlineStr">
        <is>
          <t>YPF S.A.</t>
        </is>
      </c>
      <c r="D1269" t="inlineStr">
        <is>
          <t>convencional</t>
        </is>
      </c>
      <c r="E1269" t="inlineStr">
        <is>
          <t>2020-10</t>
        </is>
      </c>
      <c r="F1269" t="n">
        <v>19809.2</v>
      </c>
      <c r="G1269" t="n">
        <v>1074768.7</v>
      </c>
      <c r="H1269" t="n">
        <v>1152822</v>
      </c>
      <c r="I1269">
        <f>DAY(EOMONTH(DATE(VALUE(LEFT(E1269,4)),VALUE(RIGHT(E1269,2)),1),0))</f>
        <v/>
      </c>
      <c r="J1269">
        <f>VALUE(LEFT(E1269,4))*12+VALUE(RIGHT(E1269,2))-1</f>
        <v/>
      </c>
    </row>
    <row r="1270">
      <c r="A1270" t="inlineStr">
        <is>
          <t>Puesto Hernández</t>
        </is>
      </c>
      <c r="B1270" t="inlineStr">
        <is>
          <t>Neuquina</t>
        </is>
      </c>
      <c r="C1270" t="inlineStr">
        <is>
          <t>YPF S.A.</t>
        </is>
      </c>
      <c r="D1270" t="inlineStr">
        <is>
          <t>convencional</t>
        </is>
      </c>
      <c r="E1270" t="inlineStr">
        <is>
          <t>2020-11</t>
        </is>
      </c>
      <c r="F1270" t="n">
        <v>18111.5</v>
      </c>
      <c r="G1270" t="n">
        <v>999265.8</v>
      </c>
      <c r="H1270" t="n">
        <v>1074926.2</v>
      </c>
      <c r="I1270">
        <f>DAY(EOMONTH(DATE(VALUE(LEFT(E1270,4)),VALUE(RIGHT(E1270,2)),1),0))</f>
        <v/>
      </c>
      <c r="J1270">
        <f>VALUE(LEFT(E1270,4))*12+VALUE(RIGHT(E1270,2))-1</f>
        <v/>
      </c>
    </row>
    <row r="1271">
      <c r="A1271" t="inlineStr">
        <is>
          <t>Puesto Hernández</t>
        </is>
      </c>
      <c r="B1271" t="inlineStr">
        <is>
          <t>Neuquina</t>
        </is>
      </c>
      <c r="C1271" t="inlineStr">
        <is>
          <t>YPF S.A.</t>
        </is>
      </c>
      <c r="D1271" t="inlineStr">
        <is>
          <t>convencional</t>
        </is>
      </c>
      <c r="E1271" t="inlineStr">
        <is>
          <t>2020-12</t>
        </is>
      </c>
      <c r="F1271" t="n">
        <v>18857.8</v>
      </c>
      <c r="G1271" t="n">
        <v>1095275</v>
      </c>
      <c r="H1271" t="n">
        <v>1173269.1</v>
      </c>
      <c r="I1271">
        <f>DAY(EOMONTH(DATE(VALUE(LEFT(E1271,4)),VALUE(RIGHT(E1271,2)),1),0))</f>
        <v/>
      </c>
      <c r="J1271">
        <f>VALUE(LEFT(E1271,4))*12+VALUE(RIGHT(E1271,2))-1</f>
        <v/>
      </c>
    </row>
    <row r="1272">
      <c r="A1272" t="inlineStr">
        <is>
          <t>Puesto Hernández</t>
        </is>
      </c>
      <c r="B1272" t="inlineStr">
        <is>
          <t>Neuquina</t>
        </is>
      </c>
      <c r="C1272" t="inlineStr">
        <is>
          <t>YPF S.A.</t>
        </is>
      </c>
      <c r="D1272" t="inlineStr">
        <is>
          <t>convencional</t>
        </is>
      </c>
      <c r="E1272" t="inlineStr">
        <is>
          <t>2021-01</t>
        </is>
      </c>
      <c r="F1272" t="n">
        <v>19623.2</v>
      </c>
      <c r="G1272" t="n">
        <v>1127519.9</v>
      </c>
      <c r="H1272" t="n">
        <v>1207328.1</v>
      </c>
      <c r="I1272">
        <f>DAY(EOMONTH(DATE(VALUE(LEFT(E1272,4)),VALUE(RIGHT(E1272,2)),1),0))</f>
        <v/>
      </c>
      <c r="J1272">
        <f>VALUE(LEFT(E1272,4))*12+VALUE(RIGHT(E1272,2))-1</f>
        <v/>
      </c>
    </row>
    <row r="1273">
      <c r="A1273" t="inlineStr">
        <is>
          <t>Puesto Hernández</t>
        </is>
      </c>
      <c r="B1273" t="inlineStr">
        <is>
          <t>Neuquina</t>
        </is>
      </c>
      <c r="C1273" t="inlineStr">
        <is>
          <t>YPF S.A.</t>
        </is>
      </c>
      <c r="D1273" t="inlineStr">
        <is>
          <t>convencional</t>
        </is>
      </c>
      <c r="E1273" t="inlineStr">
        <is>
          <t>2021-02</t>
        </is>
      </c>
      <c r="F1273" t="n">
        <v>17487.4</v>
      </c>
      <c r="G1273" t="n">
        <v>1017535.2</v>
      </c>
      <c r="H1273" t="n">
        <v>1073994.1</v>
      </c>
      <c r="I1273">
        <f>DAY(EOMONTH(DATE(VALUE(LEFT(E1273,4)),VALUE(RIGHT(E1273,2)),1),0))</f>
        <v/>
      </c>
      <c r="J1273">
        <f>VALUE(LEFT(E1273,4))*12+VALUE(RIGHT(E1273,2))-1</f>
        <v/>
      </c>
    </row>
    <row r="1274">
      <c r="A1274" t="inlineStr">
        <is>
          <t>Puesto Hernández</t>
        </is>
      </c>
      <c r="B1274" t="inlineStr">
        <is>
          <t>Neuquina</t>
        </is>
      </c>
      <c r="C1274" t="inlineStr">
        <is>
          <t>YPF S.A.</t>
        </is>
      </c>
      <c r="D1274" t="inlineStr">
        <is>
          <t>convencional</t>
        </is>
      </c>
      <c r="E1274" t="inlineStr">
        <is>
          <t>2021-03</t>
        </is>
      </c>
      <c r="F1274" t="n">
        <v>19665</v>
      </c>
      <c r="G1274" t="n">
        <v>1170924.8</v>
      </c>
      <c r="H1274" t="n">
        <v>1232066.1</v>
      </c>
      <c r="I1274">
        <f>DAY(EOMONTH(DATE(VALUE(LEFT(E1274,4)),VALUE(RIGHT(E1274,2)),1),0))</f>
        <v/>
      </c>
      <c r="J1274">
        <f>VALUE(LEFT(E1274,4))*12+VALUE(RIGHT(E1274,2))-1</f>
        <v/>
      </c>
    </row>
    <row r="1275">
      <c r="A1275" t="inlineStr">
        <is>
          <t>Puesto Hernández</t>
        </is>
      </c>
      <c r="B1275" t="inlineStr">
        <is>
          <t>Neuquina</t>
        </is>
      </c>
      <c r="C1275" t="inlineStr">
        <is>
          <t>YPF S.A.</t>
        </is>
      </c>
      <c r="D1275" t="inlineStr">
        <is>
          <t>convencional</t>
        </is>
      </c>
      <c r="E1275" t="inlineStr">
        <is>
          <t>2021-04</t>
        </is>
      </c>
      <c r="F1275" t="n">
        <v>17450.3</v>
      </c>
      <c r="G1275" t="n">
        <v>1028295</v>
      </c>
      <c r="H1275" t="n">
        <v>1077036.1</v>
      </c>
      <c r="I1275">
        <f>DAY(EOMONTH(DATE(VALUE(LEFT(E1275,4)),VALUE(RIGHT(E1275,2)),1),0))</f>
        <v/>
      </c>
      <c r="J1275">
        <f>VALUE(LEFT(E1275,4))*12+VALUE(RIGHT(E1275,2))-1</f>
        <v/>
      </c>
    </row>
    <row r="1276">
      <c r="A1276" t="inlineStr">
        <is>
          <t>Puesto Hernández</t>
        </is>
      </c>
      <c r="B1276" t="inlineStr">
        <is>
          <t>Neuquina</t>
        </is>
      </c>
      <c r="C1276" t="inlineStr">
        <is>
          <t>YPF S.A.</t>
        </is>
      </c>
      <c r="D1276" t="inlineStr">
        <is>
          <t>convencional</t>
        </is>
      </c>
      <c r="E1276" t="inlineStr">
        <is>
          <t>2021-05</t>
        </is>
      </c>
      <c r="F1276" t="n">
        <v>19316.8</v>
      </c>
      <c r="G1276" t="n">
        <v>1154269.3</v>
      </c>
      <c r="H1276" t="n">
        <v>1199851.1</v>
      </c>
      <c r="I1276">
        <f>DAY(EOMONTH(DATE(VALUE(LEFT(E1276,4)),VALUE(RIGHT(E1276,2)),1),0))</f>
        <v/>
      </c>
      <c r="J1276">
        <f>VALUE(LEFT(E1276,4))*12+VALUE(RIGHT(E1276,2))-1</f>
        <v/>
      </c>
    </row>
    <row r="1277">
      <c r="A1277" t="inlineStr">
        <is>
          <t>Puesto Hernández</t>
        </is>
      </c>
      <c r="B1277" t="inlineStr">
        <is>
          <t>Neuquina</t>
        </is>
      </c>
      <c r="C1277" t="inlineStr">
        <is>
          <t>YPF S.A.</t>
        </is>
      </c>
      <c r="D1277" t="inlineStr">
        <is>
          <t>convencional</t>
        </is>
      </c>
      <c r="E1277" t="inlineStr">
        <is>
          <t>2021-06</t>
        </is>
      </c>
      <c r="F1277" t="n">
        <v>18568.4</v>
      </c>
      <c r="G1277" t="n">
        <v>1065200.2</v>
      </c>
      <c r="H1277" t="n">
        <v>1109513.1</v>
      </c>
      <c r="I1277">
        <f>DAY(EOMONTH(DATE(VALUE(LEFT(E1277,4)),VALUE(RIGHT(E1277,2)),1),0))</f>
        <v/>
      </c>
      <c r="J1277">
        <f>VALUE(LEFT(E1277,4))*12+VALUE(RIGHT(E1277,2))-1</f>
        <v/>
      </c>
    </row>
    <row r="1278">
      <c r="A1278" t="inlineStr">
        <is>
          <t>Puesto Hernández</t>
        </is>
      </c>
      <c r="B1278" t="inlineStr">
        <is>
          <t>Neuquina</t>
        </is>
      </c>
      <c r="C1278" t="inlineStr">
        <is>
          <t>YPF S.A.</t>
        </is>
      </c>
      <c r="D1278" t="inlineStr">
        <is>
          <t>convencional</t>
        </is>
      </c>
      <c r="E1278" t="inlineStr">
        <is>
          <t>2021-07</t>
        </is>
      </c>
      <c r="F1278" t="n">
        <v>18962.8</v>
      </c>
      <c r="G1278" t="n">
        <v>1099859.6</v>
      </c>
      <c r="H1278" t="n">
        <v>1152174.2</v>
      </c>
      <c r="I1278">
        <f>DAY(EOMONTH(DATE(VALUE(LEFT(E1278,4)),VALUE(RIGHT(E1278,2)),1),0))</f>
        <v/>
      </c>
      <c r="J1278">
        <f>VALUE(LEFT(E1278,4))*12+VALUE(RIGHT(E1278,2))-1</f>
        <v/>
      </c>
    </row>
    <row r="1279">
      <c r="A1279" t="inlineStr">
        <is>
          <t>Puesto Hernández</t>
        </is>
      </c>
      <c r="B1279" t="inlineStr">
        <is>
          <t>Neuquina</t>
        </is>
      </c>
      <c r="C1279" t="inlineStr">
        <is>
          <t>YPF S.A.</t>
        </is>
      </c>
      <c r="D1279" t="inlineStr">
        <is>
          <t>convencional</t>
        </is>
      </c>
      <c r="E1279" t="inlineStr">
        <is>
          <t>2021-08</t>
        </is>
      </c>
      <c r="F1279" t="n">
        <v>18409</v>
      </c>
      <c r="G1279" t="n">
        <v>1084966.1</v>
      </c>
      <c r="H1279" t="n">
        <v>1138651.1</v>
      </c>
      <c r="I1279">
        <f>DAY(EOMONTH(DATE(VALUE(LEFT(E1279,4)),VALUE(RIGHT(E1279,2)),1),0))</f>
        <v/>
      </c>
      <c r="J1279">
        <f>VALUE(LEFT(E1279,4))*12+VALUE(RIGHT(E1279,2))-1</f>
        <v/>
      </c>
    </row>
    <row r="1280">
      <c r="A1280" t="inlineStr">
        <is>
          <t>Puesto Hernández</t>
        </is>
      </c>
      <c r="B1280" t="inlineStr">
        <is>
          <t>Neuquina</t>
        </is>
      </c>
      <c r="C1280" t="inlineStr">
        <is>
          <t>YPF S.A.</t>
        </is>
      </c>
      <c r="D1280" t="inlineStr">
        <is>
          <t>convencional</t>
        </is>
      </c>
      <c r="E1280" t="inlineStr">
        <is>
          <t>2021-09</t>
        </is>
      </c>
      <c r="F1280" t="n">
        <v>17206.5</v>
      </c>
      <c r="G1280" t="n">
        <v>1035727.6</v>
      </c>
      <c r="H1280" t="n">
        <v>1087412.1</v>
      </c>
      <c r="I1280">
        <f>DAY(EOMONTH(DATE(VALUE(LEFT(E1280,4)),VALUE(RIGHT(E1280,2)),1),0))</f>
        <v/>
      </c>
      <c r="J1280">
        <f>VALUE(LEFT(E1280,4))*12+VALUE(RIGHT(E1280,2))-1</f>
        <v/>
      </c>
    </row>
    <row r="1281">
      <c r="A1281" t="inlineStr">
        <is>
          <t>Puesto Hernández</t>
        </is>
      </c>
      <c r="B1281" t="inlineStr">
        <is>
          <t>Neuquina</t>
        </is>
      </c>
      <c r="C1281" t="inlineStr">
        <is>
          <t>YPF S.A.</t>
        </is>
      </c>
      <c r="D1281" t="inlineStr">
        <is>
          <t>convencional</t>
        </is>
      </c>
      <c r="E1281" t="inlineStr">
        <is>
          <t>2021-10</t>
        </is>
      </c>
      <c r="F1281" t="n">
        <v>18504.4</v>
      </c>
      <c r="G1281" t="n">
        <v>1049208</v>
      </c>
      <c r="H1281" t="n">
        <v>1103999.1</v>
      </c>
      <c r="I1281">
        <f>DAY(EOMONTH(DATE(VALUE(LEFT(E1281,4)),VALUE(RIGHT(E1281,2)),1),0))</f>
        <v/>
      </c>
      <c r="J1281">
        <f>VALUE(LEFT(E1281,4))*12+VALUE(RIGHT(E1281,2))-1</f>
        <v/>
      </c>
    </row>
    <row r="1282">
      <c r="A1282" t="inlineStr">
        <is>
          <t>Puesto Hernández</t>
        </is>
      </c>
      <c r="B1282" t="inlineStr">
        <is>
          <t>Neuquina</t>
        </is>
      </c>
      <c r="C1282" t="inlineStr">
        <is>
          <t>YPF S.A.</t>
        </is>
      </c>
      <c r="D1282" t="inlineStr">
        <is>
          <t>convencional</t>
        </is>
      </c>
      <c r="E1282" t="inlineStr">
        <is>
          <t>2021-11</t>
        </is>
      </c>
      <c r="F1282" t="n">
        <v>17417.7</v>
      </c>
      <c r="G1282" t="n">
        <v>997720.6</v>
      </c>
      <c r="H1282" t="n">
        <v>1053584.1</v>
      </c>
      <c r="I1282">
        <f>DAY(EOMONTH(DATE(VALUE(LEFT(E1282,4)),VALUE(RIGHT(E1282,2)),1),0))</f>
        <v/>
      </c>
      <c r="J1282">
        <f>VALUE(LEFT(E1282,4))*12+VALUE(RIGHT(E1282,2))-1</f>
        <v/>
      </c>
    </row>
    <row r="1283">
      <c r="A1283" t="inlineStr">
        <is>
          <t>Puesto Hernández</t>
        </is>
      </c>
      <c r="B1283" t="inlineStr">
        <is>
          <t>Neuquina</t>
        </is>
      </c>
      <c r="C1283" t="inlineStr">
        <is>
          <t>YPF S.A.</t>
        </is>
      </c>
      <c r="D1283" t="inlineStr">
        <is>
          <t>convencional</t>
        </is>
      </c>
      <c r="E1283" t="inlineStr">
        <is>
          <t>2021-12</t>
        </is>
      </c>
      <c r="F1283" t="n">
        <v>18144.2</v>
      </c>
      <c r="G1283" t="n">
        <v>1020630</v>
      </c>
      <c r="H1283" t="n">
        <v>1081621.2</v>
      </c>
      <c r="I1283">
        <f>DAY(EOMONTH(DATE(VALUE(LEFT(E1283,4)),VALUE(RIGHT(E1283,2)),1),0))</f>
        <v/>
      </c>
      <c r="J1283">
        <f>VALUE(LEFT(E1283,4))*12+VALUE(RIGHT(E1283,2))-1</f>
        <v/>
      </c>
    </row>
    <row r="1284">
      <c r="A1284" t="inlineStr">
        <is>
          <t>Puesto Hernández</t>
        </is>
      </c>
      <c r="B1284" t="inlineStr">
        <is>
          <t>Neuquina</t>
        </is>
      </c>
      <c r="C1284" t="inlineStr">
        <is>
          <t>YPF S.A.</t>
        </is>
      </c>
      <c r="D1284" t="inlineStr">
        <is>
          <t>convencional</t>
        </is>
      </c>
      <c r="E1284" t="inlineStr">
        <is>
          <t>2022-01</t>
        </is>
      </c>
      <c r="F1284" t="n">
        <v>17359.1</v>
      </c>
      <c r="G1284" t="n">
        <v>1017720.5</v>
      </c>
      <c r="H1284" t="n">
        <v>1072999.1</v>
      </c>
      <c r="I1284">
        <f>DAY(EOMONTH(DATE(VALUE(LEFT(E1284,4)),VALUE(RIGHT(E1284,2)),1),0))</f>
        <v/>
      </c>
      <c r="J1284">
        <f>VALUE(LEFT(E1284,4))*12+VALUE(RIGHT(E1284,2))-1</f>
        <v/>
      </c>
    </row>
    <row r="1285">
      <c r="A1285" t="inlineStr">
        <is>
          <t>Puesto Hernández</t>
        </is>
      </c>
      <c r="B1285" t="inlineStr">
        <is>
          <t>Neuquina</t>
        </is>
      </c>
      <c r="C1285" t="inlineStr">
        <is>
          <t>YPF S.A.</t>
        </is>
      </c>
      <c r="D1285" t="inlineStr">
        <is>
          <t>convencional</t>
        </is>
      </c>
      <c r="E1285" t="inlineStr">
        <is>
          <t>2022-02</t>
        </is>
      </c>
      <c r="F1285" t="n">
        <v>14948.7</v>
      </c>
      <c r="G1285" t="n">
        <v>877302.4</v>
      </c>
      <c r="H1285" t="n">
        <v>927384.1</v>
      </c>
      <c r="I1285">
        <f>DAY(EOMONTH(DATE(VALUE(LEFT(E1285,4)),VALUE(RIGHT(E1285,2)),1),0))</f>
        <v/>
      </c>
      <c r="J1285">
        <f>VALUE(LEFT(E1285,4))*12+VALUE(RIGHT(E1285,2))-1</f>
        <v/>
      </c>
    </row>
    <row r="1286">
      <c r="A1286" t="inlineStr">
        <is>
          <t>Puesto Hernández</t>
        </is>
      </c>
      <c r="B1286" t="inlineStr">
        <is>
          <t>Neuquina</t>
        </is>
      </c>
      <c r="C1286" t="inlineStr">
        <is>
          <t>YPF S.A.</t>
        </is>
      </c>
      <c r="D1286" t="inlineStr">
        <is>
          <t>convencional</t>
        </is>
      </c>
      <c r="E1286" t="inlineStr">
        <is>
          <t>2022-03</t>
        </is>
      </c>
      <c r="F1286" t="n">
        <v>16899</v>
      </c>
      <c r="G1286" t="n">
        <v>1013484</v>
      </c>
      <c r="H1286" t="n">
        <v>1070183.2</v>
      </c>
      <c r="I1286">
        <f>DAY(EOMONTH(DATE(VALUE(LEFT(E1286,4)),VALUE(RIGHT(E1286,2)),1),0))</f>
        <v/>
      </c>
      <c r="J1286">
        <f>VALUE(LEFT(E1286,4))*12+VALUE(RIGHT(E1286,2))-1</f>
        <v/>
      </c>
    </row>
    <row r="1287">
      <c r="A1287" t="inlineStr">
        <is>
          <t>Puesto Hernández</t>
        </is>
      </c>
      <c r="B1287" t="inlineStr">
        <is>
          <t>Neuquina</t>
        </is>
      </c>
      <c r="C1287" t="inlineStr">
        <is>
          <t>YPF S.A.</t>
        </is>
      </c>
      <c r="D1287" t="inlineStr">
        <is>
          <t>convencional</t>
        </is>
      </c>
      <c r="E1287" t="inlineStr">
        <is>
          <t>2022-04</t>
        </is>
      </c>
      <c r="F1287" t="n">
        <v>14971.4</v>
      </c>
      <c r="G1287" t="n">
        <v>904179.9</v>
      </c>
      <c r="H1287" t="n">
        <v>951833</v>
      </c>
      <c r="I1287">
        <f>DAY(EOMONTH(DATE(VALUE(LEFT(E1287,4)),VALUE(RIGHT(E1287,2)),1),0))</f>
        <v/>
      </c>
      <c r="J1287">
        <f>VALUE(LEFT(E1287,4))*12+VALUE(RIGHT(E1287,2))-1</f>
        <v/>
      </c>
    </row>
    <row r="1288">
      <c r="A1288" t="inlineStr">
        <is>
          <t>Puesto Hernández</t>
        </is>
      </c>
      <c r="B1288" t="inlineStr">
        <is>
          <t>Neuquina</t>
        </is>
      </c>
      <c r="C1288" t="inlineStr">
        <is>
          <t>YPF S.A.</t>
        </is>
      </c>
      <c r="D1288" t="inlineStr">
        <is>
          <t>convencional</t>
        </is>
      </c>
      <c r="E1288" t="inlineStr">
        <is>
          <t>2022-05</t>
        </is>
      </c>
      <c r="F1288" t="n">
        <v>14847.8</v>
      </c>
      <c r="G1288" t="n">
        <v>935771.2</v>
      </c>
      <c r="H1288" t="n">
        <v>980024.1</v>
      </c>
      <c r="I1288">
        <f>DAY(EOMONTH(DATE(VALUE(LEFT(E1288,4)),VALUE(RIGHT(E1288,2)),1),0))</f>
        <v/>
      </c>
      <c r="J1288">
        <f>VALUE(LEFT(E1288,4))*12+VALUE(RIGHT(E1288,2))-1</f>
        <v/>
      </c>
    </row>
    <row r="1289">
      <c r="A1289" t="inlineStr">
        <is>
          <t>Puesto Hernández</t>
        </is>
      </c>
      <c r="B1289" t="inlineStr">
        <is>
          <t>Neuquina</t>
        </is>
      </c>
      <c r="C1289" t="inlineStr">
        <is>
          <t>YPF S.A.</t>
        </is>
      </c>
      <c r="D1289" t="inlineStr">
        <is>
          <t>convencional</t>
        </is>
      </c>
      <c r="E1289" t="inlineStr">
        <is>
          <t>2022-06</t>
        </is>
      </c>
      <c r="F1289" t="n">
        <v>14698.6</v>
      </c>
      <c r="G1289" t="n">
        <v>923082.3</v>
      </c>
      <c r="H1289" t="n">
        <v>971110.1</v>
      </c>
      <c r="I1289">
        <f>DAY(EOMONTH(DATE(VALUE(LEFT(E1289,4)),VALUE(RIGHT(E1289,2)),1),0))</f>
        <v/>
      </c>
      <c r="J1289">
        <f>VALUE(LEFT(E1289,4))*12+VALUE(RIGHT(E1289,2))-1</f>
        <v/>
      </c>
    </row>
    <row r="1290">
      <c r="A1290" t="inlineStr">
        <is>
          <t>Puesto Hernández</t>
        </is>
      </c>
      <c r="B1290" t="inlineStr">
        <is>
          <t>Neuquina</t>
        </is>
      </c>
      <c r="C1290" t="inlineStr">
        <is>
          <t>YPF S.A.</t>
        </is>
      </c>
      <c r="D1290" t="inlineStr">
        <is>
          <t>convencional</t>
        </is>
      </c>
      <c r="E1290" t="inlineStr">
        <is>
          <t>2022-07</t>
        </is>
      </c>
      <c r="F1290" t="n">
        <v>16035.3</v>
      </c>
      <c r="G1290" t="n">
        <v>983057.9</v>
      </c>
      <c r="H1290" t="n">
        <v>1030176.1</v>
      </c>
      <c r="I1290">
        <f>DAY(EOMONTH(DATE(VALUE(LEFT(E1290,4)),VALUE(RIGHT(E1290,2)),1),0))</f>
        <v/>
      </c>
      <c r="J1290">
        <f>VALUE(LEFT(E1290,4))*12+VALUE(RIGHT(E1290,2))-1</f>
        <v/>
      </c>
    </row>
    <row r="1291">
      <c r="A1291" t="inlineStr">
        <is>
          <t>Puesto Hernández</t>
        </is>
      </c>
      <c r="B1291" t="inlineStr">
        <is>
          <t>Neuquina</t>
        </is>
      </c>
      <c r="C1291" t="inlineStr">
        <is>
          <t>YPF S.A.</t>
        </is>
      </c>
      <c r="D1291" t="inlineStr">
        <is>
          <t>convencional</t>
        </is>
      </c>
      <c r="E1291" t="inlineStr">
        <is>
          <t>2022-08</t>
        </is>
      </c>
      <c r="F1291" t="n">
        <v>15589</v>
      </c>
      <c r="G1291" t="n">
        <v>987228.4</v>
      </c>
      <c r="H1291" t="n">
        <v>1044229.1</v>
      </c>
      <c r="I1291">
        <f>DAY(EOMONTH(DATE(VALUE(LEFT(E1291,4)),VALUE(RIGHT(E1291,2)),1),0))</f>
        <v/>
      </c>
      <c r="J1291">
        <f>VALUE(LEFT(E1291,4))*12+VALUE(RIGHT(E1291,2))-1</f>
        <v/>
      </c>
    </row>
    <row r="1292">
      <c r="A1292" t="inlineStr">
        <is>
          <t>Puesto Hernández</t>
        </is>
      </c>
      <c r="B1292" t="inlineStr">
        <is>
          <t>Neuquina</t>
        </is>
      </c>
      <c r="C1292" t="inlineStr">
        <is>
          <t>YPF S.A.</t>
        </is>
      </c>
      <c r="D1292" t="inlineStr">
        <is>
          <t>convencional</t>
        </is>
      </c>
      <c r="E1292" t="inlineStr">
        <is>
          <t>2022-09</t>
        </is>
      </c>
      <c r="F1292" t="n">
        <v>14731.9</v>
      </c>
      <c r="G1292" t="n">
        <v>923768.6</v>
      </c>
      <c r="H1292" t="n">
        <v>977990.1</v>
      </c>
      <c r="I1292">
        <f>DAY(EOMONTH(DATE(VALUE(LEFT(E1292,4)),VALUE(RIGHT(E1292,2)),1),0))</f>
        <v/>
      </c>
      <c r="J1292">
        <f>VALUE(LEFT(E1292,4))*12+VALUE(RIGHT(E1292,2))-1</f>
        <v/>
      </c>
    </row>
    <row r="1293">
      <c r="A1293" t="inlineStr">
        <is>
          <t>Puesto Hernández</t>
        </is>
      </c>
      <c r="B1293" t="inlineStr">
        <is>
          <t>Neuquina</t>
        </is>
      </c>
      <c r="C1293" t="inlineStr">
        <is>
          <t>YPF S.A.</t>
        </is>
      </c>
      <c r="D1293" t="inlineStr">
        <is>
          <t>convencional</t>
        </is>
      </c>
      <c r="E1293" t="inlineStr">
        <is>
          <t>2022-10</t>
        </is>
      </c>
      <c r="F1293" t="n">
        <v>16154.8</v>
      </c>
      <c r="G1293" t="n">
        <v>984615.5</v>
      </c>
      <c r="H1293" t="n">
        <v>1047616.1</v>
      </c>
      <c r="I1293">
        <f>DAY(EOMONTH(DATE(VALUE(LEFT(E1293,4)),VALUE(RIGHT(E1293,2)),1),0))</f>
        <v/>
      </c>
      <c r="J1293">
        <f>VALUE(LEFT(E1293,4))*12+VALUE(RIGHT(E1293,2))-1</f>
        <v/>
      </c>
    </row>
    <row r="1294">
      <c r="A1294" t="inlineStr">
        <is>
          <t>Puesto Hernández</t>
        </is>
      </c>
      <c r="B1294" t="inlineStr">
        <is>
          <t>Neuquina</t>
        </is>
      </c>
      <c r="C1294" t="inlineStr">
        <is>
          <t>YPF S.A.</t>
        </is>
      </c>
      <c r="D1294" t="inlineStr">
        <is>
          <t>convencional</t>
        </is>
      </c>
      <c r="E1294" t="inlineStr">
        <is>
          <t>2022-11</t>
        </is>
      </c>
      <c r="F1294" t="n">
        <v>15048.9</v>
      </c>
      <c r="G1294" t="n">
        <v>925814.4</v>
      </c>
      <c r="H1294" t="n">
        <v>971969.1</v>
      </c>
      <c r="I1294">
        <f>DAY(EOMONTH(DATE(VALUE(LEFT(E1294,4)),VALUE(RIGHT(E1294,2)),1),0))</f>
        <v/>
      </c>
      <c r="J1294">
        <f>VALUE(LEFT(E1294,4))*12+VALUE(RIGHT(E1294,2))-1</f>
        <v/>
      </c>
    </row>
    <row r="1295">
      <c r="A1295" t="inlineStr">
        <is>
          <t>Puesto Hernández</t>
        </is>
      </c>
      <c r="B1295" t="inlineStr">
        <is>
          <t>Neuquina</t>
        </is>
      </c>
      <c r="C1295" t="inlineStr">
        <is>
          <t>YPF S.A.</t>
        </is>
      </c>
      <c r="D1295" t="inlineStr">
        <is>
          <t>convencional</t>
        </is>
      </c>
      <c r="E1295" t="inlineStr">
        <is>
          <t>2022-12</t>
        </is>
      </c>
      <c r="F1295" t="n">
        <v>15595.9</v>
      </c>
      <c r="G1295" t="n">
        <v>927281.1</v>
      </c>
      <c r="H1295" t="n">
        <v>979573.2</v>
      </c>
      <c r="I1295">
        <f>DAY(EOMONTH(DATE(VALUE(LEFT(E1295,4)),VALUE(RIGHT(E1295,2)),1),0))</f>
        <v/>
      </c>
      <c r="J1295">
        <f>VALUE(LEFT(E1295,4))*12+VALUE(RIGHT(E1295,2))-1</f>
        <v/>
      </c>
    </row>
    <row r="1296">
      <c r="A1296" t="inlineStr">
        <is>
          <t>Puesto Hernández</t>
        </is>
      </c>
      <c r="B1296" t="inlineStr">
        <is>
          <t>Neuquina</t>
        </is>
      </c>
      <c r="C1296" t="inlineStr">
        <is>
          <t>YPF S.A.</t>
        </is>
      </c>
      <c r="D1296" t="inlineStr">
        <is>
          <t>convencional</t>
        </is>
      </c>
      <c r="E1296" t="inlineStr">
        <is>
          <t>2023-01</t>
        </is>
      </c>
      <c r="F1296" t="n">
        <v>14719.5</v>
      </c>
      <c r="G1296" t="n">
        <v>928730.1</v>
      </c>
      <c r="H1296" t="n">
        <v>985682.1</v>
      </c>
      <c r="I1296">
        <f>DAY(EOMONTH(DATE(VALUE(LEFT(E1296,4)),VALUE(RIGHT(E1296,2)),1),0))</f>
        <v/>
      </c>
      <c r="J1296">
        <f>VALUE(LEFT(E1296,4))*12+VALUE(RIGHT(E1296,2))-1</f>
        <v/>
      </c>
    </row>
    <row r="1297">
      <c r="A1297" t="inlineStr">
        <is>
          <t>Puesto Hernández</t>
        </is>
      </c>
      <c r="B1297" t="inlineStr">
        <is>
          <t>Neuquina</t>
        </is>
      </c>
      <c r="C1297" t="inlineStr">
        <is>
          <t>YPF S.A.</t>
        </is>
      </c>
      <c r="D1297" t="inlineStr">
        <is>
          <t>convencional</t>
        </is>
      </c>
      <c r="E1297" t="inlineStr">
        <is>
          <t>2023-02</t>
        </is>
      </c>
      <c r="F1297" t="n">
        <v>13786.6</v>
      </c>
      <c r="G1297" t="n">
        <v>861028.4</v>
      </c>
      <c r="H1297" t="n">
        <v>889182.1</v>
      </c>
      <c r="I1297">
        <f>DAY(EOMONTH(DATE(VALUE(LEFT(E1297,4)),VALUE(RIGHT(E1297,2)),1),0))</f>
        <v/>
      </c>
      <c r="J1297">
        <f>VALUE(LEFT(E1297,4))*12+VALUE(RIGHT(E1297,2))-1</f>
        <v/>
      </c>
    </row>
    <row r="1298">
      <c r="A1298" t="inlineStr">
        <is>
          <t>Puesto Hernández</t>
        </is>
      </c>
      <c r="B1298" t="inlineStr">
        <is>
          <t>Neuquina</t>
        </is>
      </c>
      <c r="C1298" t="inlineStr">
        <is>
          <t>YPF S.A.</t>
        </is>
      </c>
      <c r="D1298" t="inlineStr">
        <is>
          <t>convencional</t>
        </is>
      </c>
      <c r="E1298" t="inlineStr">
        <is>
          <t>2023-03</t>
        </is>
      </c>
      <c r="F1298" t="n">
        <v>14824.7</v>
      </c>
      <c r="G1298" t="n">
        <v>927341.5</v>
      </c>
      <c r="H1298" t="n">
        <v>984928.2</v>
      </c>
      <c r="I1298">
        <f>DAY(EOMONTH(DATE(VALUE(LEFT(E1298,4)),VALUE(RIGHT(E1298,2)),1),0))</f>
        <v/>
      </c>
      <c r="J1298">
        <f>VALUE(LEFT(E1298,4))*12+VALUE(RIGHT(E1298,2))-1</f>
        <v/>
      </c>
    </row>
    <row r="1299">
      <c r="A1299" t="inlineStr">
        <is>
          <t>Puesto Hernández</t>
        </is>
      </c>
      <c r="B1299" t="inlineStr">
        <is>
          <t>Neuquina</t>
        </is>
      </c>
      <c r="C1299" t="inlineStr">
        <is>
          <t>YPF S.A.</t>
        </is>
      </c>
      <c r="D1299" t="inlineStr">
        <is>
          <t>convencional</t>
        </is>
      </c>
      <c r="E1299" t="inlineStr">
        <is>
          <t>2023-04</t>
        </is>
      </c>
      <c r="F1299" t="n">
        <v>14720.8</v>
      </c>
      <c r="G1299" t="n">
        <v>971574.4</v>
      </c>
      <c r="H1299" t="n">
        <v>1026071.1</v>
      </c>
      <c r="I1299">
        <f>DAY(EOMONTH(DATE(VALUE(LEFT(E1299,4)),VALUE(RIGHT(E1299,2)),1),0))</f>
        <v/>
      </c>
      <c r="J1299">
        <f>VALUE(LEFT(E1299,4))*12+VALUE(RIGHT(E1299,2))-1</f>
        <v/>
      </c>
    </row>
    <row r="1300">
      <c r="A1300" t="inlineStr">
        <is>
          <t>Puesto Hernández</t>
        </is>
      </c>
      <c r="B1300" t="inlineStr">
        <is>
          <t>Neuquina</t>
        </is>
      </c>
      <c r="C1300" t="inlineStr">
        <is>
          <t>YPF S.A.</t>
        </is>
      </c>
      <c r="D1300" t="inlineStr">
        <is>
          <t>convencional</t>
        </is>
      </c>
      <c r="E1300" t="inlineStr">
        <is>
          <t>2023-05</t>
        </is>
      </c>
      <c r="F1300" t="n">
        <v>14983.6</v>
      </c>
      <c r="G1300" t="n">
        <v>982873.8</v>
      </c>
      <c r="H1300" t="n">
        <v>1034517.1</v>
      </c>
      <c r="I1300">
        <f>DAY(EOMONTH(DATE(VALUE(LEFT(E1300,4)),VALUE(RIGHT(E1300,2)),1),0))</f>
        <v/>
      </c>
      <c r="J1300">
        <f>VALUE(LEFT(E1300,4))*12+VALUE(RIGHT(E1300,2))-1</f>
        <v/>
      </c>
    </row>
    <row r="1301">
      <c r="A1301" t="inlineStr">
        <is>
          <t>Puesto Hernández</t>
        </is>
      </c>
      <c r="B1301" t="inlineStr">
        <is>
          <t>Neuquina</t>
        </is>
      </c>
      <c r="C1301" t="inlineStr">
        <is>
          <t>YPF S.A.</t>
        </is>
      </c>
      <c r="D1301" t="inlineStr">
        <is>
          <t>convencional</t>
        </is>
      </c>
      <c r="E1301" t="inlineStr">
        <is>
          <t>2023-06</t>
        </is>
      </c>
      <c r="F1301" t="n">
        <v>13654.1</v>
      </c>
      <c r="G1301" t="n">
        <v>944713.3</v>
      </c>
      <c r="H1301" t="n">
        <v>993303.1</v>
      </c>
      <c r="I1301">
        <f>DAY(EOMONTH(DATE(VALUE(LEFT(E1301,4)),VALUE(RIGHT(E1301,2)),1),0))</f>
        <v/>
      </c>
      <c r="J1301">
        <f>VALUE(LEFT(E1301,4))*12+VALUE(RIGHT(E1301,2))-1</f>
        <v/>
      </c>
    </row>
    <row r="1302">
      <c r="A1302" t="inlineStr">
        <is>
          <t>Puesto Hernández</t>
        </is>
      </c>
      <c r="B1302" t="inlineStr">
        <is>
          <t>Neuquina</t>
        </is>
      </c>
      <c r="C1302" t="inlineStr">
        <is>
          <t>YPF S.A.</t>
        </is>
      </c>
      <c r="D1302" t="inlineStr">
        <is>
          <t>convencional</t>
        </is>
      </c>
      <c r="E1302" t="inlineStr">
        <is>
          <t>2023-07</t>
        </is>
      </c>
      <c r="F1302" t="n">
        <v>14329.8</v>
      </c>
      <c r="G1302" t="n">
        <v>973360.1</v>
      </c>
      <c r="H1302" t="n">
        <v>1009891.1</v>
      </c>
      <c r="I1302">
        <f>DAY(EOMONTH(DATE(VALUE(LEFT(E1302,4)),VALUE(RIGHT(E1302,2)),1),0))</f>
        <v/>
      </c>
      <c r="J1302">
        <f>VALUE(LEFT(E1302,4))*12+VALUE(RIGHT(E1302,2))-1</f>
        <v/>
      </c>
    </row>
    <row r="1303">
      <c r="A1303" t="inlineStr">
        <is>
          <t>Puesto Hernández</t>
        </is>
      </c>
      <c r="B1303" t="inlineStr">
        <is>
          <t>Neuquina</t>
        </is>
      </c>
      <c r="C1303" t="inlineStr">
        <is>
          <t>YPF S.A.</t>
        </is>
      </c>
      <c r="D1303" t="inlineStr">
        <is>
          <t>convencional</t>
        </is>
      </c>
      <c r="E1303" t="inlineStr">
        <is>
          <t>2023-08</t>
        </is>
      </c>
      <c r="F1303" t="n">
        <v>14358</v>
      </c>
      <c r="G1303" t="n">
        <v>938771.6</v>
      </c>
      <c r="H1303" t="n">
        <v>961530.1</v>
      </c>
      <c r="I1303">
        <f>DAY(EOMONTH(DATE(VALUE(LEFT(E1303,4)),VALUE(RIGHT(E1303,2)),1),0))</f>
        <v/>
      </c>
      <c r="J1303">
        <f>VALUE(LEFT(E1303,4))*12+VALUE(RIGHT(E1303,2))-1</f>
        <v/>
      </c>
    </row>
    <row r="1304">
      <c r="A1304" t="inlineStr">
        <is>
          <t>Puesto Hernández</t>
        </is>
      </c>
      <c r="B1304" t="inlineStr">
        <is>
          <t>Neuquina</t>
        </is>
      </c>
      <c r="C1304" t="inlineStr">
        <is>
          <t>YPF S.A.</t>
        </is>
      </c>
      <c r="D1304" t="inlineStr">
        <is>
          <t>convencional</t>
        </is>
      </c>
      <c r="E1304" t="inlineStr">
        <is>
          <t>2023-09</t>
        </is>
      </c>
      <c r="F1304" t="n">
        <v>13834.7</v>
      </c>
      <c r="G1304" t="n">
        <v>904596.7</v>
      </c>
      <c r="H1304" t="n">
        <v>934944.1</v>
      </c>
      <c r="I1304">
        <f>DAY(EOMONTH(DATE(VALUE(LEFT(E1304,4)),VALUE(RIGHT(E1304,2)),1),0))</f>
        <v/>
      </c>
      <c r="J1304">
        <f>VALUE(LEFT(E1304,4))*12+VALUE(RIGHT(E1304,2))-1</f>
        <v/>
      </c>
    </row>
    <row r="1305">
      <c r="A1305" t="inlineStr">
        <is>
          <t>Puesto Hernández</t>
        </is>
      </c>
      <c r="B1305" t="inlineStr">
        <is>
          <t>Neuquina</t>
        </is>
      </c>
      <c r="C1305" t="inlineStr">
        <is>
          <t>YPF S.A.</t>
        </is>
      </c>
      <c r="D1305" t="inlineStr">
        <is>
          <t>convencional</t>
        </is>
      </c>
      <c r="E1305" t="inlineStr">
        <is>
          <t>2023-10</t>
        </is>
      </c>
      <c r="F1305" t="n">
        <v>13992.3</v>
      </c>
      <c r="G1305" t="n">
        <v>920596.8</v>
      </c>
      <c r="H1305" t="n">
        <v>950132.2</v>
      </c>
      <c r="I1305">
        <f>DAY(EOMONTH(DATE(VALUE(LEFT(E1305,4)),VALUE(RIGHT(E1305,2)),1),0))</f>
        <v/>
      </c>
      <c r="J1305">
        <f>VALUE(LEFT(E1305,4))*12+VALUE(RIGHT(E1305,2))-1</f>
        <v/>
      </c>
    </row>
    <row r="1306">
      <c r="A1306" t="inlineStr">
        <is>
          <t>Puesto Hernández</t>
        </is>
      </c>
      <c r="B1306" t="inlineStr">
        <is>
          <t>Neuquina</t>
        </is>
      </c>
      <c r="C1306" t="inlineStr">
        <is>
          <t>YPF S.A.</t>
        </is>
      </c>
      <c r="D1306" t="inlineStr">
        <is>
          <t>convencional</t>
        </is>
      </c>
      <c r="E1306" t="inlineStr">
        <is>
          <t>2023-11</t>
        </is>
      </c>
      <c r="F1306" t="n">
        <v>13882.3</v>
      </c>
      <c r="G1306" t="n">
        <v>900697.7</v>
      </c>
      <c r="H1306" t="n">
        <v>924276.1</v>
      </c>
      <c r="I1306">
        <f>DAY(EOMONTH(DATE(VALUE(LEFT(E1306,4)),VALUE(RIGHT(E1306,2)),1),0))</f>
        <v/>
      </c>
      <c r="J1306">
        <f>VALUE(LEFT(E1306,4))*12+VALUE(RIGHT(E1306,2))-1</f>
        <v/>
      </c>
    </row>
    <row r="1307">
      <c r="A1307" t="inlineStr">
        <is>
          <t>Puesto Hernández</t>
        </is>
      </c>
      <c r="B1307" t="inlineStr">
        <is>
          <t>Neuquina</t>
        </is>
      </c>
      <c r="C1307" t="inlineStr">
        <is>
          <t>YPF S.A.</t>
        </is>
      </c>
      <c r="D1307" t="inlineStr">
        <is>
          <t>convencional</t>
        </is>
      </c>
      <c r="E1307" t="inlineStr">
        <is>
          <t>2023-12</t>
        </is>
      </c>
      <c r="F1307" t="n">
        <v>14220</v>
      </c>
      <c r="G1307" t="n">
        <v>941881.5</v>
      </c>
      <c r="H1307" t="n">
        <v>967290.2</v>
      </c>
      <c r="I1307">
        <f>DAY(EOMONTH(DATE(VALUE(LEFT(E1307,4)),VALUE(RIGHT(E1307,2)),1),0))</f>
        <v/>
      </c>
      <c r="J1307">
        <f>VALUE(LEFT(E1307,4))*12+VALUE(RIGHT(E1307,2))-1</f>
        <v/>
      </c>
    </row>
    <row r="1308">
      <c r="A1308" t="inlineStr">
        <is>
          <t>Puesto Hernández</t>
        </is>
      </c>
      <c r="B1308" t="inlineStr">
        <is>
          <t>Neuquina</t>
        </is>
      </c>
      <c r="C1308" t="inlineStr">
        <is>
          <t>YPF S.A.</t>
        </is>
      </c>
      <c r="D1308" t="inlineStr">
        <is>
          <t>convencional</t>
        </is>
      </c>
      <c r="E1308" t="inlineStr">
        <is>
          <t>2024-01</t>
        </is>
      </c>
      <c r="F1308" t="n">
        <v>14452.4</v>
      </c>
      <c r="G1308" t="n">
        <v>947575.7</v>
      </c>
      <c r="H1308" t="n">
        <v>959685.1</v>
      </c>
      <c r="I1308">
        <f>DAY(EOMONTH(DATE(VALUE(LEFT(E1308,4)),VALUE(RIGHT(E1308,2)),1),0))</f>
        <v/>
      </c>
      <c r="J1308">
        <f>VALUE(LEFT(E1308,4))*12+VALUE(RIGHT(E1308,2))-1</f>
        <v/>
      </c>
    </row>
    <row r="1309">
      <c r="A1309" t="inlineStr">
        <is>
          <t>Puesto Hernández</t>
        </is>
      </c>
      <c r="B1309" t="inlineStr">
        <is>
          <t>Neuquina</t>
        </is>
      </c>
      <c r="C1309" t="inlineStr">
        <is>
          <t>YPF S.A.</t>
        </is>
      </c>
      <c r="D1309" t="inlineStr">
        <is>
          <t>convencional</t>
        </is>
      </c>
      <c r="E1309" t="inlineStr">
        <is>
          <t>2024-02</t>
        </is>
      </c>
      <c r="F1309" t="n">
        <v>13088.8</v>
      </c>
      <c r="G1309" t="n">
        <v>800525.7</v>
      </c>
      <c r="H1309" t="n">
        <v>838592.2</v>
      </c>
      <c r="I1309">
        <f>DAY(EOMONTH(DATE(VALUE(LEFT(E1309,4)),VALUE(RIGHT(E1309,2)),1),0))</f>
        <v/>
      </c>
      <c r="J1309">
        <f>VALUE(LEFT(E1309,4))*12+VALUE(RIGHT(E1309,2))-1</f>
        <v/>
      </c>
    </row>
    <row r="1310">
      <c r="A1310" t="inlineStr">
        <is>
          <t>Puesto Hernández</t>
        </is>
      </c>
      <c r="B1310" t="inlineStr">
        <is>
          <t>Neuquina</t>
        </is>
      </c>
      <c r="C1310" t="inlineStr">
        <is>
          <t>YPF S.A.</t>
        </is>
      </c>
      <c r="D1310" t="inlineStr">
        <is>
          <t>convencional</t>
        </is>
      </c>
      <c r="E1310" t="inlineStr">
        <is>
          <t>2024-03</t>
        </is>
      </c>
      <c r="F1310" t="n">
        <v>13412.9</v>
      </c>
      <c r="G1310" t="n">
        <v>862636.3</v>
      </c>
      <c r="H1310" t="n">
        <v>899153.1</v>
      </c>
      <c r="I1310">
        <f>DAY(EOMONTH(DATE(VALUE(LEFT(E1310,4)),VALUE(RIGHT(E1310,2)),1),0))</f>
        <v/>
      </c>
      <c r="J1310">
        <f>VALUE(LEFT(E1310,4))*12+VALUE(RIGHT(E1310,2))-1</f>
        <v/>
      </c>
    </row>
    <row r="1311">
      <c r="A1311" t="inlineStr">
        <is>
          <t>Puesto Hernández</t>
        </is>
      </c>
      <c r="B1311" t="inlineStr">
        <is>
          <t>Neuquina</t>
        </is>
      </c>
      <c r="C1311" t="inlineStr">
        <is>
          <t>YPF S.A.</t>
        </is>
      </c>
      <c r="D1311" t="inlineStr">
        <is>
          <t>convencional</t>
        </is>
      </c>
      <c r="E1311" t="inlineStr">
        <is>
          <t>2024-04</t>
        </is>
      </c>
      <c r="F1311" t="n">
        <v>13462.9</v>
      </c>
      <c r="G1311" t="n">
        <v>880161.9</v>
      </c>
      <c r="H1311" t="n">
        <v>927849.1</v>
      </c>
      <c r="I1311">
        <f>DAY(EOMONTH(DATE(VALUE(LEFT(E1311,4)),VALUE(RIGHT(E1311,2)),1),0))</f>
        <v/>
      </c>
      <c r="J1311">
        <f>VALUE(LEFT(E1311,4))*12+VALUE(RIGHT(E1311,2))-1</f>
        <v/>
      </c>
    </row>
    <row r="1312">
      <c r="A1312" t="inlineStr">
        <is>
          <t>Puesto Hernández</t>
        </is>
      </c>
      <c r="B1312" t="inlineStr">
        <is>
          <t>Neuquina</t>
        </is>
      </c>
      <c r="C1312" t="inlineStr">
        <is>
          <t>YPF S.A.</t>
        </is>
      </c>
      <c r="D1312" t="inlineStr">
        <is>
          <t>convencional</t>
        </is>
      </c>
      <c r="E1312" t="inlineStr">
        <is>
          <t>2024-05</t>
        </is>
      </c>
      <c r="F1312" t="n">
        <v>13397</v>
      </c>
      <c r="G1312" t="n">
        <v>891363.9</v>
      </c>
      <c r="H1312" t="n">
        <v>933652.1</v>
      </c>
      <c r="I1312">
        <f>DAY(EOMONTH(DATE(VALUE(LEFT(E1312,4)),VALUE(RIGHT(E1312,2)),1),0))</f>
        <v/>
      </c>
      <c r="J1312">
        <f>VALUE(LEFT(E1312,4))*12+VALUE(RIGHT(E1312,2))-1</f>
        <v/>
      </c>
    </row>
    <row r="1313">
      <c r="A1313" t="inlineStr">
        <is>
          <t>Puesto Hernández</t>
        </is>
      </c>
      <c r="B1313" t="inlineStr">
        <is>
          <t>Neuquina</t>
        </is>
      </c>
      <c r="C1313" t="inlineStr">
        <is>
          <t>YPF S.A.</t>
        </is>
      </c>
      <c r="D1313" t="inlineStr">
        <is>
          <t>convencional</t>
        </is>
      </c>
      <c r="E1313" t="inlineStr">
        <is>
          <t>2024-06</t>
        </is>
      </c>
      <c r="F1313" t="n">
        <v>13155.4</v>
      </c>
      <c r="G1313" t="n">
        <v>859512.1</v>
      </c>
      <c r="H1313" t="n">
        <v>911788.1</v>
      </c>
      <c r="I1313">
        <f>DAY(EOMONTH(DATE(VALUE(LEFT(E1313,4)),VALUE(RIGHT(E1313,2)),1),0))</f>
        <v/>
      </c>
      <c r="J1313">
        <f>VALUE(LEFT(E1313,4))*12+VALUE(RIGHT(E1313,2))-1</f>
        <v/>
      </c>
    </row>
    <row r="1314">
      <c r="A1314" t="inlineStr">
        <is>
          <t>Puesto Hernández</t>
        </is>
      </c>
      <c r="B1314" t="inlineStr">
        <is>
          <t>Neuquina</t>
        </is>
      </c>
      <c r="C1314" t="inlineStr">
        <is>
          <t>YPF S.A.</t>
        </is>
      </c>
      <c r="D1314" t="inlineStr">
        <is>
          <t>convencional</t>
        </is>
      </c>
      <c r="E1314" t="inlineStr">
        <is>
          <t>2024-07</t>
        </is>
      </c>
      <c r="F1314" t="n">
        <v>13619.7</v>
      </c>
      <c r="G1314" t="n">
        <v>898469.4</v>
      </c>
      <c r="H1314" t="n">
        <v>944341.1</v>
      </c>
      <c r="I1314">
        <f>DAY(EOMONTH(DATE(VALUE(LEFT(E1314,4)),VALUE(RIGHT(E1314,2)),1),0))</f>
        <v/>
      </c>
      <c r="J1314">
        <f>VALUE(LEFT(E1314,4))*12+VALUE(RIGHT(E1314,2))-1</f>
        <v/>
      </c>
    </row>
    <row r="1315">
      <c r="A1315" t="inlineStr">
        <is>
          <t>Puesto Hernández</t>
        </is>
      </c>
      <c r="B1315" t="inlineStr">
        <is>
          <t>Neuquina</t>
        </is>
      </c>
      <c r="C1315" t="inlineStr">
        <is>
          <t>YPF S.A.</t>
        </is>
      </c>
      <c r="D1315" t="inlineStr">
        <is>
          <t>convencional</t>
        </is>
      </c>
      <c r="E1315" t="inlineStr">
        <is>
          <t>2024-08</t>
        </is>
      </c>
      <c r="F1315" t="n">
        <v>13560.3</v>
      </c>
      <c r="G1315" t="n">
        <v>877743</v>
      </c>
      <c r="H1315" t="n">
        <v>929947.1</v>
      </c>
      <c r="I1315">
        <f>DAY(EOMONTH(DATE(VALUE(LEFT(E1315,4)),VALUE(RIGHT(E1315,2)),1),0))</f>
        <v/>
      </c>
      <c r="J1315">
        <f>VALUE(LEFT(E1315,4))*12+VALUE(RIGHT(E1315,2))-1</f>
        <v/>
      </c>
    </row>
    <row r="1316">
      <c r="A1316" t="inlineStr">
        <is>
          <t>Puesto Hernández</t>
        </is>
      </c>
      <c r="B1316" t="inlineStr">
        <is>
          <t>Neuquina</t>
        </is>
      </c>
      <c r="C1316" t="inlineStr">
        <is>
          <t>YPF S.A.</t>
        </is>
      </c>
      <c r="D1316" t="inlineStr">
        <is>
          <t>convencional</t>
        </is>
      </c>
      <c r="E1316" t="inlineStr">
        <is>
          <t>2024-09</t>
        </is>
      </c>
      <c r="F1316" t="n">
        <v>13059.4</v>
      </c>
      <c r="G1316" t="n">
        <v>816460.1</v>
      </c>
      <c r="H1316" t="n">
        <v>874584.1</v>
      </c>
      <c r="I1316">
        <f>DAY(EOMONTH(DATE(VALUE(LEFT(E1316,4)),VALUE(RIGHT(E1316,2)),1),0))</f>
        <v/>
      </c>
      <c r="J1316">
        <f>VALUE(LEFT(E1316,4))*12+VALUE(RIGHT(E1316,2))-1</f>
        <v/>
      </c>
    </row>
    <row r="1317">
      <c r="A1317" t="inlineStr">
        <is>
          <t>Puesto Hernández</t>
        </is>
      </c>
      <c r="B1317" t="inlineStr">
        <is>
          <t>Neuquina</t>
        </is>
      </c>
      <c r="C1317" t="inlineStr">
        <is>
          <t>YPF S.A.</t>
        </is>
      </c>
      <c r="D1317" t="inlineStr">
        <is>
          <t>convencional</t>
        </is>
      </c>
      <c r="E1317" t="inlineStr">
        <is>
          <t>2024-10</t>
        </is>
      </c>
      <c r="F1317" t="n">
        <v>12748.5</v>
      </c>
      <c r="G1317" t="n">
        <v>797709.7</v>
      </c>
      <c r="H1317" t="n">
        <v>855384.1</v>
      </c>
      <c r="I1317">
        <f>DAY(EOMONTH(DATE(VALUE(LEFT(E1317,4)),VALUE(RIGHT(E1317,2)),1),0))</f>
        <v/>
      </c>
      <c r="J1317">
        <f>VALUE(LEFT(E1317,4))*12+VALUE(RIGHT(E1317,2))-1</f>
        <v/>
      </c>
    </row>
    <row r="1318">
      <c r="A1318" t="inlineStr">
        <is>
          <t>Puesto Hernández</t>
        </is>
      </c>
      <c r="B1318" t="inlineStr">
        <is>
          <t>Neuquina</t>
        </is>
      </c>
      <c r="C1318" t="inlineStr">
        <is>
          <t>YPF S.A.</t>
        </is>
      </c>
      <c r="D1318" t="inlineStr">
        <is>
          <t>convencional</t>
        </is>
      </c>
      <c r="E1318" t="inlineStr">
        <is>
          <t>2024-11</t>
        </is>
      </c>
      <c r="F1318" t="n">
        <v>12194.8</v>
      </c>
      <c r="G1318" t="n">
        <v>773800.2</v>
      </c>
      <c r="H1318" t="n">
        <v>850479</v>
      </c>
      <c r="I1318">
        <f>DAY(EOMONTH(DATE(VALUE(LEFT(E1318,4)),VALUE(RIGHT(E1318,2)),1),0))</f>
        <v/>
      </c>
      <c r="J1318">
        <f>VALUE(LEFT(E1318,4))*12+VALUE(RIGHT(E1318,2))-1</f>
        <v/>
      </c>
    </row>
    <row r="1319">
      <c r="A1319" t="inlineStr">
        <is>
          <t>Puesto Hernández</t>
        </is>
      </c>
      <c r="B1319" t="inlineStr">
        <is>
          <t>Neuquina</t>
        </is>
      </c>
      <c r="C1319" t="inlineStr">
        <is>
          <t>YPF S.A.</t>
        </is>
      </c>
      <c r="D1319" t="inlineStr">
        <is>
          <t>convencional</t>
        </is>
      </c>
      <c r="E1319" t="inlineStr">
        <is>
          <t>2024-12</t>
        </is>
      </c>
      <c r="F1319" t="n">
        <v>11513</v>
      </c>
      <c r="G1319" t="n">
        <v>765113.4</v>
      </c>
      <c r="H1319" t="n">
        <v>846271.1</v>
      </c>
      <c r="I1319">
        <f>DAY(EOMONTH(DATE(VALUE(LEFT(E1319,4)),VALUE(RIGHT(E1319,2)),1),0))</f>
        <v/>
      </c>
      <c r="J1319">
        <f>VALUE(LEFT(E1319,4))*12+VALUE(RIGHT(E1319,2))-1</f>
        <v/>
      </c>
    </row>
    <row r="1320">
      <c r="A1320" t="inlineStr">
        <is>
          <t>Puesto Hernández</t>
        </is>
      </c>
      <c r="B1320" t="inlineStr">
        <is>
          <t>Neuquina</t>
        </is>
      </c>
      <c r="C1320" t="inlineStr">
        <is>
          <t>YPF S.A.</t>
        </is>
      </c>
      <c r="D1320" t="inlineStr">
        <is>
          <t>convencional</t>
        </is>
      </c>
      <c r="E1320" t="inlineStr">
        <is>
          <t>2025-01</t>
        </is>
      </c>
      <c r="F1320" t="n">
        <v>12191.7</v>
      </c>
      <c r="G1320" t="n">
        <v>738084.4</v>
      </c>
      <c r="H1320" t="n">
        <v>837215.1</v>
      </c>
      <c r="I1320">
        <f>DAY(EOMONTH(DATE(VALUE(LEFT(E1320,4)),VALUE(RIGHT(E1320,2)),1),0))</f>
        <v/>
      </c>
      <c r="J1320">
        <f>VALUE(LEFT(E1320,4))*12+VALUE(RIGHT(E1320,2))-1</f>
        <v/>
      </c>
    </row>
    <row r="1321">
      <c r="A1321" t="inlineStr">
        <is>
          <t>Puesto Hernández</t>
        </is>
      </c>
      <c r="B1321" t="inlineStr">
        <is>
          <t>Neuquina</t>
        </is>
      </c>
      <c r="C1321" t="inlineStr">
        <is>
          <t>YPF S.A.</t>
        </is>
      </c>
      <c r="D1321" t="inlineStr">
        <is>
          <t>convencional</t>
        </is>
      </c>
      <c r="E1321" t="inlineStr">
        <is>
          <t>2025-02</t>
        </is>
      </c>
      <c r="F1321" t="n">
        <v>11510.5</v>
      </c>
      <c r="G1321" t="n">
        <v>696128.1</v>
      </c>
      <c r="H1321" t="n">
        <v>766541.1</v>
      </c>
      <c r="I1321">
        <f>DAY(EOMONTH(DATE(VALUE(LEFT(E1321,4)),VALUE(RIGHT(E1321,2)),1),0))</f>
        <v/>
      </c>
      <c r="J1321">
        <f>VALUE(LEFT(E1321,4))*12+VALUE(RIGHT(E1321,2))-1</f>
        <v/>
      </c>
    </row>
    <row r="1322">
      <c r="A1322" t="inlineStr">
        <is>
          <t>Puesto Hernández</t>
        </is>
      </c>
      <c r="B1322" t="inlineStr">
        <is>
          <t>Neuquina</t>
        </is>
      </c>
      <c r="C1322" t="inlineStr">
        <is>
          <t>YPF S.A.</t>
        </is>
      </c>
      <c r="D1322" t="inlineStr">
        <is>
          <t>convencional</t>
        </is>
      </c>
      <c r="E1322" t="inlineStr">
        <is>
          <t>2025-03</t>
        </is>
      </c>
      <c r="F1322" t="n">
        <v>12455.1</v>
      </c>
      <c r="G1322" t="n">
        <v>749175.6</v>
      </c>
      <c r="H1322" t="n">
        <v>843711</v>
      </c>
      <c r="I1322">
        <f>DAY(EOMONTH(DATE(VALUE(LEFT(E1322,4)),VALUE(RIGHT(E1322,2)),1),0))</f>
        <v/>
      </c>
      <c r="J1322">
        <f>VALUE(LEFT(E1322,4))*12+VALUE(RIGHT(E1322,2))-1</f>
        <v/>
      </c>
    </row>
    <row r="1323">
      <c r="A1323" t="inlineStr">
        <is>
          <t>Puesto Hernández</t>
        </is>
      </c>
      <c r="B1323" t="inlineStr">
        <is>
          <t>Neuquina</t>
        </is>
      </c>
      <c r="C1323" t="inlineStr">
        <is>
          <t>YPF S.A.</t>
        </is>
      </c>
      <c r="D1323" t="inlineStr">
        <is>
          <t>convencional</t>
        </is>
      </c>
      <c r="E1323" t="inlineStr">
        <is>
          <t>2025-04</t>
        </is>
      </c>
      <c r="F1323" t="n">
        <v>12165.9</v>
      </c>
      <c r="G1323" t="n">
        <v>710072.2</v>
      </c>
      <c r="H1323" t="n">
        <v>807350.1</v>
      </c>
      <c r="I1323">
        <f>DAY(EOMONTH(DATE(VALUE(LEFT(E1323,4)),VALUE(RIGHT(E1323,2)),1),0))</f>
        <v/>
      </c>
      <c r="J1323">
        <f>VALUE(LEFT(E1323,4))*12+VALUE(RIGHT(E1323,2))-1</f>
        <v/>
      </c>
    </row>
    <row r="1324">
      <c r="A1324" t="inlineStr">
        <is>
          <t>Puesto Hernández</t>
        </is>
      </c>
      <c r="B1324" t="inlineStr">
        <is>
          <t>Neuquina</t>
        </is>
      </c>
      <c r="C1324" t="inlineStr">
        <is>
          <t>YPF S.A.</t>
        </is>
      </c>
      <c r="D1324" t="inlineStr">
        <is>
          <t>convencional</t>
        </is>
      </c>
      <c r="E1324" t="inlineStr">
        <is>
          <t>2025-05</t>
        </is>
      </c>
      <c r="F1324" t="n">
        <v>12295.5</v>
      </c>
      <c r="G1324" t="n">
        <v>725204.3</v>
      </c>
      <c r="H1324" t="n">
        <v>818118.1</v>
      </c>
      <c r="I1324">
        <f>DAY(EOMONTH(DATE(VALUE(LEFT(E1324,4)),VALUE(RIGHT(E1324,2)),1),0))</f>
        <v/>
      </c>
      <c r="J1324">
        <f>VALUE(LEFT(E1324,4))*12+VALUE(RIGHT(E1324,2))-1</f>
        <v/>
      </c>
    </row>
    <row r="1325">
      <c r="A1325" t="inlineStr">
        <is>
          <t>Puesto Hernández</t>
        </is>
      </c>
      <c r="B1325" t="inlineStr">
        <is>
          <t>Neuquina</t>
        </is>
      </c>
      <c r="C1325" t="inlineStr">
        <is>
          <t>YPF S.A.</t>
        </is>
      </c>
      <c r="D1325" t="inlineStr">
        <is>
          <t>convencional</t>
        </is>
      </c>
      <c r="E1325" t="inlineStr">
        <is>
          <t>2025-06</t>
        </is>
      </c>
      <c r="F1325" t="n">
        <v>11125.4</v>
      </c>
      <c r="G1325" t="n">
        <v>685526.4</v>
      </c>
      <c r="H1325" t="n">
        <v>771442.1</v>
      </c>
      <c r="I1325">
        <f>DAY(EOMONTH(DATE(VALUE(LEFT(E1325,4)),VALUE(RIGHT(E1325,2)),1),0))</f>
        <v/>
      </c>
      <c r="J1325">
        <f>VALUE(LEFT(E1325,4))*12+VALUE(RIGHT(E1325,2))-1</f>
        <v/>
      </c>
    </row>
    <row r="1326">
      <c r="A1326" t="inlineStr">
        <is>
          <t>Puesto Hernández</t>
        </is>
      </c>
      <c r="B1326" t="inlineStr">
        <is>
          <t>Neuquina</t>
        </is>
      </c>
      <c r="C1326" t="inlineStr">
        <is>
          <t>YPF S.A.</t>
        </is>
      </c>
      <c r="D1326" t="inlineStr">
        <is>
          <t>convencional</t>
        </is>
      </c>
      <c r="E1326" t="inlineStr">
        <is>
          <t>2025-07</t>
        </is>
      </c>
      <c r="F1326" t="n">
        <v>11410.9</v>
      </c>
      <c r="G1326" t="n">
        <v>692681.5</v>
      </c>
      <c r="H1326" t="n">
        <v>793048</v>
      </c>
      <c r="I1326">
        <f>DAY(EOMONTH(DATE(VALUE(LEFT(E1326,4)),VALUE(RIGHT(E1326,2)),1),0))</f>
        <v/>
      </c>
      <c r="J1326">
        <f>VALUE(LEFT(E1326,4))*12+VALUE(RIGHT(E1326,2))-1</f>
        <v/>
      </c>
    </row>
    <row r="1327">
      <c r="A1327" t="inlineStr">
        <is>
          <t>Puesto Hernández</t>
        </is>
      </c>
      <c r="B1327" t="inlineStr">
        <is>
          <t>Neuquina</t>
        </is>
      </c>
      <c r="C1327" t="inlineStr">
        <is>
          <t>YPF S.A.</t>
        </is>
      </c>
      <c r="D1327" t="inlineStr">
        <is>
          <t>convencional</t>
        </is>
      </c>
      <c r="E1327" t="inlineStr">
        <is>
          <t>2025-08</t>
        </is>
      </c>
      <c r="F1327" t="n">
        <v>11774.5</v>
      </c>
      <c r="G1327" t="n">
        <v>661845.9</v>
      </c>
      <c r="H1327" t="n">
        <v>763662.1</v>
      </c>
      <c r="I1327">
        <f>DAY(EOMONTH(DATE(VALUE(LEFT(E1327,4)),VALUE(RIGHT(E1327,2)),1),0))</f>
        <v/>
      </c>
      <c r="J1327">
        <f>VALUE(LEFT(E1327,4))*12+VALUE(RIGHT(E1327,2))-1</f>
        <v/>
      </c>
    </row>
    <row r="1328">
      <c r="A1328" t="inlineStr">
        <is>
          <t>Puesto Hernández</t>
        </is>
      </c>
      <c r="B1328" t="inlineStr">
        <is>
          <t>Neuquina</t>
        </is>
      </c>
      <c r="C1328" t="inlineStr">
        <is>
          <t>YPF S.A.</t>
        </is>
      </c>
      <c r="D1328" t="inlineStr">
        <is>
          <t>convencional</t>
        </is>
      </c>
      <c r="E1328" t="inlineStr">
        <is>
          <t>2025-09</t>
        </is>
      </c>
      <c r="F1328" t="n">
        <v>10356.9</v>
      </c>
      <c r="G1328" t="n">
        <v>643910.6</v>
      </c>
      <c r="H1328" t="n">
        <v>711533</v>
      </c>
      <c r="I1328">
        <f>DAY(EOMONTH(DATE(VALUE(LEFT(E1328,4)),VALUE(RIGHT(E1328,2)),1),0))</f>
        <v/>
      </c>
      <c r="J1328">
        <f>VALUE(LEFT(E1328,4))*12+VALUE(RIGHT(E1328,2))-1</f>
        <v/>
      </c>
    </row>
    <row r="1329">
      <c r="A1329" t="inlineStr">
        <is>
          <t>Puesto Hernández</t>
        </is>
      </c>
      <c r="B1329" t="inlineStr">
        <is>
          <t>Neuquina</t>
        </is>
      </c>
      <c r="C1329" t="inlineStr">
        <is>
          <t>YPF S.A.</t>
        </is>
      </c>
      <c r="D1329" t="inlineStr">
        <is>
          <t>convencional</t>
        </is>
      </c>
      <c r="E1329" t="inlineStr">
        <is>
          <t>2025-10</t>
        </is>
      </c>
      <c r="F1329" t="n">
        <v>10950.9</v>
      </c>
      <c r="G1329" t="n">
        <v>703946</v>
      </c>
      <c r="H1329" t="n">
        <v>760440.1</v>
      </c>
      <c r="I1329">
        <f>DAY(EOMONTH(DATE(VALUE(LEFT(E1329,4)),VALUE(RIGHT(E1329,2)),1),0))</f>
        <v/>
      </c>
      <c r="J1329">
        <f>VALUE(LEFT(E1329,4))*12+VALUE(RIGHT(E1329,2))-1</f>
        <v/>
      </c>
    </row>
    <row r="1330">
      <c r="A1330" t="inlineStr">
        <is>
          <t>Puesto Hernández</t>
        </is>
      </c>
      <c r="B1330" t="inlineStr">
        <is>
          <t>Neuquina</t>
        </is>
      </c>
      <c r="C1330" t="inlineStr">
        <is>
          <t>YPF S.A.</t>
        </is>
      </c>
      <c r="D1330" t="inlineStr">
        <is>
          <t>convencional</t>
        </is>
      </c>
      <c r="E1330" t="inlineStr">
        <is>
          <t>2025-11</t>
        </is>
      </c>
      <c r="F1330" t="n">
        <v>10569.8</v>
      </c>
      <c r="G1330" t="n">
        <v>673703.7</v>
      </c>
      <c r="H1330" t="n">
        <v>727578</v>
      </c>
      <c r="I1330">
        <f>DAY(EOMONTH(DATE(VALUE(LEFT(E1330,4)),VALUE(RIGHT(E1330,2)),1),0))</f>
        <v/>
      </c>
      <c r="J1330">
        <f>VALUE(LEFT(E1330,4))*12+VALUE(RIGHT(E1330,2))-1</f>
        <v/>
      </c>
    </row>
    <row r="1331">
      <c r="A1331" t="inlineStr">
        <is>
          <t>Puesto Hernández</t>
        </is>
      </c>
      <c r="B1331" t="inlineStr">
        <is>
          <t>Neuquina</t>
        </is>
      </c>
      <c r="C1331" t="inlineStr">
        <is>
          <t>YPF S.A.</t>
        </is>
      </c>
      <c r="D1331" t="inlineStr">
        <is>
          <t>convencional</t>
        </is>
      </c>
      <c r="E1331" t="inlineStr">
        <is>
          <t>2025-12</t>
        </is>
      </c>
      <c r="F1331" t="n">
        <v>10741.7</v>
      </c>
      <c r="G1331" t="n">
        <v>704647.6</v>
      </c>
      <c r="H1331" t="n">
        <v>754299.1</v>
      </c>
      <c r="I1331">
        <f>DAY(EOMONTH(DATE(VALUE(LEFT(E1331,4)),VALUE(RIGHT(E1331,2)),1),0))</f>
        <v/>
      </c>
      <c r="J1331">
        <f>VALUE(LEFT(E1331,4))*12+VALUE(RIGHT(E1331,2))-1</f>
        <v/>
      </c>
    </row>
    <row r="1332">
      <c r="A1332" t="inlineStr">
        <is>
          <t>Puesto Hernández</t>
        </is>
      </c>
      <c r="B1332" t="inlineStr">
        <is>
          <t>Neuquina</t>
        </is>
      </c>
      <c r="C1332" t="inlineStr">
        <is>
          <t>YPF S.A.</t>
        </is>
      </c>
      <c r="D1332" t="inlineStr">
        <is>
          <t>convencional</t>
        </is>
      </c>
      <c r="E1332" t="inlineStr">
        <is>
          <t>2026-01</t>
        </is>
      </c>
      <c r="F1332" t="n">
        <v>10500.5</v>
      </c>
      <c r="G1332" t="n">
        <v>696705.6</v>
      </c>
      <c r="H1332" t="n">
        <v>723571.1</v>
      </c>
      <c r="I1332">
        <f>DAY(EOMONTH(DATE(VALUE(LEFT(E1332,4)),VALUE(RIGHT(E1332,2)),1),0))</f>
        <v/>
      </c>
      <c r="J1332">
        <f>VALUE(LEFT(E1332,4))*12+VALUE(RIGHT(E1332,2))-1</f>
        <v/>
      </c>
    </row>
    <row r="1333">
      <c r="A1333" t="inlineStr">
        <is>
          <t>Puesto Hernández</t>
        </is>
      </c>
      <c r="B1333" t="inlineStr">
        <is>
          <t>Neuquina</t>
        </is>
      </c>
      <c r="C1333" t="inlineStr">
        <is>
          <t>YPF S.A.</t>
        </is>
      </c>
      <c r="D1333" t="inlineStr">
        <is>
          <t>convencional</t>
        </is>
      </c>
      <c r="E1333" t="inlineStr">
        <is>
          <t>2026-02</t>
        </is>
      </c>
      <c r="F1333" t="n">
        <v>9107.1</v>
      </c>
      <c r="G1333" t="n">
        <v>617264.6</v>
      </c>
      <c r="H1333" t="n">
        <v>630843.1</v>
      </c>
      <c r="I1333">
        <f>DAY(EOMONTH(DATE(VALUE(LEFT(E1333,4)),VALUE(RIGHT(E1333,2)),1),0))</f>
        <v/>
      </c>
      <c r="J1333">
        <f>VALUE(LEFT(E1333,4))*12+VALUE(RIGHT(E1333,2))-1</f>
        <v/>
      </c>
    </row>
    <row r="1334">
      <c r="A1334" t="inlineStr">
        <is>
          <t>Puesto Hernández</t>
        </is>
      </c>
      <c r="B1334" t="inlineStr">
        <is>
          <t>Neuquina</t>
        </is>
      </c>
      <c r="C1334" t="inlineStr">
        <is>
          <t>YPF S.A.</t>
        </is>
      </c>
      <c r="D1334" t="inlineStr">
        <is>
          <t>convencional</t>
        </is>
      </c>
      <c r="E1334" t="inlineStr">
        <is>
          <t>2026-03</t>
        </is>
      </c>
      <c r="F1334" t="n">
        <v>9810.6</v>
      </c>
      <c r="G1334" t="n">
        <v>666623.7</v>
      </c>
      <c r="H1334" t="n">
        <v>711288.1</v>
      </c>
      <c r="I1334">
        <f>DAY(EOMONTH(DATE(VALUE(LEFT(E1334,4)),VALUE(RIGHT(E1334,2)),1),0))</f>
        <v/>
      </c>
      <c r="J1334">
        <f>VALUE(LEFT(E1334,4))*12+VALUE(RIGHT(E1334,2))-1</f>
        <v/>
      </c>
    </row>
    <row r="1335">
      <c r="A1335" t="inlineStr">
        <is>
          <t>Puesto Hernández</t>
        </is>
      </c>
      <c r="B1335" t="inlineStr">
        <is>
          <t>Neuquina</t>
        </is>
      </c>
      <c r="C1335" t="inlineStr">
        <is>
          <t>YPF S.A.</t>
        </is>
      </c>
      <c r="D1335" t="inlineStr">
        <is>
          <t>convencional</t>
        </is>
      </c>
      <c r="E1335" t="inlineStr">
        <is>
          <t>2026-04</t>
        </is>
      </c>
      <c r="F1335" t="n">
        <v>9668.4</v>
      </c>
      <c r="G1335" t="n">
        <v>647424.8</v>
      </c>
      <c r="H1335" t="n">
        <v>692907.1</v>
      </c>
      <c r="I1335">
        <f>DAY(EOMONTH(DATE(VALUE(LEFT(E1335,4)),VALUE(RIGHT(E1335,2)),1),0))</f>
        <v/>
      </c>
      <c r="J1335">
        <f>VALUE(LEFT(E1335,4))*12+VALUE(RIGHT(E1335,2))-1</f>
        <v/>
      </c>
    </row>
    <row r="1336">
      <c r="A1336" t="inlineStr">
        <is>
          <t>Puesto Hernández</t>
        </is>
      </c>
      <c r="B1336" t="inlineStr">
        <is>
          <t>Neuquina</t>
        </is>
      </c>
      <c r="C1336" t="inlineStr">
        <is>
          <t>YPF S.A.</t>
        </is>
      </c>
      <c r="D1336" t="inlineStr">
        <is>
          <t>convencional</t>
        </is>
      </c>
      <c r="E1336" t="inlineStr">
        <is>
          <t>2026-05</t>
        </is>
      </c>
      <c r="F1336" t="n">
        <v>9707</v>
      </c>
      <c r="G1336" t="n">
        <v>664149.4</v>
      </c>
      <c r="H1336" t="n">
        <v>682635.1</v>
      </c>
      <c r="I1336">
        <f>DAY(EOMONTH(DATE(VALUE(LEFT(E1336,4)),VALUE(RIGHT(E1336,2)),1),0))</f>
        <v/>
      </c>
      <c r="J1336">
        <f>VALUE(LEFT(E1336,4))*12+VALUE(RIGHT(E1336,2))-1</f>
        <v/>
      </c>
    </row>
    <row r="1337">
      <c r="A1337" t="inlineStr">
        <is>
          <t>Puesto Hernández</t>
        </is>
      </c>
      <c r="B1337" t="inlineStr">
        <is>
          <t>Neuquina</t>
        </is>
      </c>
      <c r="C1337" t="inlineStr">
        <is>
          <t>YPF S.A.</t>
        </is>
      </c>
      <c r="D1337" t="inlineStr">
        <is>
          <t>convencional</t>
        </is>
      </c>
      <c r="E1337" t="inlineStr">
        <is>
          <t>2026-06</t>
        </is>
      </c>
      <c r="F1337" t="n">
        <v>9131.6</v>
      </c>
      <c r="G1337" t="n">
        <v>608366.6</v>
      </c>
      <c r="H1337" t="n">
        <v>623238.1</v>
      </c>
      <c r="I1337">
        <f>DAY(EOMONTH(DATE(VALUE(LEFT(E1337,4)),VALUE(RIGHT(E1337,2)),1),0))</f>
        <v/>
      </c>
      <c r="J1337">
        <f>VALUE(LEFT(E1337,4))*12+VALUE(RIGHT(E1337,2))-1</f>
        <v/>
      </c>
    </row>
    <row r="1338">
      <c r="A1338" t="inlineStr">
        <is>
          <t>Puesto Hernández</t>
        </is>
      </c>
      <c r="B1338" t="inlineStr">
        <is>
          <t>Neuquina</t>
        </is>
      </c>
      <c r="C1338" t="inlineStr">
        <is>
          <t>YPF S.A.</t>
        </is>
      </c>
      <c r="D1338" t="inlineStr">
        <is>
          <t>convencional</t>
        </is>
      </c>
      <c r="E1338" t="inlineStr">
        <is>
          <t>2026-07</t>
        </is>
      </c>
      <c r="F1338" t="n">
        <v>10175.5</v>
      </c>
      <c r="G1338" t="n">
        <v>630163.1</v>
      </c>
      <c r="H1338" t="n">
        <v>658934.1</v>
      </c>
      <c r="I1338">
        <f>DAY(EOMONTH(DATE(VALUE(LEFT(E1338,4)),VALUE(RIGHT(E1338,2)),1),0))</f>
        <v/>
      </c>
      <c r="J1338">
        <f>VALUE(LEFT(E1338,4))*12+VALUE(RIGHT(E1338,2))-1</f>
        <v/>
      </c>
    </row>
    <row r="1339">
      <c r="A1339" t="inlineStr">
        <is>
          <t>Los Perales</t>
        </is>
      </c>
      <c r="B1339" t="inlineStr">
        <is>
          <t>Golfo San Jorge</t>
        </is>
      </c>
      <c r="C1339" t="inlineStr">
        <is>
          <t>YPF S.A.</t>
        </is>
      </c>
      <c r="D1339" t="inlineStr">
        <is>
          <t>convencional</t>
        </is>
      </c>
      <c r="E1339" t="inlineStr">
        <is>
          <t>2006-01</t>
        </is>
      </c>
      <c r="F1339" t="n">
        <v>82115</v>
      </c>
      <c r="G1339" t="n">
        <v>434009.8</v>
      </c>
      <c r="H1339" t="n">
        <v>513473</v>
      </c>
      <c r="I1339">
        <f>DAY(EOMONTH(DATE(VALUE(LEFT(E1339,4)),VALUE(RIGHT(E1339,2)),1),0))</f>
        <v/>
      </c>
      <c r="J1339">
        <f>VALUE(LEFT(E1339,4))*12+VALUE(RIGHT(E1339,2))-1</f>
        <v/>
      </c>
    </row>
    <row r="1340">
      <c r="A1340" t="inlineStr">
        <is>
          <t>Los Perales</t>
        </is>
      </c>
      <c r="B1340" t="inlineStr">
        <is>
          <t>Golfo San Jorge</t>
        </is>
      </c>
      <c r="C1340" t="inlineStr">
        <is>
          <t>YPF S.A.</t>
        </is>
      </c>
      <c r="D1340" t="inlineStr">
        <is>
          <t>convencional</t>
        </is>
      </c>
      <c r="E1340" t="inlineStr">
        <is>
          <t>2006-02</t>
        </is>
      </c>
      <c r="F1340" t="n">
        <v>56041.4</v>
      </c>
      <c r="G1340" t="n">
        <v>298742.6</v>
      </c>
      <c r="H1340" t="n">
        <v>280689</v>
      </c>
      <c r="I1340">
        <f>DAY(EOMONTH(DATE(VALUE(LEFT(E1340,4)),VALUE(RIGHT(E1340,2)),1),0))</f>
        <v/>
      </c>
      <c r="J1340">
        <f>VALUE(LEFT(E1340,4))*12+VALUE(RIGHT(E1340,2))-1</f>
        <v/>
      </c>
    </row>
    <row r="1341">
      <c r="A1341" t="inlineStr">
        <is>
          <t>Los Perales</t>
        </is>
      </c>
      <c r="B1341" t="inlineStr">
        <is>
          <t>Golfo San Jorge</t>
        </is>
      </c>
      <c r="C1341" t="inlineStr">
        <is>
          <t>YPF S.A.</t>
        </is>
      </c>
      <c r="D1341" t="inlineStr">
        <is>
          <t>convencional</t>
        </is>
      </c>
      <c r="E1341" t="inlineStr">
        <is>
          <t>2006-03</t>
        </is>
      </c>
      <c r="F1341" t="n">
        <v>106210.5</v>
      </c>
      <c r="G1341" t="n">
        <v>580547</v>
      </c>
      <c r="H1341" t="n">
        <v>643498</v>
      </c>
      <c r="I1341">
        <f>DAY(EOMONTH(DATE(VALUE(LEFT(E1341,4)),VALUE(RIGHT(E1341,2)),1),0))</f>
        <v/>
      </c>
      <c r="J1341">
        <f>VALUE(LEFT(E1341,4))*12+VALUE(RIGHT(E1341,2))-1</f>
        <v/>
      </c>
    </row>
    <row r="1342">
      <c r="A1342" t="inlineStr">
        <is>
          <t>Los Perales</t>
        </is>
      </c>
      <c r="B1342" t="inlineStr">
        <is>
          <t>Golfo San Jorge</t>
        </is>
      </c>
      <c r="C1342" t="inlineStr">
        <is>
          <t>YPF S.A.</t>
        </is>
      </c>
      <c r="D1342" t="inlineStr">
        <is>
          <t>convencional</t>
        </is>
      </c>
      <c r="E1342" t="inlineStr">
        <is>
          <t>2006-04</t>
        </is>
      </c>
      <c r="F1342" t="n">
        <v>102058.2</v>
      </c>
      <c r="G1342" t="n">
        <v>561501.7</v>
      </c>
      <c r="H1342" t="n">
        <v>607353</v>
      </c>
      <c r="I1342">
        <f>DAY(EOMONTH(DATE(VALUE(LEFT(E1342,4)),VALUE(RIGHT(E1342,2)),1),0))</f>
        <v/>
      </c>
      <c r="J1342">
        <f>VALUE(LEFT(E1342,4))*12+VALUE(RIGHT(E1342,2))-1</f>
        <v/>
      </c>
    </row>
    <row r="1343">
      <c r="A1343" t="inlineStr">
        <is>
          <t>Los Perales</t>
        </is>
      </c>
      <c r="B1343" t="inlineStr">
        <is>
          <t>Golfo San Jorge</t>
        </is>
      </c>
      <c r="C1343" t="inlineStr">
        <is>
          <t>YPF S.A.</t>
        </is>
      </c>
      <c r="D1343" t="inlineStr">
        <is>
          <t>convencional</t>
        </is>
      </c>
      <c r="E1343" t="inlineStr">
        <is>
          <t>2006-05</t>
        </is>
      </c>
      <c r="F1343" t="n">
        <v>102746.9</v>
      </c>
      <c r="G1343" t="n">
        <v>574365.7</v>
      </c>
      <c r="H1343" t="n">
        <v>629521</v>
      </c>
      <c r="I1343">
        <f>DAY(EOMONTH(DATE(VALUE(LEFT(E1343,4)),VALUE(RIGHT(E1343,2)),1),0))</f>
        <v/>
      </c>
      <c r="J1343">
        <f>VALUE(LEFT(E1343,4))*12+VALUE(RIGHT(E1343,2))-1</f>
        <v/>
      </c>
    </row>
    <row r="1344">
      <c r="A1344" t="inlineStr">
        <is>
          <t>Los Perales</t>
        </is>
      </c>
      <c r="B1344" t="inlineStr">
        <is>
          <t>Golfo San Jorge</t>
        </is>
      </c>
      <c r="C1344" t="inlineStr">
        <is>
          <t>YPF S.A.</t>
        </is>
      </c>
      <c r="D1344" t="inlineStr">
        <is>
          <t>convencional</t>
        </is>
      </c>
      <c r="E1344" t="inlineStr">
        <is>
          <t>2006-06</t>
        </is>
      </c>
      <c r="F1344" t="n">
        <v>98351.2</v>
      </c>
      <c r="G1344" t="n">
        <v>547537.7</v>
      </c>
      <c r="H1344" t="n">
        <v>612462</v>
      </c>
      <c r="I1344">
        <f>DAY(EOMONTH(DATE(VALUE(LEFT(E1344,4)),VALUE(RIGHT(E1344,2)),1),0))</f>
        <v/>
      </c>
      <c r="J1344">
        <f>VALUE(LEFT(E1344,4))*12+VALUE(RIGHT(E1344,2))-1</f>
        <v/>
      </c>
    </row>
    <row r="1345">
      <c r="A1345" t="inlineStr">
        <is>
          <t>Los Perales</t>
        </is>
      </c>
      <c r="B1345" t="inlineStr">
        <is>
          <t>Golfo San Jorge</t>
        </is>
      </c>
      <c r="C1345" t="inlineStr">
        <is>
          <t>YPF S.A.</t>
        </is>
      </c>
      <c r="D1345" t="inlineStr">
        <is>
          <t>convencional</t>
        </is>
      </c>
      <c r="E1345" t="inlineStr">
        <is>
          <t>2006-07</t>
        </is>
      </c>
      <c r="F1345" t="n">
        <v>102302</v>
      </c>
      <c r="G1345" t="n">
        <v>555141.3</v>
      </c>
      <c r="H1345" t="n">
        <v>632109</v>
      </c>
      <c r="I1345">
        <f>DAY(EOMONTH(DATE(VALUE(LEFT(E1345,4)),VALUE(RIGHT(E1345,2)),1),0))</f>
        <v/>
      </c>
      <c r="J1345">
        <f>VALUE(LEFT(E1345,4))*12+VALUE(RIGHT(E1345,2))-1</f>
        <v/>
      </c>
    </row>
    <row r="1346">
      <c r="A1346" t="inlineStr">
        <is>
          <t>Los Perales</t>
        </is>
      </c>
      <c r="B1346" t="inlineStr">
        <is>
          <t>Golfo San Jorge</t>
        </is>
      </c>
      <c r="C1346" t="inlineStr">
        <is>
          <t>YPF S.A.</t>
        </is>
      </c>
      <c r="D1346" t="inlineStr">
        <is>
          <t>convencional</t>
        </is>
      </c>
      <c r="E1346" t="inlineStr">
        <is>
          <t>2006-08</t>
        </is>
      </c>
      <c r="F1346" t="n">
        <v>100791.2</v>
      </c>
      <c r="G1346" t="n">
        <v>552026.9</v>
      </c>
      <c r="H1346" t="n">
        <v>631760</v>
      </c>
      <c r="I1346">
        <f>DAY(EOMONTH(DATE(VALUE(LEFT(E1346,4)),VALUE(RIGHT(E1346,2)),1),0))</f>
        <v/>
      </c>
      <c r="J1346">
        <f>VALUE(LEFT(E1346,4))*12+VALUE(RIGHT(E1346,2))-1</f>
        <v/>
      </c>
    </row>
    <row r="1347">
      <c r="A1347" t="inlineStr">
        <is>
          <t>Los Perales</t>
        </is>
      </c>
      <c r="B1347" t="inlineStr">
        <is>
          <t>Golfo San Jorge</t>
        </is>
      </c>
      <c r="C1347" t="inlineStr">
        <is>
          <t>YPF S.A.</t>
        </is>
      </c>
      <c r="D1347" t="inlineStr">
        <is>
          <t>convencional</t>
        </is>
      </c>
      <c r="E1347" t="inlineStr">
        <is>
          <t>2006-09</t>
        </is>
      </c>
      <c r="F1347" t="n">
        <v>101729.1</v>
      </c>
      <c r="G1347" t="n">
        <v>529307.3</v>
      </c>
      <c r="H1347" t="n">
        <v>608500</v>
      </c>
      <c r="I1347">
        <f>DAY(EOMONTH(DATE(VALUE(LEFT(E1347,4)),VALUE(RIGHT(E1347,2)),1),0))</f>
        <v/>
      </c>
      <c r="J1347">
        <f>VALUE(LEFT(E1347,4))*12+VALUE(RIGHT(E1347,2))-1</f>
        <v/>
      </c>
    </row>
    <row r="1348">
      <c r="A1348" t="inlineStr">
        <is>
          <t>Los Perales</t>
        </is>
      </c>
      <c r="B1348" t="inlineStr">
        <is>
          <t>Golfo San Jorge</t>
        </is>
      </c>
      <c r="C1348" t="inlineStr">
        <is>
          <t>YPF S.A.</t>
        </is>
      </c>
      <c r="D1348" t="inlineStr">
        <is>
          <t>convencional</t>
        </is>
      </c>
      <c r="E1348" t="inlineStr">
        <is>
          <t>2006-10</t>
        </is>
      </c>
      <c r="F1348" t="n">
        <v>103796.3</v>
      </c>
      <c r="G1348" t="n">
        <v>549335.4</v>
      </c>
      <c r="H1348" t="n">
        <v>678256</v>
      </c>
      <c r="I1348">
        <f>DAY(EOMONTH(DATE(VALUE(LEFT(E1348,4)),VALUE(RIGHT(E1348,2)),1),0))</f>
        <v/>
      </c>
      <c r="J1348">
        <f>VALUE(LEFT(E1348,4))*12+VALUE(RIGHT(E1348,2))-1</f>
        <v/>
      </c>
    </row>
    <row r="1349">
      <c r="A1349" t="inlineStr">
        <is>
          <t>Los Perales</t>
        </is>
      </c>
      <c r="B1349" t="inlineStr">
        <is>
          <t>Golfo San Jorge</t>
        </is>
      </c>
      <c r="C1349" t="inlineStr">
        <is>
          <t>YPF S.A.</t>
        </is>
      </c>
      <c r="D1349" t="inlineStr">
        <is>
          <t>convencional</t>
        </is>
      </c>
      <c r="E1349" t="inlineStr">
        <is>
          <t>2006-11</t>
        </is>
      </c>
      <c r="F1349" t="n">
        <v>89872.5</v>
      </c>
      <c r="G1349" t="n">
        <v>499574.3</v>
      </c>
      <c r="H1349" t="n">
        <v>566348</v>
      </c>
      <c r="I1349">
        <f>DAY(EOMONTH(DATE(VALUE(LEFT(E1349,4)),VALUE(RIGHT(E1349,2)),1),0))</f>
        <v/>
      </c>
      <c r="J1349">
        <f>VALUE(LEFT(E1349,4))*12+VALUE(RIGHT(E1349,2))-1</f>
        <v/>
      </c>
    </row>
    <row r="1350">
      <c r="A1350" t="inlineStr">
        <is>
          <t>Los Perales</t>
        </is>
      </c>
      <c r="B1350" t="inlineStr">
        <is>
          <t>Golfo San Jorge</t>
        </is>
      </c>
      <c r="C1350" t="inlineStr">
        <is>
          <t>YPF S.A.</t>
        </is>
      </c>
      <c r="D1350" t="inlineStr">
        <is>
          <t>convencional</t>
        </is>
      </c>
      <c r="E1350" t="inlineStr">
        <is>
          <t>2006-12</t>
        </is>
      </c>
      <c r="F1350" t="n">
        <v>106262</v>
      </c>
      <c r="G1350" t="n">
        <v>560705.3</v>
      </c>
      <c r="H1350" t="n">
        <v>663480</v>
      </c>
      <c r="I1350">
        <f>DAY(EOMONTH(DATE(VALUE(LEFT(E1350,4)),VALUE(RIGHT(E1350,2)),1),0))</f>
        <v/>
      </c>
      <c r="J1350">
        <f>VALUE(LEFT(E1350,4))*12+VALUE(RIGHT(E1350,2))-1</f>
        <v/>
      </c>
    </row>
    <row r="1351">
      <c r="A1351" t="inlineStr">
        <is>
          <t>Los Perales</t>
        </is>
      </c>
      <c r="B1351" t="inlineStr">
        <is>
          <t>Golfo San Jorge</t>
        </is>
      </c>
      <c r="C1351" t="inlineStr">
        <is>
          <t>YPF S.A.</t>
        </is>
      </c>
      <c r="D1351" t="inlineStr">
        <is>
          <t>convencional</t>
        </is>
      </c>
      <c r="E1351" t="inlineStr">
        <is>
          <t>2007-01</t>
        </is>
      </c>
      <c r="F1351" t="n">
        <v>104697.2</v>
      </c>
      <c r="G1351" t="n">
        <v>570575.6</v>
      </c>
      <c r="H1351" t="n">
        <v>616923</v>
      </c>
      <c r="I1351">
        <f>DAY(EOMONTH(DATE(VALUE(LEFT(E1351,4)),VALUE(RIGHT(E1351,2)),1),0))</f>
        <v/>
      </c>
      <c r="J1351">
        <f>VALUE(LEFT(E1351,4))*12+VALUE(RIGHT(E1351,2))-1</f>
        <v/>
      </c>
    </row>
    <row r="1352">
      <c r="A1352" t="inlineStr">
        <is>
          <t>Los Perales</t>
        </is>
      </c>
      <c r="B1352" t="inlineStr">
        <is>
          <t>Golfo San Jorge</t>
        </is>
      </c>
      <c r="C1352" t="inlineStr">
        <is>
          <t>YPF S.A.</t>
        </is>
      </c>
      <c r="D1352" t="inlineStr">
        <is>
          <t>convencional</t>
        </is>
      </c>
      <c r="E1352" t="inlineStr">
        <is>
          <t>2007-02</t>
        </is>
      </c>
      <c r="F1352" t="n">
        <v>90901.10000000001</v>
      </c>
      <c r="G1352" t="n">
        <v>482513</v>
      </c>
      <c r="H1352" t="n">
        <v>482110</v>
      </c>
      <c r="I1352">
        <f>DAY(EOMONTH(DATE(VALUE(LEFT(E1352,4)),VALUE(RIGHT(E1352,2)),1),0))</f>
        <v/>
      </c>
      <c r="J1352">
        <f>VALUE(LEFT(E1352,4))*12+VALUE(RIGHT(E1352,2))-1</f>
        <v/>
      </c>
    </row>
    <row r="1353">
      <c r="A1353" t="inlineStr">
        <is>
          <t>Los Perales</t>
        </is>
      </c>
      <c r="B1353" t="inlineStr">
        <is>
          <t>Golfo San Jorge</t>
        </is>
      </c>
      <c r="C1353" t="inlineStr">
        <is>
          <t>YPF S.A.</t>
        </is>
      </c>
      <c r="D1353" t="inlineStr">
        <is>
          <t>convencional</t>
        </is>
      </c>
      <c r="E1353" t="inlineStr">
        <is>
          <t>2007-03</t>
        </is>
      </c>
      <c r="F1353" t="n">
        <v>98367.39999999999</v>
      </c>
      <c r="G1353" t="n">
        <v>458053.2</v>
      </c>
      <c r="H1353" t="n">
        <v>408515</v>
      </c>
      <c r="I1353">
        <f>DAY(EOMONTH(DATE(VALUE(LEFT(E1353,4)),VALUE(RIGHT(E1353,2)),1),0))</f>
        <v/>
      </c>
      <c r="J1353">
        <f>VALUE(LEFT(E1353,4))*12+VALUE(RIGHT(E1353,2))-1</f>
        <v/>
      </c>
    </row>
    <row r="1354">
      <c r="A1354" t="inlineStr">
        <is>
          <t>Los Perales</t>
        </is>
      </c>
      <c r="B1354" t="inlineStr">
        <is>
          <t>Golfo San Jorge</t>
        </is>
      </c>
      <c r="C1354" t="inlineStr">
        <is>
          <t>YPF S.A.</t>
        </is>
      </c>
      <c r="D1354" t="inlineStr">
        <is>
          <t>convencional</t>
        </is>
      </c>
      <c r="E1354" t="inlineStr">
        <is>
          <t>2007-04</t>
        </is>
      </c>
      <c r="F1354" t="n">
        <v>90267.3</v>
      </c>
      <c r="G1354" t="n">
        <v>442017.8</v>
      </c>
      <c r="H1354" t="n">
        <v>405168</v>
      </c>
      <c r="I1354">
        <f>DAY(EOMONTH(DATE(VALUE(LEFT(E1354,4)),VALUE(RIGHT(E1354,2)),1),0))</f>
        <v/>
      </c>
      <c r="J1354">
        <f>VALUE(LEFT(E1354,4))*12+VALUE(RIGHT(E1354,2))-1</f>
        <v/>
      </c>
    </row>
    <row r="1355">
      <c r="A1355" t="inlineStr">
        <is>
          <t>Los Perales</t>
        </is>
      </c>
      <c r="B1355" t="inlineStr">
        <is>
          <t>Golfo San Jorge</t>
        </is>
      </c>
      <c r="C1355" t="inlineStr">
        <is>
          <t>YPF S.A.</t>
        </is>
      </c>
      <c r="D1355" t="inlineStr">
        <is>
          <t>convencional</t>
        </is>
      </c>
      <c r="E1355" t="inlineStr">
        <is>
          <t>2007-05</t>
        </is>
      </c>
      <c r="F1355" t="n">
        <v>92315.7</v>
      </c>
      <c r="G1355" t="n">
        <v>473712</v>
      </c>
      <c r="H1355" t="n">
        <v>415786</v>
      </c>
      <c r="I1355">
        <f>DAY(EOMONTH(DATE(VALUE(LEFT(E1355,4)),VALUE(RIGHT(E1355,2)),1),0))</f>
        <v/>
      </c>
      <c r="J1355">
        <f>VALUE(LEFT(E1355,4))*12+VALUE(RIGHT(E1355,2))-1</f>
        <v/>
      </c>
    </row>
    <row r="1356">
      <c r="A1356" t="inlineStr">
        <is>
          <t>Los Perales</t>
        </is>
      </c>
      <c r="B1356" t="inlineStr">
        <is>
          <t>Golfo San Jorge</t>
        </is>
      </c>
      <c r="C1356" t="inlineStr">
        <is>
          <t>YPF S.A.</t>
        </is>
      </c>
      <c r="D1356" t="inlineStr">
        <is>
          <t>convencional</t>
        </is>
      </c>
      <c r="E1356" t="inlineStr">
        <is>
          <t>2007-06</t>
        </is>
      </c>
      <c r="F1356" t="n">
        <v>88240.5</v>
      </c>
      <c r="G1356" t="n">
        <v>463898.9</v>
      </c>
      <c r="H1356" t="n">
        <v>422345</v>
      </c>
      <c r="I1356">
        <f>DAY(EOMONTH(DATE(VALUE(LEFT(E1356,4)),VALUE(RIGHT(E1356,2)),1),0))</f>
        <v/>
      </c>
      <c r="J1356">
        <f>VALUE(LEFT(E1356,4))*12+VALUE(RIGHT(E1356,2))-1</f>
        <v/>
      </c>
    </row>
    <row r="1357">
      <c r="A1357" t="inlineStr">
        <is>
          <t>Los Perales</t>
        </is>
      </c>
      <c r="B1357" t="inlineStr">
        <is>
          <t>Golfo San Jorge</t>
        </is>
      </c>
      <c r="C1357" t="inlineStr">
        <is>
          <t>YPF S.A.</t>
        </is>
      </c>
      <c r="D1357" t="inlineStr">
        <is>
          <t>convencional</t>
        </is>
      </c>
      <c r="E1357" t="inlineStr">
        <is>
          <t>2007-07</t>
        </is>
      </c>
      <c r="F1357" t="n">
        <v>80451.5</v>
      </c>
      <c r="G1357" t="n">
        <v>449225.6</v>
      </c>
      <c r="H1357" t="n">
        <v>425290.7</v>
      </c>
      <c r="I1357">
        <f>DAY(EOMONTH(DATE(VALUE(LEFT(E1357,4)),VALUE(RIGHT(E1357,2)),1),0))</f>
        <v/>
      </c>
      <c r="J1357">
        <f>VALUE(LEFT(E1357,4))*12+VALUE(RIGHT(E1357,2))-1</f>
        <v/>
      </c>
    </row>
    <row r="1358">
      <c r="A1358" t="inlineStr">
        <is>
          <t>Los Perales</t>
        </is>
      </c>
      <c r="B1358" t="inlineStr">
        <is>
          <t>Golfo San Jorge</t>
        </is>
      </c>
      <c r="C1358" t="inlineStr">
        <is>
          <t>YPF S.A.</t>
        </is>
      </c>
      <c r="D1358" t="inlineStr">
        <is>
          <t>convencional</t>
        </is>
      </c>
      <c r="E1358" t="inlineStr">
        <is>
          <t>2007-08</t>
        </is>
      </c>
      <c r="F1358" t="n">
        <v>89829.39999999999</v>
      </c>
      <c r="G1358" t="n">
        <v>510361.2</v>
      </c>
      <c r="H1358" t="n">
        <v>468598</v>
      </c>
      <c r="I1358">
        <f>DAY(EOMONTH(DATE(VALUE(LEFT(E1358,4)),VALUE(RIGHT(E1358,2)),1),0))</f>
        <v/>
      </c>
      <c r="J1358">
        <f>VALUE(LEFT(E1358,4))*12+VALUE(RIGHT(E1358,2))-1</f>
        <v/>
      </c>
    </row>
    <row r="1359">
      <c r="A1359" t="inlineStr">
        <is>
          <t>Los Perales</t>
        </is>
      </c>
      <c r="B1359" t="inlineStr">
        <is>
          <t>Golfo San Jorge</t>
        </is>
      </c>
      <c r="C1359" t="inlineStr">
        <is>
          <t>YPF S.A.</t>
        </is>
      </c>
      <c r="D1359" t="inlineStr">
        <is>
          <t>convencional</t>
        </is>
      </c>
      <c r="E1359" t="inlineStr">
        <is>
          <t>2007-09</t>
        </is>
      </c>
      <c r="F1359" t="n">
        <v>86531.89999999999</v>
      </c>
      <c r="G1359" t="n">
        <v>481768.6</v>
      </c>
      <c r="H1359" t="n">
        <v>461918</v>
      </c>
      <c r="I1359">
        <f>DAY(EOMONTH(DATE(VALUE(LEFT(E1359,4)),VALUE(RIGHT(E1359,2)),1),0))</f>
        <v/>
      </c>
      <c r="J1359">
        <f>VALUE(LEFT(E1359,4))*12+VALUE(RIGHT(E1359,2))-1</f>
        <v/>
      </c>
    </row>
    <row r="1360">
      <c r="A1360" t="inlineStr">
        <is>
          <t>Los Perales</t>
        </is>
      </c>
      <c r="B1360" t="inlineStr">
        <is>
          <t>Golfo San Jorge</t>
        </is>
      </c>
      <c r="C1360" t="inlineStr">
        <is>
          <t>YPF S.A.</t>
        </is>
      </c>
      <c r="D1360" t="inlineStr">
        <is>
          <t>convencional</t>
        </is>
      </c>
      <c r="E1360" t="inlineStr">
        <is>
          <t>2007-10</t>
        </is>
      </c>
      <c r="F1360" t="n">
        <v>93319.5</v>
      </c>
      <c r="G1360" t="n">
        <v>501504.8</v>
      </c>
      <c r="H1360" t="n">
        <v>480597</v>
      </c>
      <c r="I1360">
        <f>DAY(EOMONTH(DATE(VALUE(LEFT(E1360,4)),VALUE(RIGHT(E1360,2)),1),0))</f>
        <v/>
      </c>
      <c r="J1360">
        <f>VALUE(LEFT(E1360,4))*12+VALUE(RIGHT(E1360,2))-1</f>
        <v/>
      </c>
    </row>
    <row r="1361">
      <c r="A1361" t="inlineStr">
        <is>
          <t>Los Perales</t>
        </is>
      </c>
      <c r="B1361" t="inlineStr">
        <is>
          <t>Golfo San Jorge</t>
        </is>
      </c>
      <c r="C1361" t="inlineStr">
        <is>
          <t>YPF S.A.</t>
        </is>
      </c>
      <c r="D1361" t="inlineStr">
        <is>
          <t>convencional</t>
        </is>
      </c>
      <c r="E1361" t="inlineStr">
        <is>
          <t>2007-11</t>
        </is>
      </c>
      <c r="F1361" t="n">
        <v>75207.3</v>
      </c>
      <c r="G1361" t="n">
        <v>395491</v>
      </c>
      <c r="H1361" t="n">
        <v>351355</v>
      </c>
      <c r="I1361">
        <f>DAY(EOMONTH(DATE(VALUE(LEFT(E1361,4)),VALUE(RIGHT(E1361,2)),1),0))</f>
        <v/>
      </c>
      <c r="J1361">
        <f>VALUE(LEFT(E1361,4))*12+VALUE(RIGHT(E1361,2))-1</f>
        <v/>
      </c>
    </row>
    <row r="1362">
      <c r="A1362" t="inlineStr">
        <is>
          <t>Los Perales</t>
        </is>
      </c>
      <c r="B1362" t="inlineStr">
        <is>
          <t>Golfo San Jorge</t>
        </is>
      </c>
      <c r="C1362" t="inlineStr">
        <is>
          <t>YPF S.A.</t>
        </is>
      </c>
      <c r="D1362" t="inlineStr">
        <is>
          <t>convencional</t>
        </is>
      </c>
      <c r="E1362" t="inlineStr">
        <is>
          <t>2007-12</t>
        </is>
      </c>
      <c r="F1362" t="n">
        <v>90087.5</v>
      </c>
      <c r="G1362" t="n">
        <v>498449</v>
      </c>
      <c r="H1362" t="n">
        <v>472905</v>
      </c>
      <c r="I1362">
        <f>DAY(EOMONTH(DATE(VALUE(LEFT(E1362,4)),VALUE(RIGHT(E1362,2)),1),0))</f>
        <v/>
      </c>
      <c r="J1362">
        <f>VALUE(LEFT(E1362,4))*12+VALUE(RIGHT(E1362,2))-1</f>
        <v/>
      </c>
    </row>
    <row r="1363">
      <c r="A1363" t="inlineStr">
        <is>
          <t>Los Perales</t>
        </is>
      </c>
      <c r="B1363" t="inlineStr">
        <is>
          <t>Golfo San Jorge</t>
        </is>
      </c>
      <c r="C1363" t="inlineStr">
        <is>
          <t>YPF S.A.</t>
        </is>
      </c>
      <c r="D1363" t="inlineStr">
        <is>
          <t>convencional</t>
        </is>
      </c>
      <c r="E1363" t="inlineStr">
        <is>
          <t>2008-01</t>
        </is>
      </c>
      <c r="F1363" t="n">
        <v>91825.8</v>
      </c>
      <c r="G1363" t="n">
        <v>508740.6</v>
      </c>
      <c r="H1363" t="n">
        <v>437541</v>
      </c>
      <c r="I1363">
        <f>DAY(EOMONTH(DATE(VALUE(LEFT(E1363,4)),VALUE(RIGHT(E1363,2)),1),0))</f>
        <v/>
      </c>
      <c r="J1363">
        <f>VALUE(LEFT(E1363,4))*12+VALUE(RIGHT(E1363,2))-1</f>
        <v/>
      </c>
    </row>
    <row r="1364">
      <c r="A1364" t="inlineStr">
        <is>
          <t>Los Perales</t>
        </is>
      </c>
      <c r="B1364" t="inlineStr">
        <is>
          <t>Golfo San Jorge</t>
        </is>
      </c>
      <c r="C1364" t="inlineStr">
        <is>
          <t>YPF S.A.</t>
        </is>
      </c>
      <c r="D1364" t="inlineStr">
        <is>
          <t>convencional</t>
        </is>
      </c>
      <c r="E1364" t="inlineStr">
        <is>
          <t>2008-02</t>
        </is>
      </c>
      <c r="F1364" t="n">
        <v>85037.7</v>
      </c>
      <c r="G1364" t="n">
        <v>478738.1</v>
      </c>
      <c r="H1364" t="n">
        <v>385903</v>
      </c>
      <c r="I1364">
        <f>DAY(EOMONTH(DATE(VALUE(LEFT(E1364,4)),VALUE(RIGHT(E1364,2)),1),0))</f>
        <v/>
      </c>
      <c r="J1364">
        <f>VALUE(LEFT(E1364,4))*12+VALUE(RIGHT(E1364,2))-1</f>
        <v/>
      </c>
    </row>
    <row r="1365">
      <c r="A1365" t="inlineStr">
        <is>
          <t>Los Perales</t>
        </is>
      </c>
      <c r="B1365" t="inlineStr">
        <is>
          <t>Golfo San Jorge</t>
        </is>
      </c>
      <c r="C1365" t="inlineStr">
        <is>
          <t>YPF S.A.</t>
        </is>
      </c>
      <c r="D1365" t="inlineStr">
        <is>
          <t>convencional</t>
        </is>
      </c>
      <c r="E1365" t="inlineStr">
        <is>
          <t>2008-03</t>
        </is>
      </c>
      <c r="F1365" t="n">
        <v>89029.60000000001</v>
      </c>
      <c r="G1365" t="n">
        <v>504959.3</v>
      </c>
      <c r="H1365" t="n">
        <v>404324</v>
      </c>
      <c r="I1365">
        <f>DAY(EOMONTH(DATE(VALUE(LEFT(E1365,4)),VALUE(RIGHT(E1365,2)),1),0))</f>
        <v/>
      </c>
      <c r="J1365">
        <f>VALUE(LEFT(E1365,4))*12+VALUE(RIGHT(E1365,2))-1</f>
        <v/>
      </c>
    </row>
    <row r="1366">
      <c r="A1366" t="inlineStr">
        <is>
          <t>Los Perales</t>
        </is>
      </c>
      <c r="B1366" t="inlineStr">
        <is>
          <t>Golfo San Jorge</t>
        </is>
      </c>
      <c r="C1366" t="inlineStr">
        <is>
          <t>YPF S.A.</t>
        </is>
      </c>
      <c r="D1366" t="inlineStr">
        <is>
          <t>convencional</t>
        </is>
      </c>
      <c r="E1366" t="inlineStr">
        <is>
          <t>2008-04</t>
        </is>
      </c>
      <c r="F1366" t="n">
        <v>83991.39999999999</v>
      </c>
      <c r="G1366" t="n">
        <v>492611.6</v>
      </c>
      <c r="H1366" t="n">
        <v>408997</v>
      </c>
      <c r="I1366">
        <f>DAY(EOMONTH(DATE(VALUE(LEFT(E1366,4)),VALUE(RIGHT(E1366,2)),1),0))</f>
        <v/>
      </c>
      <c r="J1366">
        <f>VALUE(LEFT(E1366,4))*12+VALUE(RIGHT(E1366,2))-1</f>
        <v/>
      </c>
    </row>
    <row r="1367">
      <c r="A1367" t="inlineStr">
        <is>
          <t>Los Perales</t>
        </is>
      </c>
      <c r="B1367" t="inlineStr">
        <is>
          <t>Golfo San Jorge</t>
        </is>
      </c>
      <c r="C1367" t="inlineStr">
        <is>
          <t>YPF S.A.</t>
        </is>
      </c>
      <c r="D1367" t="inlineStr">
        <is>
          <t>convencional</t>
        </is>
      </c>
      <c r="E1367" t="inlineStr">
        <is>
          <t>2008-05</t>
        </is>
      </c>
      <c r="F1367" t="n">
        <v>5857.4</v>
      </c>
      <c r="G1367" t="n">
        <v>47061.3</v>
      </c>
      <c r="H1367" t="n">
        <v>62581</v>
      </c>
      <c r="I1367">
        <f>DAY(EOMONTH(DATE(VALUE(LEFT(E1367,4)),VALUE(RIGHT(E1367,2)),1),0))</f>
        <v/>
      </c>
      <c r="J1367">
        <f>VALUE(LEFT(E1367,4))*12+VALUE(RIGHT(E1367,2))-1</f>
        <v/>
      </c>
    </row>
    <row r="1368">
      <c r="A1368" t="inlineStr">
        <is>
          <t>Los Perales</t>
        </is>
      </c>
      <c r="B1368" t="inlineStr">
        <is>
          <t>Golfo San Jorge</t>
        </is>
      </c>
      <c r="C1368" t="inlineStr">
        <is>
          <t>YPF S.A.</t>
        </is>
      </c>
      <c r="D1368" t="inlineStr">
        <is>
          <t>convencional</t>
        </is>
      </c>
      <c r="E1368" t="inlineStr">
        <is>
          <t>2008-06</t>
        </is>
      </c>
      <c r="F1368" t="n">
        <v>54418</v>
      </c>
      <c r="G1368" t="n">
        <v>275812.4</v>
      </c>
      <c r="H1368" t="n">
        <v>229666</v>
      </c>
      <c r="I1368">
        <f>DAY(EOMONTH(DATE(VALUE(LEFT(E1368,4)),VALUE(RIGHT(E1368,2)),1),0))</f>
        <v/>
      </c>
      <c r="J1368">
        <f>VALUE(LEFT(E1368,4))*12+VALUE(RIGHT(E1368,2))-1</f>
        <v/>
      </c>
    </row>
    <row r="1369">
      <c r="A1369" t="inlineStr">
        <is>
          <t>Los Perales</t>
        </is>
      </c>
      <c r="B1369" t="inlineStr">
        <is>
          <t>Golfo San Jorge</t>
        </is>
      </c>
      <c r="C1369" t="inlineStr">
        <is>
          <t>YPF S.A.</t>
        </is>
      </c>
      <c r="D1369" t="inlineStr">
        <is>
          <t>convencional</t>
        </is>
      </c>
      <c r="E1369" t="inlineStr">
        <is>
          <t>2008-07</t>
        </is>
      </c>
      <c r="F1369" t="n">
        <v>82282.89999999999</v>
      </c>
      <c r="G1369" t="n">
        <v>482953.3</v>
      </c>
      <c r="H1369" t="n">
        <v>429600</v>
      </c>
      <c r="I1369">
        <f>DAY(EOMONTH(DATE(VALUE(LEFT(E1369,4)),VALUE(RIGHT(E1369,2)),1),0))</f>
        <v/>
      </c>
      <c r="J1369">
        <f>VALUE(LEFT(E1369,4))*12+VALUE(RIGHT(E1369,2))-1</f>
        <v/>
      </c>
    </row>
    <row r="1370">
      <c r="A1370" t="inlineStr">
        <is>
          <t>Los Perales</t>
        </is>
      </c>
      <c r="B1370" t="inlineStr">
        <is>
          <t>Golfo San Jorge</t>
        </is>
      </c>
      <c r="C1370" t="inlineStr">
        <is>
          <t>YPF S.A.</t>
        </is>
      </c>
      <c r="D1370" t="inlineStr">
        <is>
          <t>convencional</t>
        </is>
      </c>
      <c r="E1370" t="inlineStr">
        <is>
          <t>2008-08</t>
        </is>
      </c>
      <c r="F1370" t="n">
        <v>80884.60000000001</v>
      </c>
      <c r="G1370" t="n">
        <v>465434.9</v>
      </c>
      <c r="H1370" t="n">
        <v>485064</v>
      </c>
      <c r="I1370">
        <f>DAY(EOMONTH(DATE(VALUE(LEFT(E1370,4)),VALUE(RIGHT(E1370,2)),1),0))</f>
        <v/>
      </c>
      <c r="J1370">
        <f>VALUE(LEFT(E1370,4))*12+VALUE(RIGHT(E1370,2))-1</f>
        <v/>
      </c>
    </row>
    <row r="1371">
      <c r="A1371" t="inlineStr">
        <is>
          <t>Los Perales</t>
        </is>
      </c>
      <c r="B1371" t="inlineStr">
        <is>
          <t>Golfo San Jorge</t>
        </is>
      </c>
      <c r="C1371" t="inlineStr">
        <is>
          <t>YPF S.A.</t>
        </is>
      </c>
      <c r="D1371" t="inlineStr">
        <is>
          <t>convencional</t>
        </is>
      </c>
      <c r="E1371" t="inlineStr">
        <is>
          <t>2008-09</t>
        </is>
      </c>
      <c r="F1371" t="n">
        <v>83026.2</v>
      </c>
      <c r="G1371" t="n">
        <v>488381.6</v>
      </c>
      <c r="H1371" t="n">
        <v>479395</v>
      </c>
      <c r="I1371">
        <f>DAY(EOMONTH(DATE(VALUE(LEFT(E1371,4)),VALUE(RIGHT(E1371,2)),1),0))</f>
        <v/>
      </c>
      <c r="J1371">
        <f>VALUE(LEFT(E1371,4))*12+VALUE(RIGHT(E1371,2))-1</f>
        <v/>
      </c>
    </row>
    <row r="1372">
      <c r="A1372" t="inlineStr">
        <is>
          <t>Los Perales</t>
        </is>
      </c>
      <c r="B1372" t="inlineStr">
        <is>
          <t>Golfo San Jorge</t>
        </is>
      </c>
      <c r="C1372" t="inlineStr">
        <is>
          <t>YPF S.A.</t>
        </is>
      </c>
      <c r="D1372" t="inlineStr">
        <is>
          <t>convencional</t>
        </is>
      </c>
      <c r="E1372" t="inlineStr">
        <is>
          <t>2008-10</t>
        </is>
      </c>
      <c r="F1372" t="n">
        <v>86102.39999999999</v>
      </c>
      <c r="G1372" t="n">
        <v>507825.3</v>
      </c>
      <c r="H1372" t="n">
        <v>465889</v>
      </c>
      <c r="I1372">
        <f>DAY(EOMONTH(DATE(VALUE(LEFT(E1372,4)),VALUE(RIGHT(E1372,2)),1),0))</f>
        <v/>
      </c>
      <c r="J1372">
        <f>VALUE(LEFT(E1372,4))*12+VALUE(RIGHT(E1372,2))-1</f>
        <v/>
      </c>
    </row>
    <row r="1373">
      <c r="A1373" t="inlineStr">
        <is>
          <t>Los Perales</t>
        </is>
      </c>
      <c r="B1373" t="inlineStr">
        <is>
          <t>Golfo San Jorge</t>
        </is>
      </c>
      <c r="C1373" t="inlineStr">
        <is>
          <t>YPF S.A.</t>
        </is>
      </c>
      <c r="D1373" t="inlineStr">
        <is>
          <t>convencional</t>
        </is>
      </c>
      <c r="E1373" t="inlineStr">
        <is>
          <t>2008-11</t>
        </is>
      </c>
      <c r="F1373" t="n">
        <v>84871.60000000001</v>
      </c>
      <c r="G1373" t="n">
        <v>490474.5</v>
      </c>
      <c r="H1373" t="n">
        <v>445558</v>
      </c>
      <c r="I1373">
        <f>DAY(EOMONTH(DATE(VALUE(LEFT(E1373,4)),VALUE(RIGHT(E1373,2)),1),0))</f>
        <v/>
      </c>
      <c r="J1373">
        <f>VALUE(LEFT(E1373,4))*12+VALUE(RIGHT(E1373,2))-1</f>
        <v/>
      </c>
    </row>
    <row r="1374">
      <c r="A1374" t="inlineStr">
        <is>
          <t>Los Perales</t>
        </is>
      </c>
      <c r="B1374" t="inlineStr">
        <is>
          <t>Golfo San Jorge</t>
        </is>
      </c>
      <c r="C1374" t="inlineStr">
        <is>
          <t>YPF S.A.</t>
        </is>
      </c>
      <c r="D1374" t="inlineStr">
        <is>
          <t>convencional</t>
        </is>
      </c>
      <c r="E1374" t="inlineStr">
        <is>
          <t>2008-12</t>
        </is>
      </c>
      <c r="F1374" t="n">
        <v>79471.39999999999</v>
      </c>
      <c r="G1374" t="n">
        <v>478094.1</v>
      </c>
      <c r="H1374" t="n">
        <v>434693</v>
      </c>
      <c r="I1374">
        <f>DAY(EOMONTH(DATE(VALUE(LEFT(E1374,4)),VALUE(RIGHT(E1374,2)),1),0))</f>
        <v/>
      </c>
      <c r="J1374">
        <f>VALUE(LEFT(E1374,4))*12+VALUE(RIGHT(E1374,2))-1</f>
        <v/>
      </c>
    </row>
    <row r="1375">
      <c r="A1375" t="inlineStr">
        <is>
          <t>Los Perales</t>
        </is>
      </c>
      <c r="B1375" t="inlineStr">
        <is>
          <t>Golfo San Jorge</t>
        </is>
      </c>
      <c r="C1375" t="inlineStr">
        <is>
          <t>YPF S.A.</t>
        </is>
      </c>
      <c r="D1375" t="inlineStr">
        <is>
          <t>convencional</t>
        </is>
      </c>
      <c r="E1375" t="inlineStr">
        <is>
          <t>2009-01</t>
        </is>
      </c>
      <c r="F1375" t="n">
        <v>82432.8</v>
      </c>
      <c r="G1375" t="n">
        <v>490996.5</v>
      </c>
      <c r="H1375" t="n">
        <v>420821</v>
      </c>
      <c r="I1375">
        <f>DAY(EOMONTH(DATE(VALUE(LEFT(E1375,4)),VALUE(RIGHT(E1375,2)),1),0))</f>
        <v/>
      </c>
      <c r="J1375">
        <f>VALUE(LEFT(E1375,4))*12+VALUE(RIGHT(E1375,2))-1</f>
        <v/>
      </c>
    </row>
    <row r="1376">
      <c r="A1376" t="inlineStr">
        <is>
          <t>Los Perales</t>
        </is>
      </c>
      <c r="B1376" t="inlineStr">
        <is>
          <t>Golfo San Jorge</t>
        </is>
      </c>
      <c r="C1376" t="inlineStr">
        <is>
          <t>YPF S.A.</t>
        </is>
      </c>
      <c r="D1376" t="inlineStr">
        <is>
          <t>convencional</t>
        </is>
      </c>
      <c r="E1376" t="inlineStr">
        <is>
          <t>2009-02</t>
        </is>
      </c>
      <c r="F1376" t="n">
        <v>73998.3</v>
      </c>
      <c r="G1376" t="n">
        <v>439935.3</v>
      </c>
      <c r="H1376" t="n">
        <v>386830</v>
      </c>
      <c r="I1376">
        <f>DAY(EOMONTH(DATE(VALUE(LEFT(E1376,4)),VALUE(RIGHT(E1376,2)),1),0))</f>
        <v/>
      </c>
      <c r="J1376">
        <f>VALUE(LEFT(E1376,4))*12+VALUE(RIGHT(E1376,2))-1</f>
        <v/>
      </c>
    </row>
    <row r="1377">
      <c r="A1377" t="inlineStr">
        <is>
          <t>Los Perales</t>
        </is>
      </c>
      <c r="B1377" t="inlineStr">
        <is>
          <t>Golfo San Jorge</t>
        </is>
      </c>
      <c r="C1377" t="inlineStr">
        <is>
          <t>YPF S.A.</t>
        </is>
      </c>
      <c r="D1377" t="inlineStr">
        <is>
          <t>convencional</t>
        </is>
      </c>
      <c r="E1377" t="inlineStr">
        <is>
          <t>2009-03</t>
        </is>
      </c>
      <c r="F1377" t="n">
        <v>78691.60000000001</v>
      </c>
      <c r="G1377" t="n">
        <v>478762.4</v>
      </c>
      <c r="H1377" t="n">
        <v>425294</v>
      </c>
      <c r="I1377">
        <f>DAY(EOMONTH(DATE(VALUE(LEFT(E1377,4)),VALUE(RIGHT(E1377,2)),1),0))</f>
        <v/>
      </c>
      <c r="J1377">
        <f>VALUE(LEFT(E1377,4))*12+VALUE(RIGHT(E1377,2))-1</f>
        <v/>
      </c>
    </row>
    <row r="1378">
      <c r="A1378" t="inlineStr">
        <is>
          <t>Los Perales</t>
        </is>
      </c>
      <c r="B1378" t="inlineStr">
        <is>
          <t>Golfo San Jorge</t>
        </is>
      </c>
      <c r="C1378" t="inlineStr">
        <is>
          <t>YPF S.A.</t>
        </is>
      </c>
      <c r="D1378" t="inlineStr">
        <is>
          <t>convencional</t>
        </is>
      </c>
      <c r="E1378" t="inlineStr">
        <is>
          <t>2009-04</t>
        </is>
      </c>
      <c r="F1378" t="n">
        <v>74906</v>
      </c>
      <c r="G1378" t="n">
        <v>421495.1</v>
      </c>
      <c r="H1378" t="n">
        <v>379470</v>
      </c>
      <c r="I1378">
        <f>DAY(EOMONTH(DATE(VALUE(LEFT(E1378,4)),VALUE(RIGHT(E1378,2)),1),0))</f>
        <v/>
      </c>
      <c r="J1378">
        <f>VALUE(LEFT(E1378,4))*12+VALUE(RIGHT(E1378,2))-1</f>
        <v/>
      </c>
    </row>
    <row r="1379">
      <c r="A1379" t="inlineStr">
        <is>
          <t>Los Perales</t>
        </is>
      </c>
      <c r="B1379" t="inlineStr">
        <is>
          <t>Golfo San Jorge</t>
        </is>
      </c>
      <c r="C1379" t="inlineStr">
        <is>
          <t>YPF S.A.</t>
        </is>
      </c>
      <c r="D1379" t="inlineStr">
        <is>
          <t>convencional</t>
        </is>
      </c>
      <c r="E1379" t="inlineStr">
        <is>
          <t>2009-05</t>
        </is>
      </c>
      <c r="F1379" t="n">
        <v>77519.2</v>
      </c>
      <c r="G1379" t="n">
        <v>434783.4</v>
      </c>
      <c r="H1379" t="n">
        <v>369435</v>
      </c>
      <c r="I1379">
        <f>DAY(EOMONTH(DATE(VALUE(LEFT(E1379,4)),VALUE(RIGHT(E1379,2)),1),0))</f>
        <v/>
      </c>
      <c r="J1379">
        <f>VALUE(LEFT(E1379,4))*12+VALUE(RIGHT(E1379,2))-1</f>
        <v/>
      </c>
    </row>
    <row r="1380">
      <c r="A1380" t="inlineStr">
        <is>
          <t>Los Perales</t>
        </is>
      </c>
      <c r="B1380" t="inlineStr">
        <is>
          <t>Golfo San Jorge</t>
        </is>
      </c>
      <c r="C1380" t="inlineStr">
        <is>
          <t>YPF S.A.</t>
        </is>
      </c>
      <c r="D1380" t="inlineStr">
        <is>
          <t>convencional</t>
        </is>
      </c>
      <c r="E1380" t="inlineStr">
        <is>
          <t>2009-06</t>
        </is>
      </c>
      <c r="F1380" t="n">
        <v>54035</v>
      </c>
      <c r="G1380" t="n">
        <v>323402.2</v>
      </c>
      <c r="H1380" t="n">
        <v>263116</v>
      </c>
      <c r="I1380">
        <f>DAY(EOMONTH(DATE(VALUE(LEFT(E1380,4)),VALUE(RIGHT(E1380,2)),1),0))</f>
        <v/>
      </c>
      <c r="J1380">
        <f>VALUE(LEFT(E1380,4))*12+VALUE(RIGHT(E1380,2))-1</f>
        <v/>
      </c>
    </row>
    <row r="1381">
      <c r="A1381" t="inlineStr">
        <is>
          <t>Los Perales</t>
        </is>
      </c>
      <c r="B1381" t="inlineStr">
        <is>
          <t>Golfo San Jorge</t>
        </is>
      </c>
      <c r="C1381" t="inlineStr">
        <is>
          <t>YPF S.A.</t>
        </is>
      </c>
      <c r="D1381" t="inlineStr">
        <is>
          <t>convencional</t>
        </is>
      </c>
      <c r="E1381" t="inlineStr">
        <is>
          <t>2009-07</t>
        </is>
      </c>
      <c r="F1381" t="n">
        <v>73032.89999999999</v>
      </c>
      <c r="G1381" t="n">
        <v>422088.2</v>
      </c>
      <c r="H1381" t="n">
        <v>353298</v>
      </c>
      <c r="I1381">
        <f>DAY(EOMONTH(DATE(VALUE(LEFT(E1381,4)),VALUE(RIGHT(E1381,2)),1),0))</f>
        <v/>
      </c>
      <c r="J1381">
        <f>VALUE(LEFT(E1381,4))*12+VALUE(RIGHT(E1381,2))-1</f>
        <v/>
      </c>
    </row>
    <row r="1382">
      <c r="A1382" t="inlineStr">
        <is>
          <t>Los Perales</t>
        </is>
      </c>
      <c r="B1382" t="inlineStr">
        <is>
          <t>Golfo San Jorge</t>
        </is>
      </c>
      <c r="C1382" t="inlineStr">
        <is>
          <t>YPF S.A.</t>
        </is>
      </c>
      <c r="D1382" t="inlineStr">
        <is>
          <t>convencional</t>
        </is>
      </c>
      <c r="E1382" t="inlineStr">
        <is>
          <t>2009-08</t>
        </is>
      </c>
      <c r="F1382" t="n">
        <v>18588.9</v>
      </c>
      <c r="G1382" t="n">
        <v>122623.6</v>
      </c>
      <c r="H1382" t="n">
        <v>106879</v>
      </c>
      <c r="I1382">
        <f>DAY(EOMONTH(DATE(VALUE(LEFT(E1382,4)),VALUE(RIGHT(E1382,2)),1),0))</f>
        <v/>
      </c>
      <c r="J1382">
        <f>VALUE(LEFT(E1382,4))*12+VALUE(RIGHT(E1382,2))-1</f>
        <v/>
      </c>
    </row>
    <row r="1383">
      <c r="A1383" t="inlineStr">
        <is>
          <t>Los Perales</t>
        </is>
      </c>
      <c r="B1383" t="inlineStr">
        <is>
          <t>Golfo San Jorge</t>
        </is>
      </c>
      <c r="C1383" t="inlineStr">
        <is>
          <t>YPF S.A.</t>
        </is>
      </c>
      <c r="D1383" t="inlineStr">
        <is>
          <t>convencional</t>
        </is>
      </c>
      <c r="E1383" t="inlineStr">
        <is>
          <t>2009-09</t>
        </is>
      </c>
      <c r="F1383" t="n">
        <v>73307.7</v>
      </c>
      <c r="G1383" t="n">
        <v>431948.8</v>
      </c>
      <c r="H1383" t="n">
        <v>366615</v>
      </c>
      <c r="I1383">
        <f>DAY(EOMONTH(DATE(VALUE(LEFT(E1383,4)),VALUE(RIGHT(E1383,2)),1),0))</f>
        <v/>
      </c>
      <c r="J1383">
        <f>VALUE(LEFT(E1383,4))*12+VALUE(RIGHT(E1383,2))-1</f>
        <v/>
      </c>
    </row>
    <row r="1384">
      <c r="A1384" t="inlineStr">
        <is>
          <t>Los Perales</t>
        </is>
      </c>
      <c r="B1384" t="inlineStr">
        <is>
          <t>Golfo San Jorge</t>
        </is>
      </c>
      <c r="C1384" t="inlineStr">
        <is>
          <t>YPF S.A.</t>
        </is>
      </c>
      <c r="D1384" t="inlineStr">
        <is>
          <t>convencional</t>
        </is>
      </c>
      <c r="E1384" t="inlineStr">
        <is>
          <t>2009-10</t>
        </is>
      </c>
      <c r="F1384" t="n">
        <v>75574.60000000001</v>
      </c>
      <c r="G1384" t="n">
        <v>464623.5</v>
      </c>
      <c r="H1384" t="n">
        <v>483375</v>
      </c>
      <c r="I1384">
        <f>DAY(EOMONTH(DATE(VALUE(LEFT(E1384,4)),VALUE(RIGHT(E1384,2)),1),0))</f>
        <v/>
      </c>
      <c r="J1384">
        <f>VALUE(LEFT(E1384,4))*12+VALUE(RIGHT(E1384,2))-1</f>
        <v/>
      </c>
    </row>
    <row r="1385">
      <c r="A1385" t="inlineStr">
        <is>
          <t>Los Perales</t>
        </is>
      </c>
      <c r="B1385" t="inlineStr">
        <is>
          <t>Golfo San Jorge</t>
        </is>
      </c>
      <c r="C1385" t="inlineStr">
        <is>
          <t>YPF S.A.</t>
        </is>
      </c>
      <c r="D1385" t="inlineStr">
        <is>
          <t>convencional</t>
        </is>
      </c>
      <c r="E1385" t="inlineStr">
        <is>
          <t>2009-11</t>
        </is>
      </c>
      <c r="F1385" t="n">
        <v>62488.1</v>
      </c>
      <c r="G1385" t="n">
        <v>383903.2</v>
      </c>
      <c r="H1385" t="n">
        <v>413377.5</v>
      </c>
      <c r="I1385">
        <f>DAY(EOMONTH(DATE(VALUE(LEFT(E1385,4)),VALUE(RIGHT(E1385,2)),1),0))</f>
        <v/>
      </c>
      <c r="J1385">
        <f>VALUE(LEFT(E1385,4))*12+VALUE(RIGHT(E1385,2))-1</f>
        <v/>
      </c>
    </row>
    <row r="1386">
      <c r="A1386" t="inlineStr">
        <is>
          <t>Los Perales</t>
        </is>
      </c>
      <c r="B1386" t="inlineStr">
        <is>
          <t>Golfo San Jorge</t>
        </is>
      </c>
      <c r="C1386" t="inlineStr">
        <is>
          <t>YPF S.A.</t>
        </is>
      </c>
      <c r="D1386" t="inlineStr">
        <is>
          <t>convencional</t>
        </is>
      </c>
      <c r="E1386" t="inlineStr">
        <is>
          <t>2009-12</t>
        </is>
      </c>
      <c r="F1386" t="n">
        <v>65384.5</v>
      </c>
      <c r="G1386" t="n">
        <v>399623.6</v>
      </c>
      <c r="H1386" t="n">
        <v>386214</v>
      </c>
      <c r="I1386">
        <f>DAY(EOMONTH(DATE(VALUE(LEFT(E1386,4)),VALUE(RIGHT(E1386,2)),1),0))</f>
        <v/>
      </c>
      <c r="J1386">
        <f>VALUE(LEFT(E1386,4))*12+VALUE(RIGHT(E1386,2))-1</f>
        <v/>
      </c>
    </row>
    <row r="1387">
      <c r="A1387" t="inlineStr">
        <is>
          <t>Los Perales</t>
        </is>
      </c>
      <c r="B1387" t="inlineStr">
        <is>
          <t>Golfo San Jorge</t>
        </is>
      </c>
      <c r="C1387" t="inlineStr">
        <is>
          <t>YPF S.A.</t>
        </is>
      </c>
      <c r="D1387" t="inlineStr">
        <is>
          <t>convencional</t>
        </is>
      </c>
      <c r="E1387" t="inlineStr">
        <is>
          <t>2010-01</t>
        </is>
      </c>
      <c r="F1387" t="n">
        <v>74249.60000000001</v>
      </c>
      <c r="G1387" t="n">
        <v>470958.6</v>
      </c>
      <c r="H1387" t="n">
        <v>519397</v>
      </c>
      <c r="I1387">
        <f>DAY(EOMONTH(DATE(VALUE(LEFT(E1387,4)),VALUE(RIGHT(E1387,2)),1),0))</f>
        <v/>
      </c>
      <c r="J1387">
        <f>VALUE(LEFT(E1387,4))*12+VALUE(RIGHT(E1387,2))-1</f>
        <v/>
      </c>
    </row>
    <row r="1388">
      <c r="A1388" t="inlineStr">
        <is>
          <t>Los Perales</t>
        </is>
      </c>
      <c r="B1388" t="inlineStr">
        <is>
          <t>Golfo San Jorge</t>
        </is>
      </c>
      <c r="C1388" t="inlineStr">
        <is>
          <t>YPF S.A.</t>
        </is>
      </c>
      <c r="D1388" t="inlineStr">
        <is>
          <t>convencional</t>
        </is>
      </c>
      <c r="E1388" t="inlineStr">
        <is>
          <t>2010-02</t>
        </is>
      </c>
      <c r="F1388" t="n">
        <v>66640</v>
      </c>
      <c r="G1388" t="n">
        <v>436181.8</v>
      </c>
      <c r="H1388" t="n">
        <v>471809</v>
      </c>
      <c r="I1388">
        <f>DAY(EOMONTH(DATE(VALUE(LEFT(E1388,4)),VALUE(RIGHT(E1388,2)),1),0))</f>
        <v/>
      </c>
      <c r="J1388">
        <f>VALUE(LEFT(E1388,4))*12+VALUE(RIGHT(E1388,2))-1</f>
        <v/>
      </c>
    </row>
    <row r="1389">
      <c r="A1389" t="inlineStr">
        <is>
          <t>Los Perales</t>
        </is>
      </c>
      <c r="B1389" t="inlineStr">
        <is>
          <t>Golfo San Jorge</t>
        </is>
      </c>
      <c r="C1389" t="inlineStr">
        <is>
          <t>YPF S.A.</t>
        </is>
      </c>
      <c r="D1389" t="inlineStr">
        <is>
          <t>convencional</t>
        </is>
      </c>
      <c r="E1389" t="inlineStr">
        <is>
          <t>2010-03</t>
        </is>
      </c>
      <c r="F1389" t="n">
        <v>71013</v>
      </c>
      <c r="G1389" t="n">
        <v>509643.6</v>
      </c>
      <c r="H1389" t="n">
        <v>576729.2</v>
      </c>
      <c r="I1389">
        <f>DAY(EOMONTH(DATE(VALUE(LEFT(E1389,4)),VALUE(RIGHT(E1389,2)),1),0))</f>
        <v/>
      </c>
      <c r="J1389">
        <f>VALUE(LEFT(E1389,4))*12+VALUE(RIGHT(E1389,2))-1</f>
        <v/>
      </c>
    </row>
    <row r="1390">
      <c r="A1390" t="inlineStr">
        <is>
          <t>Los Perales</t>
        </is>
      </c>
      <c r="B1390" t="inlineStr">
        <is>
          <t>Golfo San Jorge</t>
        </is>
      </c>
      <c r="C1390" t="inlineStr">
        <is>
          <t>YPF S.A.</t>
        </is>
      </c>
      <c r="D1390" t="inlineStr">
        <is>
          <t>convencional</t>
        </is>
      </c>
      <c r="E1390" t="inlineStr">
        <is>
          <t>2010-04</t>
        </is>
      </c>
      <c r="F1390" t="n">
        <v>67691.39999999999</v>
      </c>
      <c r="G1390" t="n">
        <v>501863.3</v>
      </c>
      <c r="H1390" t="n">
        <v>556239</v>
      </c>
      <c r="I1390">
        <f>DAY(EOMONTH(DATE(VALUE(LEFT(E1390,4)),VALUE(RIGHT(E1390,2)),1),0))</f>
        <v/>
      </c>
      <c r="J1390">
        <f>VALUE(LEFT(E1390,4))*12+VALUE(RIGHT(E1390,2))-1</f>
        <v/>
      </c>
    </row>
    <row r="1391">
      <c r="A1391" t="inlineStr">
        <is>
          <t>Los Perales</t>
        </is>
      </c>
      <c r="B1391" t="inlineStr">
        <is>
          <t>Golfo San Jorge</t>
        </is>
      </c>
      <c r="C1391" t="inlineStr">
        <is>
          <t>YPF S.A.</t>
        </is>
      </c>
      <c r="D1391" t="inlineStr">
        <is>
          <t>convencional</t>
        </is>
      </c>
      <c r="E1391" t="inlineStr">
        <is>
          <t>2010-05</t>
        </is>
      </c>
      <c r="F1391" t="n">
        <v>71143.5</v>
      </c>
      <c r="G1391" t="n">
        <v>525039.3</v>
      </c>
      <c r="H1391" t="n">
        <v>585367</v>
      </c>
      <c r="I1391">
        <f>DAY(EOMONTH(DATE(VALUE(LEFT(E1391,4)),VALUE(RIGHT(E1391,2)),1),0))</f>
        <v/>
      </c>
      <c r="J1391">
        <f>VALUE(LEFT(E1391,4))*12+VALUE(RIGHT(E1391,2))-1</f>
        <v/>
      </c>
    </row>
    <row r="1392">
      <c r="A1392" t="inlineStr">
        <is>
          <t>Los Perales</t>
        </is>
      </c>
      <c r="B1392" t="inlineStr">
        <is>
          <t>Golfo San Jorge</t>
        </is>
      </c>
      <c r="C1392" t="inlineStr">
        <is>
          <t>YPF S.A.</t>
        </is>
      </c>
      <c r="D1392" t="inlineStr">
        <is>
          <t>convencional</t>
        </is>
      </c>
      <c r="E1392" t="inlineStr">
        <is>
          <t>2010-06</t>
        </is>
      </c>
      <c r="F1392" t="n">
        <v>66430.39999999999</v>
      </c>
      <c r="G1392" t="n">
        <v>457936.3</v>
      </c>
      <c r="H1392" t="n">
        <v>568121.1</v>
      </c>
      <c r="I1392">
        <f>DAY(EOMONTH(DATE(VALUE(LEFT(E1392,4)),VALUE(RIGHT(E1392,2)),1),0))</f>
        <v/>
      </c>
      <c r="J1392">
        <f>VALUE(LEFT(E1392,4))*12+VALUE(RIGHT(E1392,2))-1</f>
        <v/>
      </c>
    </row>
    <row r="1393">
      <c r="A1393" t="inlineStr">
        <is>
          <t>Los Perales</t>
        </is>
      </c>
      <c r="B1393" t="inlineStr">
        <is>
          <t>Golfo San Jorge</t>
        </is>
      </c>
      <c r="C1393" t="inlineStr">
        <is>
          <t>YPF S.A.</t>
        </is>
      </c>
      <c r="D1393" t="inlineStr">
        <is>
          <t>convencional</t>
        </is>
      </c>
      <c r="E1393" t="inlineStr">
        <is>
          <t>2010-07</t>
        </is>
      </c>
      <c r="F1393" t="n">
        <v>66498.3</v>
      </c>
      <c r="G1393" t="n">
        <v>440531.3</v>
      </c>
      <c r="H1393" t="n">
        <v>517632</v>
      </c>
      <c r="I1393">
        <f>DAY(EOMONTH(DATE(VALUE(LEFT(E1393,4)),VALUE(RIGHT(E1393,2)),1),0))</f>
        <v/>
      </c>
      <c r="J1393">
        <f>VALUE(LEFT(E1393,4))*12+VALUE(RIGHT(E1393,2))-1</f>
        <v/>
      </c>
    </row>
    <row r="1394">
      <c r="A1394" t="inlineStr">
        <is>
          <t>Los Perales</t>
        </is>
      </c>
      <c r="B1394" t="inlineStr">
        <is>
          <t>Golfo San Jorge</t>
        </is>
      </c>
      <c r="C1394" t="inlineStr">
        <is>
          <t>YPF S.A.</t>
        </is>
      </c>
      <c r="D1394" t="inlineStr">
        <is>
          <t>convencional</t>
        </is>
      </c>
      <c r="E1394" t="inlineStr">
        <is>
          <t>2010-08</t>
        </is>
      </c>
      <c r="F1394" t="n">
        <v>65673.89999999999</v>
      </c>
      <c r="G1394" t="n">
        <v>458814</v>
      </c>
      <c r="H1394" t="n">
        <v>577015.1</v>
      </c>
      <c r="I1394">
        <f>DAY(EOMONTH(DATE(VALUE(LEFT(E1394,4)),VALUE(RIGHT(E1394,2)),1),0))</f>
        <v/>
      </c>
      <c r="J1394">
        <f>VALUE(LEFT(E1394,4))*12+VALUE(RIGHT(E1394,2))-1</f>
        <v/>
      </c>
    </row>
    <row r="1395">
      <c r="A1395" t="inlineStr">
        <is>
          <t>Los Perales</t>
        </is>
      </c>
      <c r="B1395" t="inlineStr">
        <is>
          <t>Golfo San Jorge</t>
        </is>
      </c>
      <c r="C1395" t="inlineStr">
        <is>
          <t>YPF S.A.</t>
        </is>
      </c>
      <c r="D1395" t="inlineStr">
        <is>
          <t>convencional</t>
        </is>
      </c>
      <c r="E1395" t="inlineStr">
        <is>
          <t>2010-09</t>
        </is>
      </c>
      <c r="F1395" t="n">
        <v>65663.39999999999</v>
      </c>
      <c r="G1395" t="n">
        <v>503505</v>
      </c>
      <c r="H1395" t="n">
        <v>535794</v>
      </c>
      <c r="I1395">
        <f>DAY(EOMONTH(DATE(VALUE(LEFT(E1395,4)),VALUE(RIGHT(E1395,2)),1),0))</f>
        <v/>
      </c>
      <c r="J1395">
        <f>VALUE(LEFT(E1395,4))*12+VALUE(RIGHT(E1395,2))-1</f>
        <v/>
      </c>
    </row>
    <row r="1396">
      <c r="A1396" t="inlineStr">
        <is>
          <t>Los Perales</t>
        </is>
      </c>
      <c r="B1396" t="inlineStr">
        <is>
          <t>Golfo San Jorge</t>
        </is>
      </c>
      <c r="C1396" t="inlineStr">
        <is>
          <t>YPF S.A.</t>
        </is>
      </c>
      <c r="D1396" t="inlineStr">
        <is>
          <t>convencional</t>
        </is>
      </c>
      <c r="E1396" t="inlineStr">
        <is>
          <t>2010-10</t>
        </is>
      </c>
      <c r="F1396" t="n">
        <v>69102.60000000001</v>
      </c>
      <c r="G1396" t="n">
        <v>531067.6</v>
      </c>
      <c r="H1396" t="n">
        <v>536364</v>
      </c>
      <c r="I1396">
        <f>DAY(EOMONTH(DATE(VALUE(LEFT(E1396,4)),VALUE(RIGHT(E1396,2)),1),0))</f>
        <v/>
      </c>
      <c r="J1396">
        <f>VALUE(LEFT(E1396,4))*12+VALUE(RIGHT(E1396,2))-1</f>
        <v/>
      </c>
    </row>
    <row r="1397">
      <c r="A1397" t="inlineStr">
        <is>
          <t>Los Perales</t>
        </is>
      </c>
      <c r="B1397" t="inlineStr">
        <is>
          <t>Golfo San Jorge</t>
        </is>
      </c>
      <c r="C1397" t="inlineStr">
        <is>
          <t>YPF S.A.</t>
        </is>
      </c>
      <c r="D1397" t="inlineStr">
        <is>
          <t>convencional</t>
        </is>
      </c>
      <c r="E1397" t="inlineStr">
        <is>
          <t>2010-11</t>
        </is>
      </c>
      <c r="F1397" t="n">
        <v>61306.3</v>
      </c>
      <c r="G1397" t="n">
        <v>481355.3</v>
      </c>
      <c r="H1397" t="n">
        <v>487216</v>
      </c>
      <c r="I1397">
        <f>DAY(EOMONTH(DATE(VALUE(LEFT(E1397,4)),VALUE(RIGHT(E1397,2)),1),0))</f>
        <v/>
      </c>
      <c r="J1397">
        <f>VALUE(LEFT(E1397,4))*12+VALUE(RIGHT(E1397,2))-1</f>
        <v/>
      </c>
    </row>
    <row r="1398">
      <c r="A1398" t="inlineStr">
        <is>
          <t>Los Perales</t>
        </is>
      </c>
      <c r="B1398" t="inlineStr">
        <is>
          <t>Golfo San Jorge</t>
        </is>
      </c>
      <c r="C1398" t="inlineStr">
        <is>
          <t>YPF S.A.</t>
        </is>
      </c>
      <c r="D1398" t="inlineStr">
        <is>
          <t>convencional</t>
        </is>
      </c>
      <c r="E1398" t="inlineStr">
        <is>
          <t>2010-12</t>
        </is>
      </c>
      <c r="F1398" t="n">
        <v>26483.8</v>
      </c>
      <c r="G1398" t="n">
        <v>200671.4</v>
      </c>
      <c r="H1398" t="n">
        <v>213024</v>
      </c>
      <c r="I1398">
        <f>DAY(EOMONTH(DATE(VALUE(LEFT(E1398,4)),VALUE(RIGHT(E1398,2)),1),0))</f>
        <v/>
      </c>
      <c r="J1398">
        <f>VALUE(LEFT(E1398,4))*12+VALUE(RIGHT(E1398,2))-1</f>
        <v/>
      </c>
    </row>
    <row r="1399">
      <c r="A1399" t="inlineStr">
        <is>
          <t>Los Perales</t>
        </is>
      </c>
      <c r="B1399" t="inlineStr">
        <is>
          <t>Golfo San Jorge</t>
        </is>
      </c>
      <c r="C1399" t="inlineStr">
        <is>
          <t>YPF S.A.</t>
        </is>
      </c>
      <c r="D1399" t="inlineStr">
        <is>
          <t>convencional</t>
        </is>
      </c>
      <c r="E1399" t="inlineStr">
        <is>
          <t>2011-01</t>
        </is>
      </c>
      <c r="F1399" t="n">
        <v>64184.3</v>
      </c>
      <c r="G1399" t="n">
        <v>503269.3</v>
      </c>
      <c r="H1399" t="n">
        <v>560043</v>
      </c>
      <c r="I1399">
        <f>DAY(EOMONTH(DATE(VALUE(LEFT(E1399,4)),VALUE(RIGHT(E1399,2)),1),0))</f>
        <v/>
      </c>
      <c r="J1399">
        <f>VALUE(LEFT(E1399,4))*12+VALUE(RIGHT(E1399,2))-1</f>
        <v/>
      </c>
    </row>
    <row r="1400">
      <c r="A1400" t="inlineStr">
        <is>
          <t>Los Perales</t>
        </is>
      </c>
      <c r="B1400" t="inlineStr">
        <is>
          <t>Golfo San Jorge</t>
        </is>
      </c>
      <c r="C1400" t="inlineStr">
        <is>
          <t>YPF S.A.</t>
        </is>
      </c>
      <c r="D1400" t="inlineStr">
        <is>
          <t>convencional</t>
        </is>
      </c>
      <c r="E1400" t="inlineStr">
        <is>
          <t>2011-02</t>
        </is>
      </c>
      <c r="F1400" t="n">
        <v>61957.7</v>
      </c>
      <c r="G1400" t="n">
        <v>484444.3</v>
      </c>
      <c r="H1400" t="n">
        <v>491617</v>
      </c>
      <c r="I1400">
        <f>DAY(EOMONTH(DATE(VALUE(LEFT(E1400,4)),VALUE(RIGHT(E1400,2)),1),0))</f>
        <v/>
      </c>
      <c r="J1400">
        <f>VALUE(LEFT(E1400,4))*12+VALUE(RIGHT(E1400,2))-1</f>
        <v/>
      </c>
    </row>
    <row r="1401">
      <c r="A1401" t="inlineStr">
        <is>
          <t>Los Perales</t>
        </is>
      </c>
      <c r="B1401" t="inlineStr">
        <is>
          <t>Golfo San Jorge</t>
        </is>
      </c>
      <c r="C1401" t="inlineStr">
        <is>
          <t>YPF S.A.</t>
        </is>
      </c>
      <c r="D1401" t="inlineStr">
        <is>
          <t>convencional</t>
        </is>
      </c>
      <c r="E1401" t="inlineStr">
        <is>
          <t>2011-03</t>
        </is>
      </c>
      <c r="F1401" t="n">
        <v>66423.8</v>
      </c>
      <c r="G1401" t="n">
        <v>510888.3</v>
      </c>
      <c r="H1401" t="n">
        <v>567586</v>
      </c>
      <c r="I1401">
        <f>DAY(EOMONTH(DATE(VALUE(LEFT(E1401,4)),VALUE(RIGHT(E1401,2)),1),0))</f>
        <v/>
      </c>
      <c r="J1401">
        <f>VALUE(LEFT(E1401,4))*12+VALUE(RIGHT(E1401,2))-1</f>
        <v/>
      </c>
    </row>
    <row r="1402">
      <c r="A1402" t="inlineStr">
        <is>
          <t>Los Perales</t>
        </is>
      </c>
      <c r="B1402" t="inlineStr">
        <is>
          <t>Golfo San Jorge</t>
        </is>
      </c>
      <c r="C1402" t="inlineStr">
        <is>
          <t>YPF S.A.</t>
        </is>
      </c>
      <c r="D1402" t="inlineStr">
        <is>
          <t>convencional</t>
        </is>
      </c>
      <c r="E1402" t="inlineStr">
        <is>
          <t>2011-04</t>
        </is>
      </c>
      <c r="F1402" t="n">
        <v>2685.4</v>
      </c>
      <c r="G1402" t="n">
        <v>11123</v>
      </c>
      <c r="H1402" t="n">
        <v>24551</v>
      </c>
      <c r="I1402">
        <f>DAY(EOMONTH(DATE(VALUE(LEFT(E1402,4)),VALUE(RIGHT(E1402,2)),1),0))</f>
        <v/>
      </c>
      <c r="J1402">
        <f>VALUE(LEFT(E1402,4))*12+VALUE(RIGHT(E1402,2))-1</f>
        <v/>
      </c>
    </row>
    <row r="1403">
      <c r="A1403" t="inlineStr">
        <is>
          <t>Los Perales</t>
        </is>
      </c>
      <c r="B1403" t="inlineStr">
        <is>
          <t>Golfo San Jorge</t>
        </is>
      </c>
      <c r="C1403" t="inlineStr">
        <is>
          <t>YPF S.A.</t>
        </is>
      </c>
      <c r="D1403" t="inlineStr">
        <is>
          <t>convencional</t>
        </is>
      </c>
      <c r="E1403" t="inlineStr">
        <is>
          <t>2011-05</t>
        </is>
      </c>
      <c r="F1403" t="n">
        <v>19576.9</v>
      </c>
      <c r="G1403" t="n">
        <v>185510.1</v>
      </c>
      <c r="H1403" t="n">
        <v>133273</v>
      </c>
      <c r="I1403">
        <f>DAY(EOMONTH(DATE(VALUE(LEFT(E1403,4)),VALUE(RIGHT(E1403,2)),1),0))</f>
        <v/>
      </c>
      <c r="J1403">
        <f>VALUE(LEFT(E1403,4))*12+VALUE(RIGHT(E1403,2))-1</f>
        <v/>
      </c>
    </row>
    <row r="1404">
      <c r="A1404" t="inlineStr">
        <is>
          <t>Los Perales</t>
        </is>
      </c>
      <c r="B1404" t="inlineStr">
        <is>
          <t>Golfo San Jorge</t>
        </is>
      </c>
      <c r="C1404" t="inlineStr">
        <is>
          <t>YPF S.A.</t>
        </is>
      </c>
      <c r="D1404" t="inlineStr">
        <is>
          <t>convencional</t>
        </is>
      </c>
      <c r="E1404" t="inlineStr">
        <is>
          <t>2011-06</t>
        </is>
      </c>
      <c r="F1404" t="n">
        <v>8094</v>
      </c>
      <c r="G1404" t="n">
        <v>73658.2</v>
      </c>
      <c r="H1404" t="n">
        <v>50608</v>
      </c>
      <c r="I1404">
        <f>DAY(EOMONTH(DATE(VALUE(LEFT(E1404,4)),VALUE(RIGHT(E1404,2)),1),0))</f>
        <v/>
      </c>
      <c r="J1404">
        <f>VALUE(LEFT(E1404,4))*12+VALUE(RIGHT(E1404,2))-1</f>
        <v/>
      </c>
    </row>
    <row r="1405">
      <c r="A1405" t="inlineStr">
        <is>
          <t>Los Perales</t>
        </is>
      </c>
      <c r="B1405" t="inlineStr">
        <is>
          <t>Golfo San Jorge</t>
        </is>
      </c>
      <c r="C1405" t="inlineStr">
        <is>
          <t>YPF S.A.</t>
        </is>
      </c>
      <c r="D1405" t="inlineStr">
        <is>
          <t>convencional</t>
        </is>
      </c>
      <c r="E1405" t="inlineStr">
        <is>
          <t>2011-07</t>
        </is>
      </c>
      <c r="F1405" t="n">
        <v>30087.3</v>
      </c>
      <c r="G1405" t="n">
        <v>216865</v>
      </c>
      <c r="H1405" t="n">
        <v>227109</v>
      </c>
      <c r="I1405">
        <f>DAY(EOMONTH(DATE(VALUE(LEFT(E1405,4)),VALUE(RIGHT(E1405,2)),1),0))</f>
        <v/>
      </c>
      <c r="J1405">
        <f>VALUE(LEFT(E1405,4))*12+VALUE(RIGHT(E1405,2))-1</f>
        <v/>
      </c>
    </row>
    <row r="1406">
      <c r="A1406" t="inlineStr">
        <is>
          <t>Los Perales</t>
        </is>
      </c>
      <c r="B1406" t="inlineStr">
        <is>
          <t>Golfo San Jorge</t>
        </is>
      </c>
      <c r="C1406" t="inlineStr">
        <is>
          <t>YPF S.A.</t>
        </is>
      </c>
      <c r="D1406" t="inlineStr">
        <is>
          <t>convencional</t>
        </is>
      </c>
      <c r="E1406" t="inlineStr">
        <is>
          <t>2011-08</t>
        </is>
      </c>
      <c r="F1406" t="n">
        <v>66638.10000000001</v>
      </c>
      <c r="G1406" t="n">
        <v>504312.1</v>
      </c>
      <c r="H1406" t="n">
        <v>536563.5</v>
      </c>
      <c r="I1406">
        <f>DAY(EOMONTH(DATE(VALUE(LEFT(E1406,4)),VALUE(RIGHT(E1406,2)),1),0))</f>
        <v/>
      </c>
      <c r="J1406">
        <f>VALUE(LEFT(E1406,4))*12+VALUE(RIGHT(E1406,2))-1</f>
        <v/>
      </c>
    </row>
    <row r="1407">
      <c r="A1407" t="inlineStr">
        <is>
          <t>Los Perales</t>
        </is>
      </c>
      <c r="B1407" t="inlineStr">
        <is>
          <t>Golfo San Jorge</t>
        </is>
      </c>
      <c r="C1407" t="inlineStr">
        <is>
          <t>YPF S.A.</t>
        </is>
      </c>
      <c r="D1407" t="inlineStr">
        <is>
          <t>convencional</t>
        </is>
      </c>
      <c r="E1407" t="inlineStr">
        <is>
          <t>2011-09</t>
        </is>
      </c>
      <c r="F1407" t="n">
        <v>63996.5</v>
      </c>
      <c r="G1407" t="n">
        <v>517015.1</v>
      </c>
      <c r="H1407" t="n">
        <v>553679.3</v>
      </c>
      <c r="I1407">
        <f>DAY(EOMONTH(DATE(VALUE(LEFT(E1407,4)),VALUE(RIGHT(E1407,2)),1),0))</f>
        <v/>
      </c>
      <c r="J1407">
        <f>VALUE(LEFT(E1407,4))*12+VALUE(RIGHT(E1407,2))-1</f>
        <v/>
      </c>
    </row>
    <row r="1408">
      <c r="A1408" t="inlineStr">
        <is>
          <t>Los Perales</t>
        </is>
      </c>
      <c r="B1408" t="inlineStr">
        <is>
          <t>Golfo San Jorge</t>
        </is>
      </c>
      <c r="C1408" t="inlineStr">
        <is>
          <t>YPF S.A.</t>
        </is>
      </c>
      <c r="D1408" t="inlineStr">
        <is>
          <t>convencional</t>
        </is>
      </c>
      <c r="E1408" t="inlineStr">
        <is>
          <t>2011-10</t>
        </is>
      </c>
      <c r="F1408" t="n">
        <v>67971.3</v>
      </c>
      <c r="G1408" t="n">
        <v>538327.4</v>
      </c>
      <c r="H1408" t="n">
        <v>565800.2</v>
      </c>
      <c r="I1408">
        <f>DAY(EOMONTH(DATE(VALUE(LEFT(E1408,4)),VALUE(RIGHT(E1408,2)),1),0))</f>
        <v/>
      </c>
      <c r="J1408">
        <f>VALUE(LEFT(E1408,4))*12+VALUE(RIGHT(E1408,2))-1</f>
        <v/>
      </c>
    </row>
    <row r="1409">
      <c r="A1409" t="inlineStr">
        <is>
          <t>Los Perales</t>
        </is>
      </c>
      <c r="B1409" t="inlineStr">
        <is>
          <t>Golfo San Jorge</t>
        </is>
      </c>
      <c r="C1409" t="inlineStr">
        <is>
          <t>YPF S.A.</t>
        </is>
      </c>
      <c r="D1409" t="inlineStr">
        <is>
          <t>convencional</t>
        </is>
      </c>
      <c r="E1409" t="inlineStr">
        <is>
          <t>2011-11</t>
        </is>
      </c>
      <c r="F1409" t="n">
        <v>66492.10000000001</v>
      </c>
      <c r="G1409" t="n">
        <v>542027.1</v>
      </c>
      <c r="H1409" t="n">
        <v>521242.9</v>
      </c>
      <c r="I1409">
        <f>DAY(EOMONTH(DATE(VALUE(LEFT(E1409,4)),VALUE(RIGHT(E1409,2)),1),0))</f>
        <v/>
      </c>
      <c r="J1409">
        <f>VALUE(LEFT(E1409,4))*12+VALUE(RIGHT(E1409,2))-1</f>
        <v/>
      </c>
    </row>
    <row r="1410">
      <c r="A1410" t="inlineStr">
        <is>
          <t>Los Perales</t>
        </is>
      </c>
      <c r="B1410" t="inlineStr">
        <is>
          <t>Golfo San Jorge</t>
        </is>
      </c>
      <c r="C1410" t="inlineStr">
        <is>
          <t>YPF S.A.</t>
        </is>
      </c>
      <c r="D1410" t="inlineStr">
        <is>
          <t>convencional</t>
        </is>
      </c>
      <c r="E1410" t="inlineStr">
        <is>
          <t>2011-12</t>
        </is>
      </c>
      <c r="F1410" t="n">
        <v>68289.10000000001</v>
      </c>
      <c r="G1410" t="n">
        <v>562852.9</v>
      </c>
      <c r="H1410" t="n">
        <v>595756.3</v>
      </c>
      <c r="I1410">
        <f>DAY(EOMONTH(DATE(VALUE(LEFT(E1410,4)),VALUE(RIGHT(E1410,2)),1),0))</f>
        <v/>
      </c>
      <c r="J1410">
        <f>VALUE(LEFT(E1410,4))*12+VALUE(RIGHT(E1410,2))-1</f>
        <v/>
      </c>
    </row>
    <row r="1411">
      <c r="A1411" t="inlineStr">
        <is>
          <t>Los Perales</t>
        </is>
      </c>
      <c r="B1411" t="inlineStr">
        <is>
          <t>Golfo San Jorge</t>
        </is>
      </c>
      <c r="C1411" t="inlineStr">
        <is>
          <t>YPF S.A.</t>
        </is>
      </c>
      <c r="D1411" t="inlineStr">
        <is>
          <t>convencional</t>
        </is>
      </c>
      <c r="E1411" t="inlineStr">
        <is>
          <t>2012-01</t>
        </is>
      </c>
      <c r="F1411" t="n">
        <v>67494.2</v>
      </c>
      <c r="G1411" t="n">
        <v>564923.6</v>
      </c>
      <c r="H1411" t="n">
        <v>613132.8</v>
      </c>
      <c r="I1411">
        <f>DAY(EOMONTH(DATE(VALUE(LEFT(E1411,4)),VALUE(RIGHT(E1411,2)),1),0))</f>
        <v/>
      </c>
      <c r="J1411">
        <f>VALUE(LEFT(E1411,4))*12+VALUE(RIGHT(E1411,2))-1</f>
        <v/>
      </c>
    </row>
    <row r="1412">
      <c r="A1412" t="inlineStr">
        <is>
          <t>Los Perales</t>
        </is>
      </c>
      <c r="B1412" t="inlineStr">
        <is>
          <t>Golfo San Jorge</t>
        </is>
      </c>
      <c r="C1412" t="inlineStr">
        <is>
          <t>YPF S.A.</t>
        </is>
      </c>
      <c r="D1412" t="inlineStr">
        <is>
          <t>convencional</t>
        </is>
      </c>
      <c r="E1412" t="inlineStr">
        <is>
          <t>2012-02</t>
        </is>
      </c>
      <c r="F1412" t="n">
        <v>62560.7</v>
      </c>
      <c r="G1412" t="n">
        <v>532076.3</v>
      </c>
      <c r="H1412" t="n">
        <v>567423.3</v>
      </c>
      <c r="I1412">
        <f>DAY(EOMONTH(DATE(VALUE(LEFT(E1412,4)),VALUE(RIGHT(E1412,2)),1),0))</f>
        <v/>
      </c>
      <c r="J1412">
        <f>VALUE(LEFT(E1412,4))*12+VALUE(RIGHT(E1412,2))-1</f>
        <v/>
      </c>
    </row>
    <row r="1413">
      <c r="A1413" t="inlineStr">
        <is>
          <t>Los Perales</t>
        </is>
      </c>
      <c r="B1413" t="inlineStr">
        <is>
          <t>Golfo San Jorge</t>
        </is>
      </c>
      <c r="C1413" t="inlineStr">
        <is>
          <t>YPF S.A.</t>
        </is>
      </c>
      <c r="D1413" t="inlineStr">
        <is>
          <t>convencional</t>
        </is>
      </c>
      <c r="E1413" t="inlineStr">
        <is>
          <t>2012-03</t>
        </is>
      </c>
      <c r="F1413" t="n">
        <v>66884.39999999999</v>
      </c>
      <c r="G1413" t="n">
        <v>571103.4</v>
      </c>
      <c r="H1413" t="n">
        <v>619679.4</v>
      </c>
      <c r="I1413">
        <f>DAY(EOMONTH(DATE(VALUE(LEFT(E1413,4)),VALUE(RIGHT(E1413,2)),1),0))</f>
        <v/>
      </c>
      <c r="J1413">
        <f>VALUE(LEFT(E1413,4))*12+VALUE(RIGHT(E1413,2))-1</f>
        <v/>
      </c>
    </row>
    <row r="1414">
      <c r="A1414" t="inlineStr">
        <is>
          <t>Los Perales</t>
        </is>
      </c>
      <c r="B1414" t="inlineStr">
        <is>
          <t>Golfo San Jorge</t>
        </is>
      </c>
      <c r="C1414" t="inlineStr">
        <is>
          <t>YPF S.A.</t>
        </is>
      </c>
      <c r="D1414" t="inlineStr">
        <is>
          <t>convencional</t>
        </is>
      </c>
      <c r="E1414" t="inlineStr">
        <is>
          <t>2012-04</t>
        </is>
      </c>
      <c r="F1414" t="n">
        <v>63504.4</v>
      </c>
      <c r="G1414" t="n">
        <v>546681</v>
      </c>
      <c r="H1414" t="n">
        <v>580786.7</v>
      </c>
      <c r="I1414">
        <f>DAY(EOMONTH(DATE(VALUE(LEFT(E1414,4)),VALUE(RIGHT(E1414,2)),1),0))</f>
        <v/>
      </c>
      <c r="J1414">
        <f>VALUE(LEFT(E1414,4))*12+VALUE(RIGHT(E1414,2))-1</f>
        <v/>
      </c>
    </row>
    <row r="1415">
      <c r="A1415" t="inlineStr">
        <is>
          <t>Los Perales</t>
        </is>
      </c>
      <c r="B1415" t="inlineStr">
        <is>
          <t>Golfo San Jorge</t>
        </is>
      </c>
      <c r="C1415" t="inlineStr">
        <is>
          <t>YPF S.A.</t>
        </is>
      </c>
      <c r="D1415" t="inlineStr">
        <is>
          <t>convencional</t>
        </is>
      </c>
      <c r="E1415" t="inlineStr">
        <is>
          <t>2012-05</t>
        </is>
      </c>
      <c r="F1415" t="n">
        <v>65952</v>
      </c>
      <c r="G1415" t="n">
        <v>610340.4</v>
      </c>
      <c r="H1415" t="n">
        <v>600136.8</v>
      </c>
      <c r="I1415">
        <f>DAY(EOMONTH(DATE(VALUE(LEFT(E1415,4)),VALUE(RIGHT(E1415,2)),1),0))</f>
        <v/>
      </c>
      <c r="J1415">
        <f>VALUE(LEFT(E1415,4))*12+VALUE(RIGHT(E1415,2))-1</f>
        <v/>
      </c>
    </row>
    <row r="1416">
      <c r="A1416" t="inlineStr">
        <is>
          <t>Los Perales</t>
        </is>
      </c>
      <c r="B1416" t="inlineStr">
        <is>
          <t>Golfo San Jorge</t>
        </is>
      </c>
      <c r="C1416" t="inlineStr">
        <is>
          <t>YPF S.A.</t>
        </is>
      </c>
      <c r="D1416" t="inlineStr">
        <is>
          <t>convencional</t>
        </is>
      </c>
      <c r="E1416" t="inlineStr">
        <is>
          <t>2012-06</t>
        </is>
      </c>
      <c r="F1416" t="n">
        <v>62178.6</v>
      </c>
      <c r="G1416" t="n">
        <v>602094</v>
      </c>
      <c r="H1416" t="n">
        <v>588137.2</v>
      </c>
      <c r="I1416">
        <f>DAY(EOMONTH(DATE(VALUE(LEFT(E1416,4)),VALUE(RIGHT(E1416,2)),1),0))</f>
        <v/>
      </c>
      <c r="J1416">
        <f>VALUE(LEFT(E1416,4))*12+VALUE(RIGHT(E1416,2))-1</f>
        <v/>
      </c>
    </row>
    <row r="1417">
      <c r="A1417" t="inlineStr">
        <is>
          <t>Los Perales</t>
        </is>
      </c>
      <c r="B1417" t="inlineStr">
        <is>
          <t>Golfo San Jorge</t>
        </is>
      </c>
      <c r="C1417" t="inlineStr">
        <is>
          <t>YPF S.A.</t>
        </is>
      </c>
      <c r="D1417" t="inlineStr">
        <is>
          <t>convencional</t>
        </is>
      </c>
      <c r="E1417" t="inlineStr">
        <is>
          <t>2012-07</t>
        </is>
      </c>
      <c r="F1417" t="n">
        <v>62458.2</v>
      </c>
      <c r="G1417" t="n">
        <v>569920.7</v>
      </c>
      <c r="H1417" t="n">
        <v>611740.2</v>
      </c>
      <c r="I1417">
        <f>DAY(EOMONTH(DATE(VALUE(LEFT(E1417,4)),VALUE(RIGHT(E1417,2)),1),0))</f>
        <v/>
      </c>
      <c r="J1417">
        <f>VALUE(LEFT(E1417,4))*12+VALUE(RIGHT(E1417,2))-1</f>
        <v/>
      </c>
    </row>
    <row r="1418">
      <c r="A1418" t="inlineStr">
        <is>
          <t>Los Perales</t>
        </is>
      </c>
      <c r="B1418" t="inlineStr">
        <is>
          <t>Golfo San Jorge</t>
        </is>
      </c>
      <c r="C1418" t="inlineStr">
        <is>
          <t>YPF S.A.</t>
        </is>
      </c>
      <c r="D1418" t="inlineStr">
        <is>
          <t>convencional</t>
        </is>
      </c>
      <c r="E1418" t="inlineStr">
        <is>
          <t>2012-08</t>
        </is>
      </c>
      <c r="F1418" t="n">
        <v>64687.1</v>
      </c>
      <c r="G1418" t="n">
        <v>584229.1</v>
      </c>
      <c r="H1418" t="n">
        <v>654536.5</v>
      </c>
      <c r="I1418">
        <f>DAY(EOMONTH(DATE(VALUE(LEFT(E1418,4)),VALUE(RIGHT(E1418,2)),1),0))</f>
        <v/>
      </c>
      <c r="J1418">
        <f>VALUE(LEFT(E1418,4))*12+VALUE(RIGHT(E1418,2))-1</f>
        <v/>
      </c>
    </row>
    <row r="1419">
      <c r="A1419" t="inlineStr">
        <is>
          <t>Los Perales</t>
        </is>
      </c>
      <c r="B1419" t="inlineStr">
        <is>
          <t>Golfo San Jorge</t>
        </is>
      </c>
      <c r="C1419" t="inlineStr">
        <is>
          <t>YPF S.A.</t>
        </is>
      </c>
      <c r="D1419" t="inlineStr">
        <is>
          <t>convencional</t>
        </is>
      </c>
      <c r="E1419" t="inlineStr">
        <is>
          <t>2012-09</t>
        </is>
      </c>
      <c r="F1419" t="n">
        <v>62230.7</v>
      </c>
      <c r="G1419" t="n">
        <v>539514</v>
      </c>
      <c r="H1419" t="n">
        <v>609264.6</v>
      </c>
      <c r="I1419">
        <f>DAY(EOMONTH(DATE(VALUE(LEFT(E1419,4)),VALUE(RIGHT(E1419,2)),1),0))</f>
        <v/>
      </c>
      <c r="J1419">
        <f>VALUE(LEFT(E1419,4))*12+VALUE(RIGHT(E1419,2))-1</f>
        <v/>
      </c>
    </row>
    <row r="1420">
      <c r="A1420" t="inlineStr">
        <is>
          <t>Los Perales</t>
        </is>
      </c>
      <c r="B1420" t="inlineStr">
        <is>
          <t>Golfo San Jorge</t>
        </is>
      </c>
      <c r="C1420" t="inlineStr">
        <is>
          <t>YPF S.A.</t>
        </is>
      </c>
      <c r="D1420" t="inlineStr">
        <is>
          <t>convencional</t>
        </is>
      </c>
      <c r="E1420" t="inlineStr">
        <is>
          <t>2012-10</t>
        </is>
      </c>
      <c r="F1420" t="n">
        <v>65419.2</v>
      </c>
      <c r="G1420" t="n">
        <v>555212.3</v>
      </c>
      <c r="H1420" t="n">
        <v>604791.6</v>
      </c>
      <c r="I1420">
        <f>DAY(EOMONTH(DATE(VALUE(LEFT(E1420,4)),VALUE(RIGHT(E1420,2)),1),0))</f>
        <v/>
      </c>
      <c r="J1420">
        <f>VALUE(LEFT(E1420,4))*12+VALUE(RIGHT(E1420,2))-1</f>
        <v/>
      </c>
    </row>
    <row r="1421">
      <c r="A1421" t="inlineStr">
        <is>
          <t>Los Perales</t>
        </is>
      </c>
      <c r="B1421" t="inlineStr">
        <is>
          <t>Golfo San Jorge</t>
        </is>
      </c>
      <c r="C1421" t="inlineStr">
        <is>
          <t>YPF S.A.</t>
        </is>
      </c>
      <c r="D1421" t="inlineStr">
        <is>
          <t>convencional</t>
        </is>
      </c>
      <c r="E1421" t="inlineStr">
        <is>
          <t>2012-11</t>
        </is>
      </c>
      <c r="F1421" t="n">
        <v>61373.2</v>
      </c>
      <c r="G1421" t="n">
        <v>543045.1</v>
      </c>
      <c r="H1421" t="n">
        <v>559788.1</v>
      </c>
      <c r="I1421">
        <f>DAY(EOMONTH(DATE(VALUE(LEFT(E1421,4)),VALUE(RIGHT(E1421,2)),1),0))</f>
        <v/>
      </c>
      <c r="J1421">
        <f>VALUE(LEFT(E1421,4))*12+VALUE(RIGHT(E1421,2))-1</f>
        <v/>
      </c>
    </row>
    <row r="1422">
      <c r="A1422" t="inlineStr">
        <is>
          <t>Los Perales</t>
        </is>
      </c>
      <c r="B1422" t="inlineStr">
        <is>
          <t>Golfo San Jorge</t>
        </is>
      </c>
      <c r="C1422" t="inlineStr">
        <is>
          <t>YPF S.A.</t>
        </is>
      </c>
      <c r="D1422" t="inlineStr">
        <is>
          <t>convencional</t>
        </is>
      </c>
      <c r="E1422" t="inlineStr">
        <is>
          <t>2012-12</t>
        </is>
      </c>
      <c r="F1422" t="n">
        <v>64737.6</v>
      </c>
      <c r="G1422" t="n">
        <v>591916.8</v>
      </c>
      <c r="H1422" t="n">
        <v>586571.6</v>
      </c>
      <c r="I1422">
        <f>DAY(EOMONTH(DATE(VALUE(LEFT(E1422,4)),VALUE(RIGHT(E1422,2)),1),0))</f>
        <v/>
      </c>
      <c r="J1422">
        <f>VALUE(LEFT(E1422,4))*12+VALUE(RIGHT(E1422,2))-1</f>
        <v/>
      </c>
    </row>
    <row r="1423">
      <c r="A1423" t="inlineStr">
        <is>
          <t>Los Perales</t>
        </is>
      </c>
      <c r="B1423" t="inlineStr">
        <is>
          <t>Golfo San Jorge</t>
        </is>
      </c>
      <c r="C1423" t="inlineStr">
        <is>
          <t>YPF S.A.</t>
        </is>
      </c>
      <c r="D1423" t="inlineStr">
        <is>
          <t>convencional</t>
        </is>
      </c>
      <c r="E1423" t="inlineStr">
        <is>
          <t>2013-01</t>
        </is>
      </c>
      <c r="F1423" t="n">
        <v>63803.2</v>
      </c>
      <c r="G1423" t="n">
        <v>589815.1</v>
      </c>
      <c r="H1423" t="n">
        <v>601789.8</v>
      </c>
      <c r="I1423">
        <f>DAY(EOMONTH(DATE(VALUE(LEFT(E1423,4)),VALUE(RIGHT(E1423,2)),1),0))</f>
        <v/>
      </c>
      <c r="J1423">
        <f>VALUE(LEFT(E1423,4))*12+VALUE(RIGHT(E1423,2))-1</f>
        <v/>
      </c>
    </row>
    <row r="1424">
      <c r="A1424" t="inlineStr">
        <is>
          <t>Los Perales</t>
        </is>
      </c>
      <c r="B1424" t="inlineStr">
        <is>
          <t>Golfo San Jorge</t>
        </is>
      </c>
      <c r="C1424" t="inlineStr">
        <is>
          <t>YPF S.A.</t>
        </is>
      </c>
      <c r="D1424" t="inlineStr">
        <is>
          <t>convencional</t>
        </is>
      </c>
      <c r="E1424" t="inlineStr">
        <is>
          <t>2013-02</t>
        </is>
      </c>
      <c r="F1424" t="n">
        <v>58575.7</v>
      </c>
      <c r="G1424" t="n">
        <v>517769.5</v>
      </c>
      <c r="H1424" t="n">
        <v>544972.2</v>
      </c>
      <c r="I1424">
        <f>DAY(EOMONTH(DATE(VALUE(LEFT(E1424,4)),VALUE(RIGHT(E1424,2)),1),0))</f>
        <v/>
      </c>
      <c r="J1424">
        <f>VALUE(LEFT(E1424,4))*12+VALUE(RIGHT(E1424,2))-1</f>
        <v/>
      </c>
    </row>
    <row r="1425">
      <c r="A1425" t="inlineStr">
        <is>
          <t>Los Perales</t>
        </is>
      </c>
      <c r="B1425" t="inlineStr">
        <is>
          <t>Golfo San Jorge</t>
        </is>
      </c>
      <c r="C1425" t="inlineStr">
        <is>
          <t>YPF S.A.</t>
        </is>
      </c>
      <c r="D1425" t="inlineStr">
        <is>
          <t>convencional</t>
        </is>
      </c>
      <c r="E1425" t="inlineStr">
        <is>
          <t>2013-03</t>
        </is>
      </c>
      <c r="F1425" t="n">
        <v>66310.2</v>
      </c>
      <c r="G1425" t="n">
        <v>595721.5</v>
      </c>
      <c r="H1425" t="n">
        <v>601760</v>
      </c>
      <c r="I1425">
        <f>DAY(EOMONTH(DATE(VALUE(LEFT(E1425,4)),VALUE(RIGHT(E1425,2)),1),0))</f>
        <v/>
      </c>
      <c r="J1425">
        <f>VALUE(LEFT(E1425,4))*12+VALUE(RIGHT(E1425,2))-1</f>
        <v/>
      </c>
    </row>
    <row r="1426">
      <c r="A1426" t="inlineStr">
        <is>
          <t>Los Perales</t>
        </is>
      </c>
      <c r="B1426" t="inlineStr">
        <is>
          <t>Golfo San Jorge</t>
        </is>
      </c>
      <c r="C1426" t="inlineStr">
        <is>
          <t>YPF S.A.</t>
        </is>
      </c>
      <c r="D1426" t="inlineStr">
        <is>
          <t>convencional</t>
        </is>
      </c>
      <c r="E1426" t="inlineStr">
        <is>
          <t>2013-04</t>
        </is>
      </c>
      <c r="F1426" t="n">
        <v>60840.6</v>
      </c>
      <c r="G1426" t="n">
        <v>600406.7</v>
      </c>
      <c r="H1426" t="n">
        <v>572996.3</v>
      </c>
      <c r="I1426">
        <f>DAY(EOMONTH(DATE(VALUE(LEFT(E1426,4)),VALUE(RIGHT(E1426,2)),1),0))</f>
        <v/>
      </c>
      <c r="J1426">
        <f>VALUE(LEFT(E1426,4))*12+VALUE(RIGHT(E1426,2))-1</f>
        <v/>
      </c>
    </row>
    <row r="1427">
      <c r="A1427" t="inlineStr">
        <is>
          <t>Los Perales</t>
        </is>
      </c>
      <c r="B1427" t="inlineStr">
        <is>
          <t>Golfo San Jorge</t>
        </is>
      </c>
      <c r="C1427" t="inlineStr">
        <is>
          <t>YPF S.A.</t>
        </is>
      </c>
      <c r="D1427" t="inlineStr">
        <is>
          <t>convencional</t>
        </is>
      </c>
      <c r="E1427" t="inlineStr">
        <is>
          <t>2013-05</t>
        </is>
      </c>
      <c r="F1427" t="n">
        <v>64773.7</v>
      </c>
      <c r="G1427" t="n">
        <v>667258.8</v>
      </c>
      <c r="H1427" t="n">
        <v>596838.6</v>
      </c>
      <c r="I1427">
        <f>DAY(EOMONTH(DATE(VALUE(LEFT(E1427,4)),VALUE(RIGHT(E1427,2)),1),0))</f>
        <v/>
      </c>
      <c r="J1427">
        <f>VALUE(LEFT(E1427,4))*12+VALUE(RIGHT(E1427,2))-1</f>
        <v/>
      </c>
    </row>
    <row r="1428">
      <c r="A1428" t="inlineStr">
        <is>
          <t>Los Perales</t>
        </is>
      </c>
      <c r="B1428" t="inlineStr">
        <is>
          <t>Golfo San Jorge</t>
        </is>
      </c>
      <c r="C1428" t="inlineStr">
        <is>
          <t>YPF S.A.</t>
        </is>
      </c>
      <c r="D1428" t="inlineStr">
        <is>
          <t>convencional</t>
        </is>
      </c>
      <c r="E1428" t="inlineStr">
        <is>
          <t>2013-06</t>
        </is>
      </c>
      <c r="F1428" t="n">
        <v>63199.1</v>
      </c>
      <c r="G1428" t="n">
        <v>656302.3</v>
      </c>
      <c r="H1428" t="n">
        <v>608155.5</v>
      </c>
      <c r="I1428">
        <f>DAY(EOMONTH(DATE(VALUE(LEFT(E1428,4)),VALUE(RIGHT(E1428,2)),1),0))</f>
        <v/>
      </c>
      <c r="J1428">
        <f>VALUE(LEFT(E1428,4))*12+VALUE(RIGHT(E1428,2))-1</f>
        <v/>
      </c>
    </row>
    <row r="1429">
      <c r="A1429" t="inlineStr">
        <is>
          <t>Los Perales</t>
        </is>
      </c>
      <c r="B1429" t="inlineStr">
        <is>
          <t>Golfo San Jorge</t>
        </is>
      </c>
      <c r="C1429" t="inlineStr">
        <is>
          <t>YPF S.A.</t>
        </is>
      </c>
      <c r="D1429" t="inlineStr">
        <is>
          <t>convencional</t>
        </is>
      </c>
      <c r="E1429" t="inlineStr">
        <is>
          <t>2013-07</t>
        </is>
      </c>
      <c r="F1429" t="n">
        <v>64422.3</v>
      </c>
      <c r="G1429" t="n">
        <v>682607.7</v>
      </c>
      <c r="H1429" t="n">
        <v>634713.3</v>
      </c>
      <c r="I1429">
        <f>DAY(EOMONTH(DATE(VALUE(LEFT(E1429,4)),VALUE(RIGHT(E1429,2)),1),0))</f>
        <v/>
      </c>
      <c r="J1429">
        <f>VALUE(LEFT(E1429,4))*12+VALUE(RIGHT(E1429,2))-1</f>
        <v/>
      </c>
    </row>
    <row r="1430">
      <c r="A1430" t="inlineStr">
        <is>
          <t>Los Perales</t>
        </is>
      </c>
      <c r="B1430" t="inlineStr">
        <is>
          <t>Golfo San Jorge</t>
        </is>
      </c>
      <c r="C1430" t="inlineStr">
        <is>
          <t>YPF S.A.</t>
        </is>
      </c>
      <c r="D1430" t="inlineStr">
        <is>
          <t>convencional</t>
        </is>
      </c>
      <c r="E1430" t="inlineStr">
        <is>
          <t>2013-08</t>
        </is>
      </c>
      <c r="F1430" t="n">
        <v>65217.6</v>
      </c>
      <c r="G1430" t="n">
        <v>686224.8</v>
      </c>
      <c r="H1430" t="n">
        <v>648878.8</v>
      </c>
      <c r="I1430">
        <f>DAY(EOMONTH(DATE(VALUE(LEFT(E1430,4)),VALUE(RIGHT(E1430,2)),1),0))</f>
        <v/>
      </c>
      <c r="J1430">
        <f>VALUE(LEFT(E1430,4))*12+VALUE(RIGHT(E1430,2))-1</f>
        <v/>
      </c>
    </row>
    <row r="1431">
      <c r="A1431" t="inlineStr">
        <is>
          <t>Los Perales</t>
        </is>
      </c>
      <c r="B1431" t="inlineStr">
        <is>
          <t>Golfo San Jorge</t>
        </is>
      </c>
      <c r="C1431" t="inlineStr">
        <is>
          <t>YPF S.A.</t>
        </is>
      </c>
      <c r="D1431" t="inlineStr">
        <is>
          <t>convencional</t>
        </is>
      </c>
      <c r="E1431" t="inlineStr">
        <is>
          <t>2013-09</t>
        </is>
      </c>
      <c r="F1431" t="n">
        <v>63072.4</v>
      </c>
      <c r="G1431" t="n">
        <v>660804.2</v>
      </c>
      <c r="H1431" t="n">
        <v>624128.9</v>
      </c>
      <c r="I1431">
        <f>DAY(EOMONTH(DATE(VALUE(LEFT(E1431,4)),VALUE(RIGHT(E1431,2)),1),0))</f>
        <v/>
      </c>
      <c r="J1431">
        <f>VALUE(LEFT(E1431,4))*12+VALUE(RIGHT(E1431,2))-1</f>
        <v/>
      </c>
    </row>
    <row r="1432">
      <c r="A1432" t="inlineStr">
        <is>
          <t>Los Perales</t>
        </is>
      </c>
      <c r="B1432" t="inlineStr">
        <is>
          <t>Golfo San Jorge</t>
        </is>
      </c>
      <c r="C1432" t="inlineStr">
        <is>
          <t>YPF S.A.</t>
        </is>
      </c>
      <c r="D1432" t="inlineStr">
        <is>
          <t>convencional</t>
        </is>
      </c>
      <c r="E1432" t="inlineStr">
        <is>
          <t>2013-10</t>
        </is>
      </c>
      <c r="F1432" t="n">
        <v>64636.4</v>
      </c>
      <c r="G1432" t="n">
        <v>705946.9</v>
      </c>
      <c r="H1432" t="n">
        <v>670672.9</v>
      </c>
      <c r="I1432">
        <f>DAY(EOMONTH(DATE(VALUE(LEFT(E1432,4)),VALUE(RIGHT(E1432,2)),1),0))</f>
        <v/>
      </c>
      <c r="J1432">
        <f>VALUE(LEFT(E1432,4))*12+VALUE(RIGHT(E1432,2))-1</f>
        <v/>
      </c>
    </row>
    <row r="1433">
      <c r="A1433" t="inlineStr">
        <is>
          <t>Los Perales</t>
        </is>
      </c>
      <c r="B1433" t="inlineStr">
        <is>
          <t>Golfo San Jorge</t>
        </is>
      </c>
      <c r="C1433" t="inlineStr">
        <is>
          <t>YPF S.A.</t>
        </is>
      </c>
      <c r="D1433" t="inlineStr">
        <is>
          <t>convencional</t>
        </is>
      </c>
      <c r="E1433" t="inlineStr">
        <is>
          <t>2013-11</t>
        </is>
      </c>
      <c r="F1433" t="n">
        <v>62828.7</v>
      </c>
      <c r="G1433" t="n">
        <v>683080.9</v>
      </c>
      <c r="H1433" t="n">
        <v>716631.2</v>
      </c>
      <c r="I1433">
        <f>DAY(EOMONTH(DATE(VALUE(LEFT(E1433,4)),VALUE(RIGHT(E1433,2)),1),0))</f>
        <v/>
      </c>
      <c r="J1433">
        <f>VALUE(LEFT(E1433,4))*12+VALUE(RIGHT(E1433,2))-1</f>
        <v/>
      </c>
    </row>
    <row r="1434">
      <c r="A1434" t="inlineStr">
        <is>
          <t>Los Perales</t>
        </is>
      </c>
      <c r="B1434" t="inlineStr">
        <is>
          <t>Golfo San Jorge</t>
        </is>
      </c>
      <c r="C1434" t="inlineStr">
        <is>
          <t>YPF S.A.</t>
        </is>
      </c>
      <c r="D1434" t="inlineStr">
        <is>
          <t>convencional</t>
        </is>
      </c>
      <c r="E1434" t="inlineStr">
        <is>
          <t>2013-12</t>
        </is>
      </c>
      <c r="F1434" t="n">
        <v>64679.4</v>
      </c>
      <c r="G1434" t="n">
        <v>703848.9</v>
      </c>
      <c r="H1434" t="n">
        <v>758363.2</v>
      </c>
      <c r="I1434">
        <f>DAY(EOMONTH(DATE(VALUE(LEFT(E1434,4)),VALUE(RIGHT(E1434,2)),1),0))</f>
        <v/>
      </c>
      <c r="J1434">
        <f>VALUE(LEFT(E1434,4))*12+VALUE(RIGHT(E1434,2))-1</f>
        <v/>
      </c>
    </row>
    <row r="1435">
      <c r="A1435" t="inlineStr">
        <is>
          <t>Los Perales</t>
        </is>
      </c>
      <c r="B1435" t="inlineStr">
        <is>
          <t>Golfo San Jorge</t>
        </is>
      </c>
      <c r="C1435" t="inlineStr">
        <is>
          <t>YPF S.A.</t>
        </is>
      </c>
      <c r="D1435" t="inlineStr">
        <is>
          <t>convencional</t>
        </is>
      </c>
      <c r="E1435" t="inlineStr">
        <is>
          <t>2014-01</t>
        </is>
      </c>
      <c r="F1435" t="n">
        <v>64280.7</v>
      </c>
      <c r="G1435" t="n">
        <v>676392</v>
      </c>
      <c r="H1435" t="n">
        <v>746469.1</v>
      </c>
      <c r="I1435">
        <f>DAY(EOMONTH(DATE(VALUE(LEFT(E1435,4)),VALUE(RIGHT(E1435,2)),1),0))</f>
        <v/>
      </c>
      <c r="J1435">
        <f>VALUE(LEFT(E1435,4))*12+VALUE(RIGHT(E1435,2))-1</f>
        <v/>
      </c>
    </row>
    <row r="1436">
      <c r="A1436" t="inlineStr">
        <is>
          <t>Los Perales</t>
        </is>
      </c>
      <c r="B1436" t="inlineStr">
        <is>
          <t>Golfo San Jorge</t>
        </is>
      </c>
      <c r="C1436" t="inlineStr">
        <is>
          <t>YPF S.A.</t>
        </is>
      </c>
      <c r="D1436" t="inlineStr">
        <is>
          <t>convencional</t>
        </is>
      </c>
      <c r="E1436" t="inlineStr">
        <is>
          <t>2014-02</t>
        </is>
      </c>
      <c r="F1436" t="n">
        <v>58499.7</v>
      </c>
      <c r="G1436" t="n">
        <v>610439.7</v>
      </c>
      <c r="H1436" t="n">
        <v>678996.2</v>
      </c>
      <c r="I1436">
        <f>DAY(EOMONTH(DATE(VALUE(LEFT(E1436,4)),VALUE(RIGHT(E1436,2)),1),0))</f>
        <v/>
      </c>
      <c r="J1436">
        <f>VALUE(LEFT(E1436,4))*12+VALUE(RIGHT(E1436,2))-1</f>
        <v/>
      </c>
    </row>
    <row r="1437">
      <c r="A1437" t="inlineStr">
        <is>
          <t>Los Perales</t>
        </is>
      </c>
      <c r="B1437" t="inlineStr">
        <is>
          <t>Golfo San Jorge</t>
        </is>
      </c>
      <c r="C1437" t="inlineStr">
        <is>
          <t>YPF S.A.</t>
        </is>
      </c>
      <c r="D1437" t="inlineStr">
        <is>
          <t>convencional</t>
        </is>
      </c>
      <c r="E1437" t="inlineStr">
        <is>
          <t>2014-03</t>
        </is>
      </c>
      <c r="F1437" t="n">
        <v>65742.39999999999</v>
      </c>
      <c r="G1437" t="n">
        <v>707109.4</v>
      </c>
      <c r="H1437" t="n">
        <v>786366.5</v>
      </c>
      <c r="I1437">
        <f>DAY(EOMONTH(DATE(VALUE(LEFT(E1437,4)),VALUE(RIGHT(E1437,2)),1),0))</f>
        <v/>
      </c>
      <c r="J1437">
        <f>VALUE(LEFT(E1437,4))*12+VALUE(RIGHT(E1437,2))-1</f>
        <v/>
      </c>
    </row>
    <row r="1438">
      <c r="A1438" t="inlineStr">
        <is>
          <t>Los Perales</t>
        </is>
      </c>
      <c r="B1438" t="inlineStr">
        <is>
          <t>Golfo San Jorge</t>
        </is>
      </c>
      <c r="C1438" t="inlineStr">
        <is>
          <t>YPF S.A.</t>
        </is>
      </c>
      <c r="D1438" t="inlineStr">
        <is>
          <t>convencional</t>
        </is>
      </c>
      <c r="E1438" t="inlineStr">
        <is>
          <t>2014-04</t>
        </is>
      </c>
      <c r="F1438" t="n">
        <v>61876.3</v>
      </c>
      <c r="G1438" t="n">
        <v>684315.6</v>
      </c>
      <c r="H1438" t="n">
        <v>773683.2</v>
      </c>
      <c r="I1438">
        <f>DAY(EOMONTH(DATE(VALUE(LEFT(E1438,4)),VALUE(RIGHT(E1438,2)),1),0))</f>
        <v/>
      </c>
      <c r="J1438">
        <f>VALUE(LEFT(E1438,4))*12+VALUE(RIGHT(E1438,2))-1</f>
        <v/>
      </c>
    </row>
    <row r="1439">
      <c r="A1439" t="inlineStr">
        <is>
          <t>Los Perales</t>
        </is>
      </c>
      <c r="B1439" t="inlineStr">
        <is>
          <t>Golfo San Jorge</t>
        </is>
      </c>
      <c r="C1439" t="inlineStr">
        <is>
          <t>YPF S.A.</t>
        </is>
      </c>
      <c r="D1439" t="inlineStr">
        <is>
          <t>convencional</t>
        </is>
      </c>
      <c r="E1439" t="inlineStr">
        <is>
          <t>2014-05</t>
        </is>
      </c>
      <c r="F1439" t="n">
        <v>61884.5</v>
      </c>
      <c r="G1439" t="n">
        <v>717779.2</v>
      </c>
      <c r="H1439" t="n">
        <v>831687.7</v>
      </c>
      <c r="I1439">
        <f>DAY(EOMONTH(DATE(VALUE(LEFT(E1439,4)),VALUE(RIGHT(E1439,2)),1),0))</f>
        <v/>
      </c>
      <c r="J1439">
        <f>VALUE(LEFT(E1439,4))*12+VALUE(RIGHT(E1439,2))-1</f>
        <v/>
      </c>
    </row>
    <row r="1440">
      <c r="A1440" t="inlineStr">
        <is>
          <t>Los Perales</t>
        </is>
      </c>
      <c r="B1440" t="inlineStr">
        <is>
          <t>Golfo San Jorge</t>
        </is>
      </c>
      <c r="C1440" t="inlineStr">
        <is>
          <t>YPF S.A.</t>
        </is>
      </c>
      <c r="D1440" t="inlineStr">
        <is>
          <t>convencional</t>
        </is>
      </c>
      <c r="E1440" t="inlineStr">
        <is>
          <t>2014-06</t>
        </is>
      </c>
      <c r="F1440" t="n">
        <v>58540.5</v>
      </c>
      <c r="G1440" t="n">
        <v>701798.8</v>
      </c>
      <c r="H1440" t="n">
        <v>818754.4</v>
      </c>
      <c r="I1440">
        <f>DAY(EOMONTH(DATE(VALUE(LEFT(E1440,4)),VALUE(RIGHT(E1440,2)),1),0))</f>
        <v/>
      </c>
      <c r="J1440">
        <f>VALUE(LEFT(E1440,4))*12+VALUE(RIGHT(E1440,2))-1</f>
        <v/>
      </c>
    </row>
    <row r="1441">
      <c r="A1441" t="inlineStr">
        <is>
          <t>Los Perales</t>
        </is>
      </c>
      <c r="B1441" t="inlineStr">
        <is>
          <t>Golfo San Jorge</t>
        </is>
      </c>
      <c r="C1441" t="inlineStr">
        <is>
          <t>YPF S.A.</t>
        </is>
      </c>
      <c r="D1441" t="inlineStr">
        <is>
          <t>convencional</t>
        </is>
      </c>
      <c r="E1441" t="inlineStr">
        <is>
          <t>2014-07</t>
        </is>
      </c>
      <c r="F1441" t="n">
        <v>60323.8</v>
      </c>
      <c r="G1441" t="n">
        <v>751397.1</v>
      </c>
      <c r="H1441" t="n">
        <v>906736.5</v>
      </c>
      <c r="I1441">
        <f>DAY(EOMONTH(DATE(VALUE(LEFT(E1441,4)),VALUE(RIGHT(E1441,2)),1),0))</f>
        <v/>
      </c>
      <c r="J1441">
        <f>VALUE(LEFT(E1441,4))*12+VALUE(RIGHT(E1441,2))-1</f>
        <v/>
      </c>
    </row>
    <row r="1442">
      <c r="A1442" t="inlineStr">
        <is>
          <t>Los Perales</t>
        </is>
      </c>
      <c r="B1442" t="inlineStr">
        <is>
          <t>Golfo San Jorge</t>
        </is>
      </c>
      <c r="C1442" t="inlineStr">
        <is>
          <t>YPF S.A.</t>
        </is>
      </c>
      <c r="D1442" t="inlineStr">
        <is>
          <t>convencional</t>
        </is>
      </c>
      <c r="E1442" t="inlineStr">
        <is>
          <t>2014-08</t>
        </is>
      </c>
      <c r="F1442" t="n">
        <v>61524.9</v>
      </c>
      <c r="G1442" t="n">
        <v>765825.9</v>
      </c>
      <c r="H1442" t="n">
        <v>930563.4</v>
      </c>
      <c r="I1442">
        <f>DAY(EOMONTH(DATE(VALUE(LEFT(E1442,4)),VALUE(RIGHT(E1442,2)),1),0))</f>
        <v/>
      </c>
      <c r="J1442">
        <f>VALUE(LEFT(E1442,4))*12+VALUE(RIGHT(E1442,2))-1</f>
        <v/>
      </c>
    </row>
    <row r="1443">
      <c r="A1443" t="inlineStr">
        <is>
          <t>Los Perales</t>
        </is>
      </c>
      <c r="B1443" t="inlineStr">
        <is>
          <t>Golfo San Jorge</t>
        </is>
      </c>
      <c r="C1443" t="inlineStr">
        <is>
          <t>YPF S.A.</t>
        </is>
      </c>
      <c r="D1443" t="inlineStr">
        <is>
          <t>convencional</t>
        </is>
      </c>
      <c r="E1443" t="inlineStr">
        <is>
          <t>2014-09</t>
        </is>
      </c>
      <c r="F1443" t="n">
        <v>60147.4</v>
      </c>
      <c r="G1443" t="n">
        <v>752880.6</v>
      </c>
      <c r="H1443" t="n">
        <v>908266.8</v>
      </c>
      <c r="I1443">
        <f>DAY(EOMONTH(DATE(VALUE(LEFT(E1443,4)),VALUE(RIGHT(E1443,2)),1),0))</f>
        <v/>
      </c>
      <c r="J1443">
        <f>VALUE(LEFT(E1443,4))*12+VALUE(RIGHT(E1443,2))-1</f>
        <v/>
      </c>
    </row>
    <row r="1444">
      <c r="A1444" t="inlineStr">
        <is>
          <t>Los Perales</t>
        </is>
      </c>
      <c r="B1444" t="inlineStr">
        <is>
          <t>Golfo San Jorge</t>
        </is>
      </c>
      <c r="C1444" t="inlineStr">
        <is>
          <t>YPF S.A.</t>
        </is>
      </c>
      <c r="D1444" t="inlineStr">
        <is>
          <t>convencional</t>
        </is>
      </c>
      <c r="E1444" t="inlineStr">
        <is>
          <t>2014-10</t>
        </is>
      </c>
      <c r="F1444" t="n">
        <v>62850.6</v>
      </c>
      <c r="G1444" t="n">
        <v>791108.8</v>
      </c>
      <c r="H1444" t="n">
        <v>896309.4</v>
      </c>
      <c r="I1444">
        <f>DAY(EOMONTH(DATE(VALUE(LEFT(E1444,4)),VALUE(RIGHT(E1444,2)),1),0))</f>
        <v/>
      </c>
      <c r="J1444">
        <f>VALUE(LEFT(E1444,4))*12+VALUE(RIGHT(E1444,2))-1</f>
        <v/>
      </c>
    </row>
    <row r="1445">
      <c r="A1445" t="inlineStr">
        <is>
          <t>Los Perales</t>
        </is>
      </c>
      <c r="B1445" t="inlineStr">
        <is>
          <t>Golfo San Jorge</t>
        </is>
      </c>
      <c r="C1445" t="inlineStr">
        <is>
          <t>YPF S.A.</t>
        </is>
      </c>
      <c r="D1445" t="inlineStr">
        <is>
          <t>convencional</t>
        </is>
      </c>
      <c r="E1445" t="inlineStr">
        <is>
          <t>2014-11</t>
        </is>
      </c>
      <c r="F1445" t="n">
        <v>61292.6</v>
      </c>
      <c r="G1445" t="n">
        <v>761599.9</v>
      </c>
      <c r="H1445" t="n">
        <v>848517.8</v>
      </c>
      <c r="I1445">
        <f>DAY(EOMONTH(DATE(VALUE(LEFT(E1445,4)),VALUE(RIGHT(E1445,2)),1),0))</f>
        <v/>
      </c>
      <c r="J1445">
        <f>VALUE(LEFT(E1445,4))*12+VALUE(RIGHT(E1445,2))-1</f>
        <v/>
      </c>
    </row>
    <row r="1446">
      <c r="A1446" t="inlineStr">
        <is>
          <t>Los Perales</t>
        </is>
      </c>
      <c r="B1446" t="inlineStr">
        <is>
          <t>Golfo San Jorge</t>
        </is>
      </c>
      <c r="C1446" t="inlineStr">
        <is>
          <t>YPF S.A.</t>
        </is>
      </c>
      <c r="D1446" t="inlineStr">
        <is>
          <t>convencional</t>
        </is>
      </c>
      <c r="E1446" t="inlineStr">
        <is>
          <t>2014-12</t>
        </is>
      </c>
      <c r="F1446" t="n">
        <v>62863.9</v>
      </c>
      <c r="G1446" t="n">
        <v>792399.3</v>
      </c>
      <c r="H1446" t="n">
        <v>867743.8</v>
      </c>
      <c r="I1446">
        <f>DAY(EOMONTH(DATE(VALUE(LEFT(E1446,4)),VALUE(RIGHT(E1446,2)),1),0))</f>
        <v/>
      </c>
      <c r="J1446">
        <f>VALUE(LEFT(E1446,4))*12+VALUE(RIGHT(E1446,2))-1</f>
        <v/>
      </c>
    </row>
    <row r="1447">
      <c r="A1447" t="inlineStr">
        <is>
          <t>Los Perales</t>
        </is>
      </c>
      <c r="B1447" t="inlineStr">
        <is>
          <t>Golfo San Jorge</t>
        </is>
      </c>
      <c r="C1447" t="inlineStr">
        <is>
          <t>YPF S.A.</t>
        </is>
      </c>
      <c r="D1447" t="inlineStr">
        <is>
          <t>convencional</t>
        </is>
      </c>
      <c r="E1447" t="inlineStr">
        <is>
          <t>2015-01</t>
        </is>
      </c>
      <c r="F1447" t="n">
        <v>62390.4</v>
      </c>
      <c r="G1447" t="n">
        <v>808539.3</v>
      </c>
      <c r="H1447" t="n">
        <v>831243.1</v>
      </c>
      <c r="I1447">
        <f>DAY(EOMONTH(DATE(VALUE(LEFT(E1447,4)),VALUE(RIGHT(E1447,2)),1),0))</f>
        <v/>
      </c>
      <c r="J1447">
        <f>VALUE(LEFT(E1447,4))*12+VALUE(RIGHT(E1447,2))-1</f>
        <v/>
      </c>
    </row>
    <row r="1448">
      <c r="A1448" t="inlineStr">
        <is>
          <t>Los Perales</t>
        </is>
      </c>
      <c r="B1448" t="inlineStr">
        <is>
          <t>Golfo San Jorge</t>
        </is>
      </c>
      <c r="C1448" t="inlineStr">
        <is>
          <t>YPF S.A.</t>
        </is>
      </c>
      <c r="D1448" t="inlineStr">
        <is>
          <t>convencional</t>
        </is>
      </c>
      <c r="E1448" t="inlineStr">
        <is>
          <t>2015-02</t>
        </is>
      </c>
      <c r="F1448" t="n">
        <v>56078.4</v>
      </c>
      <c r="G1448" t="n">
        <v>716007.6</v>
      </c>
      <c r="H1448" t="n">
        <v>736239.4</v>
      </c>
      <c r="I1448">
        <f>DAY(EOMONTH(DATE(VALUE(LEFT(E1448,4)),VALUE(RIGHT(E1448,2)),1),0))</f>
        <v/>
      </c>
      <c r="J1448">
        <f>VALUE(LEFT(E1448,4))*12+VALUE(RIGHT(E1448,2))-1</f>
        <v/>
      </c>
    </row>
    <row r="1449">
      <c r="A1449" t="inlineStr">
        <is>
          <t>Los Perales</t>
        </is>
      </c>
      <c r="B1449" t="inlineStr">
        <is>
          <t>Golfo San Jorge</t>
        </is>
      </c>
      <c r="C1449" t="inlineStr">
        <is>
          <t>YPF S.A.</t>
        </is>
      </c>
      <c r="D1449" t="inlineStr">
        <is>
          <t>convencional</t>
        </is>
      </c>
      <c r="E1449" t="inlineStr">
        <is>
          <t>2015-03</t>
        </is>
      </c>
      <c r="F1449" t="n">
        <v>61666.3</v>
      </c>
      <c r="G1449" t="n">
        <v>810761.3</v>
      </c>
      <c r="H1449" t="n">
        <v>794919.2</v>
      </c>
      <c r="I1449">
        <f>DAY(EOMONTH(DATE(VALUE(LEFT(E1449,4)),VALUE(RIGHT(E1449,2)),1),0))</f>
        <v/>
      </c>
      <c r="J1449">
        <f>VALUE(LEFT(E1449,4))*12+VALUE(RIGHT(E1449,2))-1</f>
        <v/>
      </c>
    </row>
    <row r="1450">
      <c r="A1450" t="inlineStr">
        <is>
          <t>Los Perales</t>
        </is>
      </c>
      <c r="B1450" t="inlineStr">
        <is>
          <t>Golfo San Jorge</t>
        </is>
      </c>
      <c r="C1450" t="inlineStr">
        <is>
          <t>YPF S.A.</t>
        </is>
      </c>
      <c r="D1450" t="inlineStr">
        <is>
          <t>convencional</t>
        </is>
      </c>
      <c r="E1450" t="inlineStr">
        <is>
          <t>2015-04</t>
        </is>
      </c>
      <c r="F1450" t="n">
        <v>59914.3</v>
      </c>
      <c r="G1450" t="n">
        <v>788708.8</v>
      </c>
      <c r="H1450" t="n">
        <v>781172.1</v>
      </c>
      <c r="I1450">
        <f>DAY(EOMONTH(DATE(VALUE(LEFT(E1450,4)),VALUE(RIGHT(E1450,2)),1),0))</f>
        <v/>
      </c>
      <c r="J1450">
        <f>VALUE(LEFT(E1450,4))*12+VALUE(RIGHT(E1450,2))-1</f>
        <v/>
      </c>
    </row>
    <row r="1451">
      <c r="A1451" t="inlineStr">
        <is>
          <t>Los Perales</t>
        </is>
      </c>
      <c r="B1451" t="inlineStr">
        <is>
          <t>Golfo San Jorge</t>
        </is>
      </c>
      <c r="C1451" t="inlineStr">
        <is>
          <t>YPF S.A.</t>
        </is>
      </c>
      <c r="D1451" t="inlineStr">
        <is>
          <t>convencional</t>
        </is>
      </c>
      <c r="E1451" t="inlineStr">
        <is>
          <t>2015-05</t>
        </is>
      </c>
      <c r="F1451" t="n">
        <v>61011.9</v>
      </c>
      <c r="G1451" t="n">
        <v>809566.9</v>
      </c>
      <c r="H1451" t="n">
        <v>807323.1</v>
      </c>
      <c r="I1451">
        <f>DAY(EOMONTH(DATE(VALUE(LEFT(E1451,4)),VALUE(RIGHT(E1451,2)),1),0))</f>
        <v/>
      </c>
      <c r="J1451">
        <f>VALUE(LEFT(E1451,4))*12+VALUE(RIGHT(E1451,2))-1</f>
        <v/>
      </c>
    </row>
    <row r="1452">
      <c r="A1452" t="inlineStr">
        <is>
          <t>Los Perales</t>
        </is>
      </c>
      <c r="B1452" t="inlineStr">
        <is>
          <t>Golfo San Jorge</t>
        </is>
      </c>
      <c r="C1452" t="inlineStr">
        <is>
          <t>YPF S.A.</t>
        </is>
      </c>
      <c r="D1452" t="inlineStr">
        <is>
          <t>convencional</t>
        </is>
      </c>
      <c r="E1452" t="inlineStr">
        <is>
          <t>2015-06</t>
        </is>
      </c>
      <c r="F1452" t="n">
        <v>58436.8</v>
      </c>
      <c r="G1452" t="n">
        <v>784308</v>
      </c>
      <c r="H1452" t="n">
        <v>802440.4</v>
      </c>
      <c r="I1452">
        <f>DAY(EOMONTH(DATE(VALUE(LEFT(E1452,4)),VALUE(RIGHT(E1452,2)),1),0))</f>
        <v/>
      </c>
      <c r="J1452">
        <f>VALUE(LEFT(E1452,4))*12+VALUE(RIGHT(E1452,2))-1</f>
        <v/>
      </c>
    </row>
    <row r="1453">
      <c r="A1453" t="inlineStr">
        <is>
          <t>Los Perales</t>
        </is>
      </c>
      <c r="B1453" t="inlineStr">
        <is>
          <t>Golfo San Jorge</t>
        </is>
      </c>
      <c r="C1453" t="inlineStr">
        <is>
          <t>YPF S.A.</t>
        </is>
      </c>
      <c r="D1453" t="inlineStr">
        <is>
          <t>convencional</t>
        </is>
      </c>
      <c r="E1453" t="inlineStr">
        <is>
          <t>2015-07</t>
        </is>
      </c>
      <c r="F1453" t="n">
        <v>62092.5</v>
      </c>
      <c r="G1453" t="n">
        <v>727862.9</v>
      </c>
      <c r="H1453" t="n">
        <v>837277.9</v>
      </c>
      <c r="I1453">
        <f>DAY(EOMONTH(DATE(VALUE(LEFT(E1453,4)),VALUE(RIGHT(E1453,2)),1),0))</f>
        <v/>
      </c>
      <c r="J1453">
        <f>VALUE(LEFT(E1453,4))*12+VALUE(RIGHT(E1453,2))-1</f>
        <v/>
      </c>
    </row>
    <row r="1454">
      <c r="A1454" t="inlineStr">
        <is>
          <t>Los Perales</t>
        </is>
      </c>
      <c r="B1454" t="inlineStr">
        <is>
          <t>Golfo San Jorge</t>
        </is>
      </c>
      <c r="C1454" t="inlineStr">
        <is>
          <t>YPF S.A.</t>
        </is>
      </c>
      <c r="D1454" t="inlineStr">
        <is>
          <t>convencional</t>
        </is>
      </c>
      <c r="E1454" t="inlineStr">
        <is>
          <t>2015-08</t>
        </is>
      </c>
      <c r="F1454" t="n">
        <v>63270.2</v>
      </c>
      <c r="G1454" t="n">
        <v>743816.7</v>
      </c>
      <c r="H1454" t="n">
        <v>861963.3</v>
      </c>
      <c r="I1454">
        <f>DAY(EOMONTH(DATE(VALUE(LEFT(E1454,4)),VALUE(RIGHT(E1454,2)),1),0))</f>
        <v/>
      </c>
      <c r="J1454">
        <f>VALUE(LEFT(E1454,4))*12+VALUE(RIGHT(E1454,2))-1</f>
        <v/>
      </c>
    </row>
    <row r="1455">
      <c r="A1455" t="inlineStr">
        <is>
          <t>Los Perales</t>
        </is>
      </c>
      <c r="B1455" t="inlineStr">
        <is>
          <t>Golfo San Jorge</t>
        </is>
      </c>
      <c r="C1455" t="inlineStr">
        <is>
          <t>YPF S.A.</t>
        </is>
      </c>
      <c r="D1455" t="inlineStr">
        <is>
          <t>convencional</t>
        </is>
      </c>
      <c r="E1455" t="inlineStr">
        <is>
          <t>2015-09</t>
        </is>
      </c>
      <c r="F1455" t="n">
        <v>61879.1</v>
      </c>
      <c r="G1455" t="n">
        <v>899062</v>
      </c>
      <c r="H1455" t="n">
        <v>873496.8</v>
      </c>
      <c r="I1455">
        <f>DAY(EOMONTH(DATE(VALUE(LEFT(E1455,4)),VALUE(RIGHT(E1455,2)),1),0))</f>
        <v/>
      </c>
      <c r="J1455">
        <f>VALUE(LEFT(E1455,4))*12+VALUE(RIGHT(E1455,2))-1</f>
        <v/>
      </c>
    </row>
    <row r="1456">
      <c r="A1456" t="inlineStr">
        <is>
          <t>Los Perales</t>
        </is>
      </c>
      <c r="B1456" t="inlineStr">
        <is>
          <t>Golfo San Jorge</t>
        </is>
      </c>
      <c r="C1456" t="inlineStr">
        <is>
          <t>YPF S.A.</t>
        </is>
      </c>
      <c r="D1456" t="inlineStr">
        <is>
          <t>convencional</t>
        </is>
      </c>
      <c r="E1456" t="inlineStr">
        <is>
          <t>2015-10</t>
        </is>
      </c>
      <c r="F1456" t="n">
        <v>63417.1</v>
      </c>
      <c r="G1456" t="n">
        <v>891975.4</v>
      </c>
      <c r="H1456" t="n">
        <v>960952.3</v>
      </c>
      <c r="I1456">
        <f>DAY(EOMONTH(DATE(VALUE(LEFT(E1456,4)),VALUE(RIGHT(E1456,2)),1),0))</f>
        <v/>
      </c>
      <c r="J1456">
        <f>VALUE(LEFT(E1456,4))*12+VALUE(RIGHT(E1456,2))-1</f>
        <v/>
      </c>
    </row>
    <row r="1457">
      <c r="A1457" t="inlineStr">
        <is>
          <t>Los Perales</t>
        </is>
      </c>
      <c r="B1457" t="inlineStr">
        <is>
          <t>Golfo San Jorge</t>
        </is>
      </c>
      <c r="C1457" t="inlineStr">
        <is>
          <t>YPF S.A.</t>
        </is>
      </c>
      <c r="D1457" t="inlineStr">
        <is>
          <t>convencional</t>
        </is>
      </c>
      <c r="E1457" t="inlineStr">
        <is>
          <t>2015-11</t>
        </is>
      </c>
      <c r="F1457" t="n">
        <v>59995.6</v>
      </c>
      <c r="G1457" t="n">
        <v>884708.5</v>
      </c>
      <c r="H1457" t="n">
        <v>929557.2</v>
      </c>
      <c r="I1457">
        <f>DAY(EOMONTH(DATE(VALUE(LEFT(E1457,4)),VALUE(RIGHT(E1457,2)),1),0))</f>
        <v/>
      </c>
      <c r="J1457">
        <f>VALUE(LEFT(E1457,4))*12+VALUE(RIGHT(E1457,2))-1</f>
        <v/>
      </c>
    </row>
    <row r="1458">
      <c r="A1458" t="inlineStr">
        <is>
          <t>Los Perales</t>
        </is>
      </c>
      <c r="B1458" t="inlineStr">
        <is>
          <t>Golfo San Jorge</t>
        </is>
      </c>
      <c r="C1458" t="inlineStr">
        <is>
          <t>YPF S.A.</t>
        </is>
      </c>
      <c r="D1458" t="inlineStr">
        <is>
          <t>convencional</t>
        </is>
      </c>
      <c r="E1458" t="inlineStr">
        <is>
          <t>2015-12</t>
        </is>
      </c>
      <c r="F1458" t="n">
        <v>63287.5</v>
      </c>
      <c r="G1458" t="n">
        <v>903671.4</v>
      </c>
      <c r="H1458" t="n">
        <v>933757.7</v>
      </c>
      <c r="I1458">
        <f>DAY(EOMONTH(DATE(VALUE(LEFT(E1458,4)),VALUE(RIGHT(E1458,2)),1),0))</f>
        <v/>
      </c>
      <c r="J1458">
        <f>VALUE(LEFT(E1458,4))*12+VALUE(RIGHT(E1458,2))-1</f>
        <v/>
      </c>
    </row>
    <row r="1459">
      <c r="A1459" t="inlineStr">
        <is>
          <t>Los Perales</t>
        </is>
      </c>
      <c r="B1459" t="inlineStr">
        <is>
          <t>Golfo San Jorge</t>
        </is>
      </c>
      <c r="C1459" t="inlineStr">
        <is>
          <t>YPF S.A.</t>
        </is>
      </c>
      <c r="D1459" t="inlineStr">
        <is>
          <t>convencional</t>
        </is>
      </c>
      <c r="E1459" t="inlineStr">
        <is>
          <t>2016-01</t>
        </is>
      </c>
      <c r="F1459" t="n">
        <v>64190.1</v>
      </c>
      <c r="G1459" t="n">
        <v>916553.5</v>
      </c>
      <c r="H1459" t="n">
        <v>929308.5</v>
      </c>
      <c r="I1459">
        <f>DAY(EOMONTH(DATE(VALUE(LEFT(E1459,4)),VALUE(RIGHT(E1459,2)),1),0))</f>
        <v/>
      </c>
      <c r="J1459">
        <f>VALUE(LEFT(E1459,4))*12+VALUE(RIGHT(E1459,2))-1</f>
        <v/>
      </c>
    </row>
    <row r="1460">
      <c r="A1460" t="inlineStr">
        <is>
          <t>Los Perales</t>
        </is>
      </c>
      <c r="B1460" t="inlineStr">
        <is>
          <t>Golfo San Jorge</t>
        </is>
      </c>
      <c r="C1460" t="inlineStr">
        <is>
          <t>YPF S.A.</t>
        </is>
      </c>
      <c r="D1460" t="inlineStr">
        <is>
          <t>convencional</t>
        </is>
      </c>
      <c r="E1460" t="inlineStr">
        <is>
          <t>2016-02</t>
        </is>
      </c>
      <c r="F1460" t="n">
        <v>58446.1</v>
      </c>
      <c r="G1460" t="n">
        <v>862943.3</v>
      </c>
      <c r="H1460" t="n">
        <v>862503.3</v>
      </c>
      <c r="I1460">
        <f>DAY(EOMONTH(DATE(VALUE(LEFT(E1460,4)),VALUE(RIGHT(E1460,2)),1),0))</f>
        <v/>
      </c>
      <c r="J1460">
        <f>VALUE(LEFT(E1460,4))*12+VALUE(RIGHT(E1460,2))-1</f>
        <v/>
      </c>
    </row>
    <row r="1461">
      <c r="A1461" t="inlineStr">
        <is>
          <t>Los Perales</t>
        </is>
      </c>
      <c r="B1461" t="inlineStr">
        <is>
          <t>Golfo San Jorge</t>
        </is>
      </c>
      <c r="C1461" t="inlineStr">
        <is>
          <t>YPF S.A.</t>
        </is>
      </c>
      <c r="D1461" t="inlineStr">
        <is>
          <t>convencional</t>
        </is>
      </c>
      <c r="E1461" t="inlineStr">
        <is>
          <t>2016-03</t>
        </is>
      </c>
      <c r="F1461" t="n">
        <v>63028.8</v>
      </c>
      <c r="G1461" t="n">
        <v>941954.1</v>
      </c>
      <c r="H1461" t="n">
        <v>952517.5</v>
      </c>
      <c r="I1461">
        <f>DAY(EOMONTH(DATE(VALUE(LEFT(E1461,4)),VALUE(RIGHT(E1461,2)),1),0))</f>
        <v/>
      </c>
      <c r="J1461">
        <f>VALUE(LEFT(E1461,4))*12+VALUE(RIGHT(E1461,2))-1</f>
        <v/>
      </c>
    </row>
    <row r="1462">
      <c r="A1462" t="inlineStr">
        <is>
          <t>Los Perales</t>
        </is>
      </c>
      <c r="B1462" t="inlineStr">
        <is>
          <t>Golfo San Jorge</t>
        </is>
      </c>
      <c r="C1462" t="inlineStr">
        <is>
          <t>YPF S.A.</t>
        </is>
      </c>
      <c r="D1462" t="inlineStr">
        <is>
          <t>convencional</t>
        </is>
      </c>
      <c r="E1462" t="inlineStr">
        <is>
          <t>2016-04</t>
        </is>
      </c>
      <c r="F1462" t="n">
        <v>59548.3</v>
      </c>
      <c r="G1462" t="n">
        <v>946727.5</v>
      </c>
      <c r="H1462" t="n">
        <v>920233</v>
      </c>
      <c r="I1462">
        <f>DAY(EOMONTH(DATE(VALUE(LEFT(E1462,4)),VALUE(RIGHT(E1462,2)),1),0))</f>
        <v/>
      </c>
      <c r="J1462">
        <f>VALUE(LEFT(E1462,4))*12+VALUE(RIGHT(E1462,2))-1</f>
        <v/>
      </c>
    </row>
    <row r="1463">
      <c r="A1463" t="inlineStr">
        <is>
          <t>Los Perales</t>
        </is>
      </c>
      <c r="B1463" t="inlineStr">
        <is>
          <t>Golfo San Jorge</t>
        </is>
      </c>
      <c r="C1463" t="inlineStr">
        <is>
          <t>YPF S.A.</t>
        </is>
      </c>
      <c r="D1463" t="inlineStr">
        <is>
          <t>convencional</t>
        </is>
      </c>
      <c r="E1463" t="inlineStr">
        <is>
          <t>2016-05</t>
        </is>
      </c>
      <c r="F1463" t="n">
        <v>51297.7</v>
      </c>
      <c r="G1463" t="n">
        <v>875890.2</v>
      </c>
      <c r="H1463" t="n">
        <v>848599.8</v>
      </c>
      <c r="I1463">
        <f>DAY(EOMONTH(DATE(VALUE(LEFT(E1463,4)),VALUE(RIGHT(E1463,2)),1),0))</f>
        <v/>
      </c>
      <c r="J1463">
        <f>VALUE(LEFT(E1463,4))*12+VALUE(RIGHT(E1463,2))-1</f>
        <v/>
      </c>
    </row>
    <row r="1464">
      <c r="A1464" t="inlineStr">
        <is>
          <t>Los Perales</t>
        </is>
      </c>
      <c r="B1464" t="inlineStr">
        <is>
          <t>Golfo San Jorge</t>
        </is>
      </c>
      <c r="C1464" t="inlineStr">
        <is>
          <t>YPF S.A.</t>
        </is>
      </c>
      <c r="D1464" t="inlineStr">
        <is>
          <t>convencional</t>
        </is>
      </c>
      <c r="E1464" t="inlineStr">
        <is>
          <t>2016-06</t>
        </is>
      </c>
      <c r="F1464" t="n">
        <v>53665.4</v>
      </c>
      <c r="G1464" t="n">
        <v>861391.5</v>
      </c>
      <c r="H1464" t="n">
        <v>825871.2</v>
      </c>
      <c r="I1464">
        <f>DAY(EOMONTH(DATE(VALUE(LEFT(E1464,4)),VALUE(RIGHT(E1464,2)),1),0))</f>
        <v/>
      </c>
      <c r="J1464">
        <f>VALUE(LEFT(E1464,4))*12+VALUE(RIGHT(E1464,2))-1</f>
        <v/>
      </c>
    </row>
    <row r="1465">
      <c r="A1465" t="inlineStr">
        <is>
          <t>Los Perales</t>
        </is>
      </c>
      <c r="B1465" t="inlineStr">
        <is>
          <t>Golfo San Jorge</t>
        </is>
      </c>
      <c r="C1465" t="inlineStr">
        <is>
          <t>YPF S.A.</t>
        </is>
      </c>
      <c r="D1465" t="inlineStr">
        <is>
          <t>convencional</t>
        </is>
      </c>
      <c r="E1465" t="inlineStr">
        <is>
          <t>2016-07</t>
        </is>
      </c>
      <c r="F1465" t="n">
        <v>60095.3</v>
      </c>
      <c r="G1465" t="n">
        <v>884622</v>
      </c>
      <c r="H1465" t="n">
        <v>946837.4</v>
      </c>
      <c r="I1465">
        <f>DAY(EOMONTH(DATE(VALUE(LEFT(E1465,4)),VALUE(RIGHT(E1465,2)),1),0))</f>
        <v/>
      </c>
      <c r="J1465">
        <f>VALUE(LEFT(E1465,4))*12+VALUE(RIGHT(E1465,2))-1</f>
        <v/>
      </c>
    </row>
    <row r="1466">
      <c r="A1466" t="inlineStr">
        <is>
          <t>Los Perales</t>
        </is>
      </c>
      <c r="B1466" t="inlineStr">
        <is>
          <t>Golfo San Jorge</t>
        </is>
      </c>
      <c r="C1466" t="inlineStr">
        <is>
          <t>YPF S.A.</t>
        </is>
      </c>
      <c r="D1466" t="inlineStr">
        <is>
          <t>convencional</t>
        </is>
      </c>
      <c r="E1466" t="inlineStr">
        <is>
          <t>2016-08</t>
        </is>
      </c>
      <c r="F1466" t="n">
        <v>59719.1</v>
      </c>
      <c r="G1466" t="n">
        <v>901987.3</v>
      </c>
      <c r="H1466" t="n">
        <v>942202.3</v>
      </c>
      <c r="I1466">
        <f>DAY(EOMONTH(DATE(VALUE(LEFT(E1466,4)),VALUE(RIGHT(E1466,2)),1),0))</f>
        <v/>
      </c>
      <c r="J1466">
        <f>VALUE(LEFT(E1466,4))*12+VALUE(RIGHT(E1466,2))-1</f>
        <v/>
      </c>
    </row>
    <row r="1467">
      <c r="A1467" t="inlineStr">
        <is>
          <t>Los Perales</t>
        </is>
      </c>
      <c r="B1467" t="inlineStr">
        <is>
          <t>Golfo San Jorge</t>
        </is>
      </c>
      <c r="C1467" t="inlineStr">
        <is>
          <t>YPF S.A.</t>
        </is>
      </c>
      <c r="D1467" t="inlineStr">
        <is>
          <t>convencional</t>
        </is>
      </c>
      <c r="E1467" t="inlineStr">
        <is>
          <t>2016-09</t>
        </is>
      </c>
      <c r="F1467" t="n">
        <v>60033.5</v>
      </c>
      <c r="G1467" t="n">
        <v>868787</v>
      </c>
      <c r="H1467" t="n">
        <v>925423</v>
      </c>
      <c r="I1467">
        <f>DAY(EOMONTH(DATE(VALUE(LEFT(E1467,4)),VALUE(RIGHT(E1467,2)),1),0))</f>
        <v/>
      </c>
      <c r="J1467">
        <f>VALUE(LEFT(E1467,4))*12+VALUE(RIGHT(E1467,2))-1</f>
        <v/>
      </c>
    </row>
    <row r="1468">
      <c r="A1468" t="inlineStr">
        <is>
          <t>Los Perales</t>
        </is>
      </c>
      <c r="B1468" t="inlineStr">
        <is>
          <t>Golfo San Jorge</t>
        </is>
      </c>
      <c r="C1468" t="inlineStr">
        <is>
          <t>YPF S.A.</t>
        </is>
      </c>
      <c r="D1468" t="inlineStr">
        <is>
          <t>convencional</t>
        </is>
      </c>
      <c r="E1468" t="inlineStr">
        <is>
          <t>2016-10</t>
        </is>
      </c>
      <c r="F1468" t="n">
        <v>62718.1</v>
      </c>
      <c r="G1468" t="n">
        <v>888474.7</v>
      </c>
      <c r="H1468" t="n">
        <v>950858.9</v>
      </c>
      <c r="I1468">
        <f>DAY(EOMONTH(DATE(VALUE(LEFT(E1468,4)),VALUE(RIGHT(E1468,2)),1),0))</f>
        <v/>
      </c>
      <c r="J1468">
        <f>VALUE(LEFT(E1468,4))*12+VALUE(RIGHT(E1468,2))-1</f>
        <v/>
      </c>
    </row>
    <row r="1469">
      <c r="A1469" t="inlineStr">
        <is>
          <t>Los Perales</t>
        </is>
      </c>
      <c r="B1469" t="inlineStr">
        <is>
          <t>Golfo San Jorge</t>
        </is>
      </c>
      <c r="C1469" t="inlineStr">
        <is>
          <t>YPF S.A.</t>
        </is>
      </c>
      <c r="D1469" t="inlineStr">
        <is>
          <t>convencional</t>
        </is>
      </c>
      <c r="E1469" t="inlineStr">
        <is>
          <t>2016-11</t>
        </is>
      </c>
      <c r="F1469" t="n">
        <v>58513.7</v>
      </c>
      <c r="G1469" t="n">
        <v>871362</v>
      </c>
      <c r="H1469" t="n">
        <v>908858.5</v>
      </c>
      <c r="I1469">
        <f>DAY(EOMONTH(DATE(VALUE(LEFT(E1469,4)),VALUE(RIGHT(E1469,2)),1),0))</f>
        <v/>
      </c>
      <c r="J1469">
        <f>VALUE(LEFT(E1469,4))*12+VALUE(RIGHT(E1469,2))-1</f>
        <v/>
      </c>
    </row>
    <row r="1470">
      <c r="A1470" t="inlineStr">
        <is>
          <t>Los Perales</t>
        </is>
      </c>
      <c r="B1470" t="inlineStr">
        <is>
          <t>Golfo San Jorge</t>
        </is>
      </c>
      <c r="C1470" t="inlineStr">
        <is>
          <t>YPF S.A.</t>
        </is>
      </c>
      <c r="D1470" t="inlineStr">
        <is>
          <t>convencional</t>
        </is>
      </c>
      <c r="E1470" t="inlineStr">
        <is>
          <t>2016-12</t>
        </is>
      </c>
      <c r="F1470" t="n">
        <v>60233.8</v>
      </c>
      <c r="G1470" t="n">
        <v>898868.7</v>
      </c>
      <c r="H1470" t="n">
        <v>935243.3</v>
      </c>
      <c r="I1470">
        <f>DAY(EOMONTH(DATE(VALUE(LEFT(E1470,4)),VALUE(RIGHT(E1470,2)),1),0))</f>
        <v/>
      </c>
      <c r="J1470">
        <f>VALUE(LEFT(E1470,4))*12+VALUE(RIGHT(E1470,2))-1</f>
        <v/>
      </c>
    </row>
    <row r="1471">
      <c r="A1471" t="inlineStr">
        <is>
          <t>Los Perales</t>
        </is>
      </c>
      <c r="B1471" t="inlineStr">
        <is>
          <t>Golfo San Jorge</t>
        </is>
      </c>
      <c r="C1471" t="inlineStr">
        <is>
          <t>YPF S.A.</t>
        </is>
      </c>
      <c r="D1471" t="inlineStr">
        <is>
          <t>convencional</t>
        </is>
      </c>
      <c r="E1471" t="inlineStr">
        <is>
          <t>2017-01</t>
        </is>
      </c>
      <c r="F1471" t="n">
        <v>59110.7</v>
      </c>
      <c r="G1471" t="n">
        <v>896113.3</v>
      </c>
      <c r="H1471" t="n">
        <v>962761.4</v>
      </c>
      <c r="I1471">
        <f>DAY(EOMONTH(DATE(VALUE(LEFT(E1471,4)),VALUE(RIGHT(E1471,2)),1),0))</f>
        <v/>
      </c>
      <c r="J1471">
        <f>VALUE(LEFT(E1471,4))*12+VALUE(RIGHT(E1471,2))-1</f>
        <v/>
      </c>
    </row>
    <row r="1472">
      <c r="A1472" t="inlineStr">
        <is>
          <t>Los Perales</t>
        </is>
      </c>
      <c r="B1472" t="inlineStr">
        <is>
          <t>Golfo San Jorge</t>
        </is>
      </c>
      <c r="C1472" t="inlineStr">
        <is>
          <t>YPF S.A.</t>
        </is>
      </c>
      <c r="D1472" t="inlineStr">
        <is>
          <t>convencional</t>
        </is>
      </c>
      <c r="E1472" t="inlineStr">
        <is>
          <t>2017-02</t>
        </is>
      </c>
      <c r="F1472" t="n">
        <v>53786</v>
      </c>
      <c r="G1472" t="n">
        <v>820292</v>
      </c>
      <c r="H1472" t="n">
        <v>880156</v>
      </c>
      <c r="I1472">
        <f>DAY(EOMONTH(DATE(VALUE(LEFT(E1472,4)),VALUE(RIGHT(E1472,2)),1),0))</f>
        <v/>
      </c>
      <c r="J1472">
        <f>VALUE(LEFT(E1472,4))*12+VALUE(RIGHT(E1472,2))-1</f>
        <v/>
      </c>
    </row>
    <row r="1473">
      <c r="A1473" t="inlineStr">
        <is>
          <t>Los Perales</t>
        </is>
      </c>
      <c r="B1473" t="inlineStr">
        <is>
          <t>Golfo San Jorge</t>
        </is>
      </c>
      <c r="C1473" t="inlineStr">
        <is>
          <t>YPF S.A.</t>
        </is>
      </c>
      <c r="D1473" t="inlineStr">
        <is>
          <t>convencional</t>
        </is>
      </c>
      <c r="E1473" t="inlineStr">
        <is>
          <t>2017-03</t>
        </is>
      </c>
      <c r="F1473" t="n">
        <v>58579.1</v>
      </c>
      <c r="G1473" t="n">
        <v>883207.3</v>
      </c>
      <c r="H1473" t="n">
        <v>959063.6</v>
      </c>
      <c r="I1473">
        <f>DAY(EOMONTH(DATE(VALUE(LEFT(E1473,4)),VALUE(RIGHT(E1473,2)),1),0))</f>
        <v/>
      </c>
      <c r="J1473">
        <f>VALUE(LEFT(E1473,4))*12+VALUE(RIGHT(E1473,2))-1</f>
        <v/>
      </c>
    </row>
    <row r="1474">
      <c r="A1474" t="inlineStr">
        <is>
          <t>Los Perales</t>
        </is>
      </c>
      <c r="B1474" t="inlineStr">
        <is>
          <t>Golfo San Jorge</t>
        </is>
      </c>
      <c r="C1474" t="inlineStr">
        <is>
          <t>YPF S.A.</t>
        </is>
      </c>
      <c r="D1474" t="inlineStr">
        <is>
          <t>convencional</t>
        </is>
      </c>
      <c r="E1474" t="inlineStr">
        <is>
          <t>2017-04</t>
        </is>
      </c>
      <c r="F1474" t="n">
        <v>55489.8</v>
      </c>
      <c r="G1474" t="n">
        <v>850476.8</v>
      </c>
      <c r="H1474" t="n">
        <v>893789.9</v>
      </c>
      <c r="I1474">
        <f>DAY(EOMONTH(DATE(VALUE(LEFT(E1474,4)),VALUE(RIGHT(E1474,2)),1),0))</f>
        <v/>
      </c>
      <c r="J1474">
        <f>VALUE(LEFT(E1474,4))*12+VALUE(RIGHT(E1474,2))-1</f>
        <v/>
      </c>
    </row>
    <row r="1475">
      <c r="A1475" t="inlineStr">
        <is>
          <t>Los Perales</t>
        </is>
      </c>
      <c r="B1475" t="inlineStr">
        <is>
          <t>Golfo San Jorge</t>
        </is>
      </c>
      <c r="C1475" t="inlineStr">
        <is>
          <t>YPF S.A.</t>
        </is>
      </c>
      <c r="D1475" t="inlineStr">
        <is>
          <t>convencional</t>
        </is>
      </c>
      <c r="E1475" t="inlineStr">
        <is>
          <t>2017-05</t>
        </is>
      </c>
      <c r="F1475" t="n">
        <v>58279.2</v>
      </c>
      <c r="G1475" t="n">
        <v>873946.9</v>
      </c>
      <c r="H1475" t="n">
        <v>955306.7</v>
      </c>
      <c r="I1475">
        <f>DAY(EOMONTH(DATE(VALUE(LEFT(E1475,4)),VALUE(RIGHT(E1475,2)),1),0))</f>
        <v/>
      </c>
      <c r="J1475">
        <f>VALUE(LEFT(E1475,4))*12+VALUE(RIGHT(E1475,2))-1</f>
        <v/>
      </c>
    </row>
    <row r="1476">
      <c r="A1476" t="inlineStr">
        <is>
          <t>Los Perales</t>
        </is>
      </c>
      <c r="B1476" t="inlineStr">
        <is>
          <t>Golfo San Jorge</t>
        </is>
      </c>
      <c r="C1476" t="inlineStr">
        <is>
          <t>YPF S.A.</t>
        </is>
      </c>
      <c r="D1476" t="inlineStr">
        <is>
          <t>convencional</t>
        </is>
      </c>
      <c r="E1476" t="inlineStr">
        <is>
          <t>2017-06</t>
        </is>
      </c>
      <c r="F1476" t="n">
        <v>54081.2</v>
      </c>
      <c r="G1476" t="n">
        <v>839349.2</v>
      </c>
      <c r="H1476" t="n">
        <v>925673.1</v>
      </c>
      <c r="I1476">
        <f>DAY(EOMONTH(DATE(VALUE(LEFT(E1476,4)),VALUE(RIGHT(E1476,2)),1),0))</f>
        <v/>
      </c>
      <c r="J1476">
        <f>VALUE(LEFT(E1476,4))*12+VALUE(RIGHT(E1476,2))-1</f>
        <v/>
      </c>
    </row>
    <row r="1477">
      <c r="A1477" t="inlineStr">
        <is>
          <t>Los Perales</t>
        </is>
      </c>
      <c r="B1477" t="inlineStr">
        <is>
          <t>Golfo San Jorge</t>
        </is>
      </c>
      <c r="C1477" t="inlineStr">
        <is>
          <t>YPF S.A.</t>
        </is>
      </c>
      <c r="D1477" t="inlineStr">
        <is>
          <t>convencional</t>
        </is>
      </c>
      <c r="E1477" t="inlineStr">
        <is>
          <t>2017-07</t>
        </is>
      </c>
      <c r="F1477" t="n">
        <v>55266</v>
      </c>
      <c r="G1477" t="n">
        <v>901609.7</v>
      </c>
      <c r="H1477" t="n">
        <v>932150.2</v>
      </c>
      <c r="I1477">
        <f>DAY(EOMONTH(DATE(VALUE(LEFT(E1477,4)),VALUE(RIGHT(E1477,2)),1),0))</f>
        <v/>
      </c>
      <c r="J1477">
        <f>VALUE(LEFT(E1477,4))*12+VALUE(RIGHT(E1477,2))-1</f>
        <v/>
      </c>
    </row>
    <row r="1478">
      <c r="A1478" t="inlineStr">
        <is>
          <t>Los Perales</t>
        </is>
      </c>
      <c r="B1478" t="inlineStr">
        <is>
          <t>Golfo San Jorge</t>
        </is>
      </c>
      <c r="C1478" t="inlineStr">
        <is>
          <t>YPF S.A.</t>
        </is>
      </c>
      <c r="D1478" t="inlineStr">
        <is>
          <t>convencional</t>
        </is>
      </c>
      <c r="E1478" t="inlineStr">
        <is>
          <t>2017-08</t>
        </is>
      </c>
      <c r="F1478" t="n">
        <v>54491</v>
      </c>
      <c r="G1478" t="n">
        <v>884735.4</v>
      </c>
      <c r="H1478" t="n">
        <v>904654.9</v>
      </c>
      <c r="I1478">
        <f>DAY(EOMONTH(DATE(VALUE(LEFT(E1478,4)),VALUE(RIGHT(E1478,2)),1),0))</f>
        <v/>
      </c>
      <c r="J1478">
        <f>VALUE(LEFT(E1478,4))*12+VALUE(RIGHT(E1478,2))-1</f>
        <v/>
      </c>
    </row>
    <row r="1479">
      <c r="A1479" t="inlineStr">
        <is>
          <t>Los Perales</t>
        </is>
      </c>
      <c r="B1479" t="inlineStr">
        <is>
          <t>Golfo San Jorge</t>
        </is>
      </c>
      <c r="C1479" t="inlineStr">
        <is>
          <t>YPF S.A.</t>
        </is>
      </c>
      <c r="D1479" t="inlineStr">
        <is>
          <t>convencional</t>
        </is>
      </c>
      <c r="E1479" t="inlineStr">
        <is>
          <t>2017-09</t>
        </is>
      </c>
      <c r="F1479" t="n">
        <v>54121.9</v>
      </c>
      <c r="G1479" t="n">
        <v>825306.2</v>
      </c>
      <c r="H1479" t="n">
        <v>877686.9</v>
      </c>
      <c r="I1479">
        <f>DAY(EOMONTH(DATE(VALUE(LEFT(E1479,4)),VALUE(RIGHT(E1479,2)),1),0))</f>
        <v/>
      </c>
      <c r="J1479">
        <f>VALUE(LEFT(E1479,4))*12+VALUE(RIGHT(E1479,2))-1</f>
        <v/>
      </c>
    </row>
    <row r="1480">
      <c r="A1480" t="inlineStr">
        <is>
          <t>Los Perales</t>
        </is>
      </c>
      <c r="B1480" t="inlineStr">
        <is>
          <t>Golfo San Jorge</t>
        </is>
      </c>
      <c r="C1480" t="inlineStr">
        <is>
          <t>YPF S.A.</t>
        </is>
      </c>
      <c r="D1480" t="inlineStr">
        <is>
          <t>convencional</t>
        </is>
      </c>
      <c r="E1480" t="inlineStr">
        <is>
          <t>2017-10</t>
        </is>
      </c>
      <c r="F1480" t="n">
        <v>56344.8</v>
      </c>
      <c r="G1480" t="n">
        <v>864381.2</v>
      </c>
      <c r="H1480" t="n">
        <v>899812.9</v>
      </c>
      <c r="I1480">
        <f>DAY(EOMONTH(DATE(VALUE(LEFT(E1480,4)),VALUE(RIGHT(E1480,2)),1),0))</f>
        <v/>
      </c>
      <c r="J1480">
        <f>VALUE(LEFT(E1480,4))*12+VALUE(RIGHT(E1480,2))-1</f>
        <v/>
      </c>
    </row>
    <row r="1481">
      <c r="A1481" t="inlineStr">
        <is>
          <t>Los Perales</t>
        </is>
      </c>
      <c r="B1481" t="inlineStr">
        <is>
          <t>Golfo San Jorge</t>
        </is>
      </c>
      <c r="C1481" t="inlineStr">
        <is>
          <t>YPF S.A.</t>
        </is>
      </c>
      <c r="D1481" t="inlineStr">
        <is>
          <t>convencional</t>
        </is>
      </c>
      <c r="E1481" t="inlineStr">
        <is>
          <t>2017-11</t>
        </is>
      </c>
      <c r="F1481" t="n">
        <v>55457</v>
      </c>
      <c r="G1481" t="n">
        <v>813914.1</v>
      </c>
      <c r="H1481" t="n">
        <v>863888.8</v>
      </c>
      <c r="I1481">
        <f>DAY(EOMONTH(DATE(VALUE(LEFT(E1481,4)),VALUE(RIGHT(E1481,2)),1),0))</f>
        <v/>
      </c>
      <c r="J1481">
        <f>VALUE(LEFT(E1481,4))*12+VALUE(RIGHT(E1481,2))-1</f>
        <v/>
      </c>
    </row>
    <row r="1482">
      <c r="A1482" t="inlineStr">
        <is>
          <t>Los Perales</t>
        </is>
      </c>
      <c r="B1482" t="inlineStr">
        <is>
          <t>Golfo San Jorge</t>
        </is>
      </c>
      <c r="C1482" t="inlineStr">
        <is>
          <t>YPF S.A.</t>
        </is>
      </c>
      <c r="D1482" t="inlineStr">
        <is>
          <t>convencional</t>
        </is>
      </c>
      <c r="E1482" t="inlineStr">
        <is>
          <t>2017-12</t>
        </is>
      </c>
      <c r="F1482" t="n">
        <v>56880.6</v>
      </c>
      <c r="G1482" t="n">
        <v>856376.4</v>
      </c>
      <c r="H1482" t="n">
        <v>926472.6</v>
      </c>
      <c r="I1482">
        <f>DAY(EOMONTH(DATE(VALUE(LEFT(E1482,4)),VALUE(RIGHT(E1482,2)),1),0))</f>
        <v/>
      </c>
      <c r="J1482">
        <f>VALUE(LEFT(E1482,4))*12+VALUE(RIGHT(E1482,2))-1</f>
        <v/>
      </c>
    </row>
    <row r="1483">
      <c r="A1483" t="inlineStr">
        <is>
          <t>Los Perales</t>
        </is>
      </c>
      <c r="B1483" t="inlineStr">
        <is>
          <t>Golfo San Jorge</t>
        </is>
      </c>
      <c r="C1483" t="inlineStr">
        <is>
          <t>YPF S.A.</t>
        </is>
      </c>
      <c r="D1483" t="inlineStr">
        <is>
          <t>convencional</t>
        </is>
      </c>
      <c r="E1483" t="inlineStr">
        <is>
          <t>2018-01</t>
        </is>
      </c>
      <c r="F1483" t="n">
        <v>55024</v>
      </c>
      <c r="G1483" t="n">
        <v>849019.1</v>
      </c>
      <c r="H1483" t="n">
        <v>928821.9</v>
      </c>
      <c r="I1483">
        <f>DAY(EOMONTH(DATE(VALUE(LEFT(E1483,4)),VALUE(RIGHT(E1483,2)),1),0))</f>
        <v/>
      </c>
      <c r="J1483">
        <f>VALUE(LEFT(E1483,4))*12+VALUE(RIGHT(E1483,2))-1</f>
        <v/>
      </c>
    </row>
    <row r="1484">
      <c r="A1484" t="inlineStr">
        <is>
          <t>Los Perales</t>
        </is>
      </c>
      <c r="B1484" t="inlineStr">
        <is>
          <t>Golfo San Jorge</t>
        </is>
      </c>
      <c r="C1484" t="inlineStr">
        <is>
          <t>YPF S.A.</t>
        </is>
      </c>
      <c r="D1484" t="inlineStr">
        <is>
          <t>convencional</t>
        </is>
      </c>
      <c r="E1484" t="inlineStr">
        <is>
          <t>2018-02</t>
        </is>
      </c>
      <c r="F1484" t="n">
        <v>49324.7</v>
      </c>
      <c r="G1484" t="n">
        <v>785807.5</v>
      </c>
      <c r="H1484" t="n">
        <v>831277.5</v>
      </c>
      <c r="I1484">
        <f>DAY(EOMONTH(DATE(VALUE(LEFT(E1484,4)),VALUE(RIGHT(E1484,2)),1),0))</f>
        <v/>
      </c>
      <c r="J1484">
        <f>VALUE(LEFT(E1484,4))*12+VALUE(RIGHT(E1484,2))-1</f>
        <v/>
      </c>
    </row>
    <row r="1485">
      <c r="A1485" t="inlineStr">
        <is>
          <t>Los Perales</t>
        </is>
      </c>
      <c r="B1485" t="inlineStr">
        <is>
          <t>Golfo San Jorge</t>
        </is>
      </c>
      <c r="C1485" t="inlineStr">
        <is>
          <t>YPF S.A.</t>
        </is>
      </c>
      <c r="D1485" t="inlineStr">
        <is>
          <t>convencional</t>
        </is>
      </c>
      <c r="E1485" t="inlineStr">
        <is>
          <t>2018-03</t>
        </is>
      </c>
      <c r="F1485" t="n">
        <v>55029.4</v>
      </c>
      <c r="G1485" t="n">
        <v>846918.9</v>
      </c>
      <c r="H1485" t="n">
        <v>889553.7</v>
      </c>
      <c r="I1485">
        <f>DAY(EOMONTH(DATE(VALUE(LEFT(E1485,4)),VALUE(RIGHT(E1485,2)),1),0))</f>
        <v/>
      </c>
      <c r="J1485">
        <f>VALUE(LEFT(E1485,4))*12+VALUE(RIGHT(E1485,2))-1</f>
        <v/>
      </c>
    </row>
    <row r="1486">
      <c r="A1486" t="inlineStr">
        <is>
          <t>Los Perales</t>
        </is>
      </c>
      <c r="B1486" t="inlineStr">
        <is>
          <t>Golfo San Jorge</t>
        </is>
      </c>
      <c r="C1486" t="inlineStr">
        <is>
          <t>YPF S.A.</t>
        </is>
      </c>
      <c r="D1486" t="inlineStr">
        <is>
          <t>convencional</t>
        </is>
      </c>
      <c r="E1486" t="inlineStr">
        <is>
          <t>2018-04</t>
        </is>
      </c>
      <c r="F1486" t="n">
        <v>52449</v>
      </c>
      <c r="G1486" t="n">
        <v>796883.3</v>
      </c>
      <c r="H1486" t="n">
        <v>859800.4</v>
      </c>
      <c r="I1486">
        <f>DAY(EOMONTH(DATE(VALUE(LEFT(E1486,4)),VALUE(RIGHT(E1486,2)),1),0))</f>
        <v/>
      </c>
      <c r="J1486">
        <f>VALUE(LEFT(E1486,4))*12+VALUE(RIGHT(E1486,2))-1</f>
        <v/>
      </c>
    </row>
    <row r="1487">
      <c r="A1487" t="inlineStr">
        <is>
          <t>Los Perales</t>
        </is>
      </c>
      <c r="B1487" t="inlineStr">
        <is>
          <t>Golfo San Jorge</t>
        </is>
      </c>
      <c r="C1487" t="inlineStr">
        <is>
          <t>YPF S.A.</t>
        </is>
      </c>
      <c r="D1487" t="inlineStr">
        <is>
          <t>convencional</t>
        </is>
      </c>
      <c r="E1487" t="inlineStr">
        <is>
          <t>2018-05</t>
        </is>
      </c>
      <c r="F1487" t="n">
        <v>53098.2</v>
      </c>
      <c r="G1487" t="n">
        <v>832487.8</v>
      </c>
      <c r="H1487" t="n">
        <v>899006.3</v>
      </c>
      <c r="I1487">
        <f>DAY(EOMONTH(DATE(VALUE(LEFT(E1487,4)),VALUE(RIGHT(E1487,2)),1),0))</f>
        <v/>
      </c>
      <c r="J1487">
        <f>VALUE(LEFT(E1487,4))*12+VALUE(RIGHT(E1487,2))-1</f>
        <v/>
      </c>
    </row>
    <row r="1488">
      <c r="A1488" t="inlineStr">
        <is>
          <t>Los Perales</t>
        </is>
      </c>
      <c r="B1488" t="inlineStr">
        <is>
          <t>Golfo San Jorge</t>
        </is>
      </c>
      <c r="C1488" t="inlineStr">
        <is>
          <t>YPF S.A.</t>
        </is>
      </c>
      <c r="D1488" t="inlineStr">
        <is>
          <t>convencional</t>
        </is>
      </c>
      <c r="E1488" t="inlineStr">
        <is>
          <t>2018-06</t>
        </is>
      </c>
      <c r="F1488" t="n">
        <v>50175.6</v>
      </c>
      <c r="G1488" t="n">
        <v>794227.5</v>
      </c>
      <c r="H1488" t="n">
        <v>867662.5</v>
      </c>
      <c r="I1488">
        <f>DAY(EOMONTH(DATE(VALUE(LEFT(E1488,4)),VALUE(RIGHT(E1488,2)),1),0))</f>
        <v/>
      </c>
      <c r="J1488">
        <f>VALUE(LEFT(E1488,4))*12+VALUE(RIGHT(E1488,2))-1</f>
        <v/>
      </c>
    </row>
    <row r="1489">
      <c r="A1489" t="inlineStr">
        <is>
          <t>Los Perales</t>
        </is>
      </c>
      <c r="B1489" t="inlineStr">
        <is>
          <t>Golfo San Jorge</t>
        </is>
      </c>
      <c r="C1489" t="inlineStr">
        <is>
          <t>YPF S.A.</t>
        </is>
      </c>
      <c r="D1489" t="inlineStr">
        <is>
          <t>convencional</t>
        </is>
      </c>
      <c r="E1489" t="inlineStr">
        <is>
          <t>2018-07</t>
        </is>
      </c>
      <c r="F1489" t="n">
        <v>50119.1</v>
      </c>
      <c r="G1489" t="n">
        <v>819462.6</v>
      </c>
      <c r="H1489" t="n">
        <v>849893.7</v>
      </c>
      <c r="I1489">
        <f>DAY(EOMONTH(DATE(VALUE(LEFT(E1489,4)),VALUE(RIGHT(E1489,2)),1),0))</f>
        <v/>
      </c>
      <c r="J1489">
        <f>VALUE(LEFT(E1489,4))*12+VALUE(RIGHT(E1489,2))-1</f>
        <v/>
      </c>
    </row>
    <row r="1490">
      <c r="A1490" t="inlineStr">
        <is>
          <t>Los Perales</t>
        </is>
      </c>
      <c r="B1490" t="inlineStr">
        <is>
          <t>Golfo San Jorge</t>
        </is>
      </c>
      <c r="C1490" t="inlineStr">
        <is>
          <t>YPF S.A.</t>
        </is>
      </c>
      <c r="D1490" t="inlineStr">
        <is>
          <t>convencional</t>
        </is>
      </c>
      <c r="E1490" t="inlineStr">
        <is>
          <t>2018-08</t>
        </is>
      </c>
      <c r="F1490" t="n">
        <v>50268.3</v>
      </c>
      <c r="G1490" t="n">
        <v>844965</v>
      </c>
      <c r="H1490" t="n">
        <v>879208</v>
      </c>
      <c r="I1490">
        <f>DAY(EOMONTH(DATE(VALUE(LEFT(E1490,4)),VALUE(RIGHT(E1490,2)),1),0))</f>
        <v/>
      </c>
      <c r="J1490">
        <f>VALUE(LEFT(E1490,4))*12+VALUE(RIGHT(E1490,2))-1</f>
        <v/>
      </c>
    </row>
    <row r="1491">
      <c r="A1491" t="inlineStr">
        <is>
          <t>Los Perales</t>
        </is>
      </c>
      <c r="B1491" t="inlineStr">
        <is>
          <t>Golfo San Jorge</t>
        </is>
      </c>
      <c r="C1491" t="inlineStr">
        <is>
          <t>YPF S.A.</t>
        </is>
      </c>
      <c r="D1491" t="inlineStr">
        <is>
          <t>convencional</t>
        </is>
      </c>
      <c r="E1491" t="inlineStr">
        <is>
          <t>2018-09</t>
        </is>
      </c>
      <c r="F1491" t="n">
        <v>49698.4</v>
      </c>
      <c r="G1491" t="n">
        <v>816445.3</v>
      </c>
      <c r="H1491" t="n">
        <v>844524.6</v>
      </c>
      <c r="I1491">
        <f>DAY(EOMONTH(DATE(VALUE(LEFT(E1491,4)),VALUE(RIGHT(E1491,2)),1),0))</f>
        <v/>
      </c>
      <c r="J1491">
        <f>VALUE(LEFT(E1491,4))*12+VALUE(RIGHT(E1491,2))-1</f>
        <v/>
      </c>
    </row>
    <row r="1492">
      <c r="A1492" t="inlineStr">
        <is>
          <t>Los Perales</t>
        </is>
      </c>
      <c r="B1492" t="inlineStr">
        <is>
          <t>Golfo San Jorge</t>
        </is>
      </c>
      <c r="C1492" t="inlineStr">
        <is>
          <t>YPF S.A.</t>
        </is>
      </c>
      <c r="D1492" t="inlineStr">
        <is>
          <t>convencional</t>
        </is>
      </c>
      <c r="E1492" t="inlineStr">
        <is>
          <t>2018-10</t>
        </is>
      </c>
      <c r="F1492" t="n">
        <v>50584.3</v>
      </c>
      <c r="G1492" t="n">
        <v>853800.2</v>
      </c>
      <c r="H1492" t="n">
        <v>873150.6</v>
      </c>
      <c r="I1492">
        <f>DAY(EOMONTH(DATE(VALUE(LEFT(E1492,4)),VALUE(RIGHT(E1492,2)),1),0))</f>
        <v/>
      </c>
      <c r="J1492">
        <f>VALUE(LEFT(E1492,4))*12+VALUE(RIGHT(E1492,2))-1</f>
        <v/>
      </c>
    </row>
    <row r="1493">
      <c r="A1493" t="inlineStr">
        <is>
          <t>Los Perales</t>
        </is>
      </c>
      <c r="B1493" t="inlineStr">
        <is>
          <t>Golfo San Jorge</t>
        </is>
      </c>
      <c r="C1493" t="inlineStr">
        <is>
          <t>YPF S.A.</t>
        </is>
      </c>
      <c r="D1493" t="inlineStr">
        <is>
          <t>convencional</t>
        </is>
      </c>
      <c r="E1493" t="inlineStr">
        <is>
          <t>2018-11</t>
        </is>
      </c>
      <c r="F1493" t="n">
        <v>49371.1</v>
      </c>
      <c r="G1493" t="n">
        <v>840160.6</v>
      </c>
      <c r="H1493" t="n">
        <v>857135.8</v>
      </c>
      <c r="I1493">
        <f>DAY(EOMONTH(DATE(VALUE(LEFT(E1493,4)),VALUE(RIGHT(E1493,2)),1),0))</f>
        <v/>
      </c>
      <c r="J1493">
        <f>VALUE(LEFT(E1493,4))*12+VALUE(RIGHT(E1493,2))-1</f>
        <v/>
      </c>
    </row>
    <row r="1494">
      <c r="A1494" t="inlineStr">
        <is>
          <t>Los Perales</t>
        </is>
      </c>
      <c r="B1494" t="inlineStr">
        <is>
          <t>Golfo San Jorge</t>
        </is>
      </c>
      <c r="C1494" t="inlineStr">
        <is>
          <t>YPF S.A.</t>
        </is>
      </c>
      <c r="D1494" t="inlineStr">
        <is>
          <t>convencional</t>
        </is>
      </c>
      <c r="E1494" t="inlineStr">
        <is>
          <t>2018-12</t>
        </is>
      </c>
      <c r="F1494" t="n">
        <v>50416.9</v>
      </c>
      <c r="G1494" t="n">
        <v>877164.5</v>
      </c>
      <c r="H1494" t="n">
        <v>910660.8</v>
      </c>
      <c r="I1494">
        <f>DAY(EOMONTH(DATE(VALUE(LEFT(E1494,4)),VALUE(RIGHT(E1494,2)),1),0))</f>
        <v/>
      </c>
      <c r="J1494">
        <f>VALUE(LEFT(E1494,4))*12+VALUE(RIGHT(E1494,2))-1</f>
        <v/>
      </c>
    </row>
    <row r="1495">
      <c r="A1495" t="inlineStr">
        <is>
          <t>Los Perales</t>
        </is>
      </c>
      <c r="B1495" t="inlineStr">
        <is>
          <t>Golfo San Jorge</t>
        </is>
      </c>
      <c r="C1495" t="inlineStr">
        <is>
          <t>YPF S.A.</t>
        </is>
      </c>
      <c r="D1495" t="inlineStr">
        <is>
          <t>convencional</t>
        </is>
      </c>
      <c r="E1495" t="inlineStr">
        <is>
          <t>2019-01</t>
        </is>
      </c>
      <c r="F1495" t="n">
        <v>50044.6</v>
      </c>
      <c r="G1495" t="n">
        <v>874270.8</v>
      </c>
      <c r="H1495" t="n">
        <v>915471.3</v>
      </c>
      <c r="I1495">
        <f>DAY(EOMONTH(DATE(VALUE(LEFT(E1495,4)),VALUE(RIGHT(E1495,2)),1),0))</f>
        <v/>
      </c>
      <c r="J1495">
        <f>VALUE(LEFT(E1495,4))*12+VALUE(RIGHT(E1495,2))-1</f>
        <v/>
      </c>
    </row>
    <row r="1496">
      <c r="A1496" t="inlineStr">
        <is>
          <t>Los Perales</t>
        </is>
      </c>
      <c r="B1496" t="inlineStr">
        <is>
          <t>Golfo San Jorge</t>
        </is>
      </c>
      <c r="C1496" t="inlineStr">
        <is>
          <t>YPF S.A.</t>
        </is>
      </c>
      <c r="D1496" t="inlineStr">
        <is>
          <t>convencional</t>
        </is>
      </c>
      <c r="E1496" t="inlineStr">
        <is>
          <t>2019-02</t>
        </is>
      </c>
      <c r="F1496" t="n">
        <v>45421.9</v>
      </c>
      <c r="G1496" t="n">
        <v>793324.9</v>
      </c>
      <c r="H1496" t="n">
        <v>846709</v>
      </c>
      <c r="I1496">
        <f>DAY(EOMONTH(DATE(VALUE(LEFT(E1496,4)),VALUE(RIGHT(E1496,2)),1),0))</f>
        <v/>
      </c>
      <c r="J1496">
        <f>VALUE(LEFT(E1496,4))*12+VALUE(RIGHT(E1496,2))-1</f>
        <v/>
      </c>
    </row>
    <row r="1497">
      <c r="A1497" t="inlineStr">
        <is>
          <t>Los Perales</t>
        </is>
      </c>
      <c r="B1497" t="inlineStr">
        <is>
          <t>Golfo San Jorge</t>
        </is>
      </c>
      <c r="C1497" t="inlineStr">
        <is>
          <t>YPF S.A.</t>
        </is>
      </c>
      <c r="D1497" t="inlineStr">
        <is>
          <t>convencional</t>
        </is>
      </c>
      <c r="E1497" t="inlineStr">
        <is>
          <t>2019-03</t>
        </is>
      </c>
      <c r="F1497" t="n">
        <v>50351.6</v>
      </c>
      <c r="G1497" t="n">
        <v>865374.1</v>
      </c>
      <c r="H1497" t="n">
        <v>930549.1</v>
      </c>
      <c r="I1497">
        <f>DAY(EOMONTH(DATE(VALUE(LEFT(E1497,4)),VALUE(RIGHT(E1497,2)),1),0))</f>
        <v/>
      </c>
      <c r="J1497">
        <f>VALUE(LEFT(E1497,4))*12+VALUE(RIGHT(E1497,2))-1</f>
        <v/>
      </c>
    </row>
    <row r="1498">
      <c r="A1498" t="inlineStr">
        <is>
          <t>Los Perales</t>
        </is>
      </c>
      <c r="B1498" t="inlineStr">
        <is>
          <t>Golfo San Jorge</t>
        </is>
      </c>
      <c r="C1498" t="inlineStr">
        <is>
          <t>YPF S.A.</t>
        </is>
      </c>
      <c r="D1498" t="inlineStr">
        <is>
          <t>convencional</t>
        </is>
      </c>
      <c r="E1498" t="inlineStr">
        <is>
          <t>2019-04</t>
        </is>
      </c>
      <c r="F1498" t="n">
        <v>48538.6</v>
      </c>
      <c r="G1498" t="n">
        <v>810713.9</v>
      </c>
      <c r="H1498" t="n">
        <v>878750.3</v>
      </c>
      <c r="I1498">
        <f>DAY(EOMONTH(DATE(VALUE(LEFT(E1498,4)),VALUE(RIGHT(E1498,2)),1),0))</f>
        <v/>
      </c>
      <c r="J1498">
        <f>VALUE(LEFT(E1498,4))*12+VALUE(RIGHT(E1498,2))-1</f>
        <v/>
      </c>
    </row>
    <row r="1499">
      <c r="A1499" t="inlineStr">
        <is>
          <t>Los Perales</t>
        </is>
      </c>
      <c r="B1499" t="inlineStr">
        <is>
          <t>Golfo San Jorge</t>
        </is>
      </c>
      <c r="C1499" t="inlineStr">
        <is>
          <t>YPF S.A.</t>
        </is>
      </c>
      <c r="D1499" t="inlineStr">
        <is>
          <t>convencional</t>
        </is>
      </c>
      <c r="E1499" t="inlineStr">
        <is>
          <t>2019-05</t>
        </is>
      </c>
      <c r="F1499" t="n">
        <v>48416.6</v>
      </c>
      <c r="G1499" t="n">
        <v>837061.6</v>
      </c>
      <c r="H1499" t="n">
        <v>909706.4</v>
      </c>
      <c r="I1499">
        <f>DAY(EOMONTH(DATE(VALUE(LEFT(E1499,4)),VALUE(RIGHT(E1499,2)),1),0))</f>
        <v/>
      </c>
      <c r="J1499">
        <f>VALUE(LEFT(E1499,4))*12+VALUE(RIGHT(E1499,2))-1</f>
        <v/>
      </c>
    </row>
    <row r="1500">
      <c r="A1500" t="inlineStr">
        <is>
          <t>Los Perales</t>
        </is>
      </c>
      <c r="B1500" t="inlineStr">
        <is>
          <t>Golfo San Jorge</t>
        </is>
      </c>
      <c r="C1500" t="inlineStr">
        <is>
          <t>YPF S.A.</t>
        </is>
      </c>
      <c r="D1500" t="inlineStr">
        <is>
          <t>convencional</t>
        </is>
      </c>
      <c r="E1500" t="inlineStr">
        <is>
          <t>2019-06</t>
        </is>
      </c>
      <c r="F1500" t="n">
        <v>47562.3</v>
      </c>
      <c r="G1500" t="n">
        <v>811421</v>
      </c>
      <c r="H1500" t="n">
        <v>878427.2</v>
      </c>
      <c r="I1500">
        <f>DAY(EOMONTH(DATE(VALUE(LEFT(E1500,4)),VALUE(RIGHT(E1500,2)),1),0))</f>
        <v/>
      </c>
      <c r="J1500">
        <f>VALUE(LEFT(E1500,4))*12+VALUE(RIGHT(E1500,2))-1</f>
        <v/>
      </c>
    </row>
    <row r="1501">
      <c r="A1501" t="inlineStr">
        <is>
          <t>Los Perales</t>
        </is>
      </c>
      <c r="B1501" t="inlineStr">
        <is>
          <t>Golfo San Jorge</t>
        </is>
      </c>
      <c r="C1501" t="inlineStr">
        <is>
          <t>YPF S.A.</t>
        </is>
      </c>
      <c r="D1501" t="inlineStr">
        <is>
          <t>convencional</t>
        </is>
      </c>
      <c r="E1501" t="inlineStr">
        <is>
          <t>2019-07</t>
        </is>
      </c>
      <c r="F1501" t="n">
        <v>48380.9</v>
      </c>
      <c r="G1501" t="n">
        <v>865086.7</v>
      </c>
      <c r="H1501" t="n">
        <v>924486.8</v>
      </c>
      <c r="I1501">
        <f>DAY(EOMONTH(DATE(VALUE(LEFT(E1501,4)),VALUE(RIGHT(E1501,2)),1),0))</f>
        <v/>
      </c>
      <c r="J1501">
        <f>VALUE(LEFT(E1501,4))*12+VALUE(RIGHT(E1501,2))-1</f>
        <v/>
      </c>
    </row>
    <row r="1502">
      <c r="A1502" t="inlineStr">
        <is>
          <t>Los Perales</t>
        </is>
      </c>
      <c r="B1502" t="inlineStr">
        <is>
          <t>Golfo San Jorge</t>
        </is>
      </c>
      <c r="C1502" t="inlineStr">
        <is>
          <t>YPF S.A.</t>
        </is>
      </c>
      <c r="D1502" t="inlineStr">
        <is>
          <t>convencional</t>
        </is>
      </c>
      <c r="E1502" t="inlineStr">
        <is>
          <t>2019-08</t>
        </is>
      </c>
      <c r="F1502" t="n">
        <v>49747.9</v>
      </c>
      <c r="G1502" t="n">
        <v>876903.5</v>
      </c>
      <c r="H1502" t="n">
        <v>930289.2</v>
      </c>
      <c r="I1502">
        <f>DAY(EOMONTH(DATE(VALUE(LEFT(E1502,4)),VALUE(RIGHT(E1502,2)),1),0))</f>
        <v/>
      </c>
      <c r="J1502">
        <f>VALUE(LEFT(E1502,4))*12+VALUE(RIGHT(E1502,2))-1</f>
        <v/>
      </c>
    </row>
    <row r="1503">
      <c r="A1503" t="inlineStr">
        <is>
          <t>Los Perales</t>
        </is>
      </c>
      <c r="B1503" t="inlineStr">
        <is>
          <t>Golfo San Jorge</t>
        </is>
      </c>
      <c r="C1503" t="inlineStr">
        <is>
          <t>YPF S.A.</t>
        </is>
      </c>
      <c r="D1503" t="inlineStr">
        <is>
          <t>convencional</t>
        </is>
      </c>
      <c r="E1503" t="inlineStr">
        <is>
          <t>2019-09</t>
        </is>
      </c>
      <c r="F1503" t="n">
        <v>48145.3</v>
      </c>
      <c r="G1503" t="n">
        <v>851997</v>
      </c>
      <c r="H1503" t="n">
        <v>881620.6</v>
      </c>
      <c r="I1503">
        <f>DAY(EOMONTH(DATE(VALUE(LEFT(E1503,4)),VALUE(RIGHT(E1503,2)),1),0))</f>
        <v/>
      </c>
      <c r="J1503">
        <f>VALUE(LEFT(E1503,4))*12+VALUE(RIGHT(E1503,2))-1</f>
        <v/>
      </c>
    </row>
    <row r="1504">
      <c r="A1504" t="inlineStr">
        <is>
          <t>Los Perales</t>
        </is>
      </c>
      <c r="B1504" t="inlineStr">
        <is>
          <t>Golfo San Jorge</t>
        </is>
      </c>
      <c r="C1504" t="inlineStr">
        <is>
          <t>YPF S.A.</t>
        </is>
      </c>
      <c r="D1504" t="inlineStr">
        <is>
          <t>convencional</t>
        </is>
      </c>
      <c r="E1504" t="inlineStr">
        <is>
          <t>2019-10</t>
        </is>
      </c>
      <c r="F1504" t="n">
        <v>48659.3</v>
      </c>
      <c r="G1504" t="n">
        <v>865648.7</v>
      </c>
      <c r="H1504" t="n">
        <v>847997.6</v>
      </c>
      <c r="I1504">
        <f>DAY(EOMONTH(DATE(VALUE(LEFT(E1504,4)),VALUE(RIGHT(E1504,2)),1),0))</f>
        <v/>
      </c>
      <c r="J1504">
        <f>VALUE(LEFT(E1504,4))*12+VALUE(RIGHT(E1504,2))-1</f>
        <v/>
      </c>
    </row>
    <row r="1505">
      <c r="A1505" t="inlineStr">
        <is>
          <t>Los Perales</t>
        </is>
      </c>
      <c r="B1505" t="inlineStr">
        <is>
          <t>Golfo San Jorge</t>
        </is>
      </c>
      <c r="C1505" t="inlineStr">
        <is>
          <t>YPF S.A.</t>
        </is>
      </c>
      <c r="D1505" t="inlineStr">
        <is>
          <t>convencional</t>
        </is>
      </c>
      <c r="E1505" t="inlineStr">
        <is>
          <t>2019-11</t>
        </is>
      </c>
      <c r="F1505" t="n">
        <v>45598.5</v>
      </c>
      <c r="G1505" t="n">
        <v>809289.1</v>
      </c>
      <c r="H1505" t="n">
        <v>824965.3</v>
      </c>
      <c r="I1505">
        <f>DAY(EOMONTH(DATE(VALUE(LEFT(E1505,4)),VALUE(RIGHT(E1505,2)),1),0))</f>
        <v/>
      </c>
      <c r="J1505">
        <f>VALUE(LEFT(E1505,4))*12+VALUE(RIGHT(E1505,2))-1</f>
        <v/>
      </c>
    </row>
    <row r="1506">
      <c r="A1506" t="inlineStr">
        <is>
          <t>Los Perales</t>
        </is>
      </c>
      <c r="B1506" t="inlineStr">
        <is>
          <t>Golfo San Jorge</t>
        </is>
      </c>
      <c r="C1506" t="inlineStr">
        <is>
          <t>YPF S.A.</t>
        </is>
      </c>
      <c r="D1506" t="inlineStr">
        <is>
          <t>convencional</t>
        </is>
      </c>
      <c r="E1506" t="inlineStr">
        <is>
          <t>2019-12</t>
        </is>
      </c>
      <c r="F1506" t="n">
        <v>46554.1</v>
      </c>
      <c r="G1506" t="n">
        <v>833108.5</v>
      </c>
      <c r="H1506" t="n">
        <v>853996.9</v>
      </c>
      <c r="I1506">
        <f>DAY(EOMONTH(DATE(VALUE(LEFT(E1506,4)),VALUE(RIGHT(E1506,2)),1),0))</f>
        <v/>
      </c>
      <c r="J1506">
        <f>VALUE(LEFT(E1506,4))*12+VALUE(RIGHT(E1506,2))-1</f>
        <v/>
      </c>
    </row>
    <row r="1507">
      <c r="A1507" t="inlineStr">
        <is>
          <t>Los Perales</t>
        </is>
      </c>
      <c r="B1507" t="inlineStr">
        <is>
          <t>Golfo San Jorge</t>
        </is>
      </c>
      <c r="C1507" t="inlineStr">
        <is>
          <t>YPF S.A.</t>
        </is>
      </c>
      <c r="D1507" t="inlineStr">
        <is>
          <t>convencional</t>
        </is>
      </c>
      <c r="E1507" t="inlineStr">
        <is>
          <t>2020-01</t>
        </is>
      </c>
      <c r="F1507" t="n">
        <v>46129.5</v>
      </c>
      <c r="G1507" t="n">
        <v>842916.3</v>
      </c>
      <c r="H1507" t="n">
        <v>848880.3</v>
      </c>
      <c r="I1507">
        <f>DAY(EOMONTH(DATE(VALUE(LEFT(E1507,4)),VALUE(RIGHT(E1507,2)),1),0))</f>
        <v/>
      </c>
      <c r="J1507">
        <f>VALUE(LEFT(E1507,4))*12+VALUE(RIGHT(E1507,2))-1</f>
        <v/>
      </c>
    </row>
    <row r="1508">
      <c r="A1508" t="inlineStr">
        <is>
          <t>Los Perales</t>
        </is>
      </c>
      <c r="B1508" t="inlineStr">
        <is>
          <t>Golfo San Jorge</t>
        </is>
      </c>
      <c r="C1508" t="inlineStr">
        <is>
          <t>YPF S.A.</t>
        </is>
      </c>
      <c r="D1508" t="inlineStr">
        <is>
          <t>convencional</t>
        </is>
      </c>
      <c r="E1508" t="inlineStr">
        <is>
          <t>2020-02</t>
        </is>
      </c>
      <c r="F1508" t="n">
        <v>42992.2</v>
      </c>
      <c r="G1508" t="n">
        <v>776757.3</v>
      </c>
      <c r="H1508" t="n">
        <v>801265.3</v>
      </c>
      <c r="I1508">
        <f>DAY(EOMONTH(DATE(VALUE(LEFT(E1508,4)),VALUE(RIGHT(E1508,2)),1),0))</f>
        <v/>
      </c>
      <c r="J1508">
        <f>VALUE(LEFT(E1508,4))*12+VALUE(RIGHT(E1508,2))-1</f>
        <v/>
      </c>
    </row>
    <row r="1509">
      <c r="A1509" t="inlineStr">
        <is>
          <t>Los Perales</t>
        </is>
      </c>
      <c r="B1509" t="inlineStr">
        <is>
          <t>Golfo San Jorge</t>
        </is>
      </c>
      <c r="C1509" t="inlineStr">
        <is>
          <t>YPF S.A.</t>
        </is>
      </c>
      <c r="D1509" t="inlineStr">
        <is>
          <t>convencional</t>
        </is>
      </c>
      <c r="E1509" t="inlineStr">
        <is>
          <t>2020-03</t>
        </is>
      </c>
      <c r="F1509" t="n">
        <v>45584.1</v>
      </c>
      <c r="G1509" t="n">
        <v>828393.6</v>
      </c>
      <c r="H1509" t="n">
        <v>886806.5</v>
      </c>
      <c r="I1509">
        <f>DAY(EOMONTH(DATE(VALUE(LEFT(E1509,4)),VALUE(RIGHT(E1509,2)),1),0))</f>
        <v/>
      </c>
      <c r="J1509">
        <f>VALUE(LEFT(E1509,4))*12+VALUE(RIGHT(E1509,2))-1</f>
        <v/>
      </c>
    </row>
    <row r="1510">
      <c r="A1510" t="inlineStr">
        <is>
          <t>Los Perales</t>
        </is>
      </c>
      <c r="B1510" t="inlineStr">
        <is>
          <t>Golfo San Jorge</t>
        </is>
      </c>
      <c r="C1510" t="inlineStr">
        <is>
          <t>YPF S.A.</t>
        </is>
      </c>
      <c r="D1510" t="inlineStr">
        <is>
          <t>convencional</t>
        </is>
      </c>
      <c r="E1510" t="inlineStr">
        <is>
          <t>2020-04</t>
        </is>
      </c>
      <c r="F1510" t="n">
        <v>43201.4</v>
      </c>
      <c r="G1510" t="n">
        <v>811195.5</v>
      </c>
      <c r="H1510" t="n">
        <v>853342</v>
      </c>
      <c r="I1510">
        <f>DAY(EOMONTH(DATE(VALUE(LEFT(E1510,4)),VALUE(RIGHT(E1510,2)),1),0))</f>
        <v/>
      </c>
      <c r="J1510">
        <f>VALUE(LEFT(E1510,4))*12+VALUE(RIGHT(E1510,2))-1</f>
        <v/>
      </c>
    </row>
    <row r="1511">
      <c r="A1511" t="inlineStr">
        <is>
          <t>Los Perales</t>
        </is>
      </c>
      <c r="B1511" t="inlineStr">
        <is>
          <t>Golfo San Jorge</t>
        </is>
      </c>
      <c r="C1511" t="inlineStr">
        <is>
          <t>YPF S.A.</t>
        </is>
      </c>
      <c r="D1511" t="inlineStr">
        <is>
          <t>convencional</t>
        </is>
      </c>
      <c r="E1511" t="inlineStr">
        <is>
          <t>2020-05</t>
        </is>
      </c>
      <c r="F1511" t="n">
        <v>41046.9</v>
      </c>
      <c r="G1511" t="n">
        <v>781172.5</v>
      </c>
      <c r="H1511" t="n">
        <v>802447.7</v>
      </c>
      <c r="I1511">
        <f>DAY(EOMONTH(DATE(VALUE(LEFT(E1511,4)),VALUE(RIGHT(E1511,2)),1),0))</f>
        <v/>
      </c>
      <c r="J1511">
        <f>VALUE(LEFT(E1511,4))*12+VALUE(RIGHT(E1511,2))-1</f>
        <v/>
      </c>
    </row>
    <row r="1512">
      <c r="A1512" t="inlineStr">
        <is>
          <t>Los Perales</t>
        </is>
      </c>
      <c r="B1512" t="inlineStr">
        <is>
          <t>Golfo San Jorge</t>
        </is>
      </c>
      <c r="C1512" t="inlineStr">
        <is>
          <t>YPF S.A.</t>
        </is>
      </c>
      <c r="D1512" t="inlineStr">
        <is>
          <t>convencional</t>
        </is>
      </c>
      <c r="E1512" t="inlineStr">
        <is>
          <t>2020-06</t>
        </is>
      </c>
      <c r="F1512" t="n">
        <v>41920.1</v>
      </c>
      <c r="G1512" t="n">
        <v>771831.7</v>
      </c>
      <c r="H1512" t="n">
        <v>807756.8</v>
      </c>
      <c r="I1512">
        <f>DAY(EOMONTH(DATE(VALUE(LEFT(E1512,4)),VALUE(RIGHT(E1512,2)),1),0))</f>
        <v/>
      </c>
      <c r="J1512">
        <f>VALUE(LEFT(E1512,4))*12+VALUE(RIGHT(E1512,2))-1</f>
        <v/>
      </c>
    </row>
    <row r="1513">
      <c r="A1513" t="inlineStr">
        <is>
          <t>Los Perales</t>
        </is>
      </c>
      <c r="B1513" t="inlineStr">
        <is>
          <t>Golfo San Jorge</t>
        </is>
      </c>
      <c r="C1513" t="inlineStr">
        <is>
          <t>YPF S.A.</t>
        </is>
      </c>
      <c r="D1513" t="inlineStr">
        <is>
          <t>convencional</t>
        </is>
      </c>
      <c r="E1513" t="inlineStr">
        <is>
          <t>2020-07</t>
        </is>
      </c>
      <c r="F1513" t="n">
        <v>41000.4</v>
      </c>
      <c r="G1513" t="n">
        <v>782190.8</v>
      </c>
      <c r="H1513" t="n">
        <v>831602.7</v>
      </c>
      <c r="I1513">
        <f>DAY(EOMONTH(DATE(VALUE(LEFT(E1513,4)),VALUE(RIGHT(E1513,2)),1),0))</f>
        <v/>
      </c>
      <c r="J1513">
        <f>VALUE(LEFT(E1513,4))*12+VALUE(RIGHT(E1513,2))-1</f>
        <v/>
      </c>
    </row>
    <row r="1514">
      <c r="A1514" t="inlineStr">
        <is>
          <t>Los Perales</t>
        </is>
      </c>
      <c r="B1514" t="inlineStr">
        <is>
          <t>Golfo San Jorge</t>
        </is>
      </c>
      <c r="C1514" t="inlineStr">
        <is>
          <t>YPF S.A.</t>
        </is>
      </c>
      <c r="D1514" t="inlineStr">
        <is>
          <t>convencional</t>
        </is>
      </c>
      <c r="E1514" t="inlineStr">
        <is>
          <t>2020-08</t>
        </is>
      </c>
      <c r="F1514" t="n">
        <v>41211.1</v>
      </c>
      <c r="G1514" t="n">
        <v>778513.9</v>
      </c>
      <c r="H1514" t="n">
        <v>814419</v>
      </c>
      <c r="I1514">
        <f>DAY(EOMONTH(DATE(VALUE(LEFT(E1514,4)),VALUE(RIGHT(E1514,2)),1),0))</f>
        <v/>
      </c>
      <c r="J1514">
        <f>VALUE(LEFT(E1514,4))*12+VALUE(RIGHT(E1514,2))-1</f>
        <v/>
      </c>
    </row>
    <row r="1515">
      <c r="A1515" t="inlineStr">
        <is>
          <t>Los Perales</t>
        </is>
      </c>
      <c r="B1515" t="inlineStr">
        <is>
          <t>Golfo San Jorge</t>
        </is>
      </c>
      <c r="C1515" t="inlineStr">
        <is>
          <t>YPF S.A.</t>
        </is>
      </c>
      <c r="D1515" t="inlineStr">
        <is>
          <t>convencional</t>
        </is>
      </c>
      <c r="E1515" t="inlineStr">
        <is>
          <t>2020-09</t>
        </is>
      </c>
      <c r="F1515" t="n">
        <v>41182.1</v>
      </c>
      <c r="G1515" t="n">
        <v>780554.2</v>
      </c>
      <c r="H1515" t="n">
        <v>816843.4</v>
      </c>
      <c r="I1515">
        <f>DAY(EOMONTH(DATE(VALUE(LEFT(E1515,4)),VALUE(RIGHT(E1515,2)),1),0))</f>
        <v/>
      </c>
      <c r="J1515">
        <f>VALUE(LEFT(E1515,4))*12+VALUE(RIGHT(E1515,2))-1</f>
        <v/>
      </c>
    </row>
    <row r="1516">
      <c r="A1516" t="inlineStr">
        <is>
          <t>Los Perales</t>
        </is>
      </c>
      <c r="B1516" t="inlineStr">
        <is>
          <t>Golfo San Jorge</t>
        </is>
      </c>
      <c r="C1516" t="inlineStr">
        <is>
          <t>YPF S.A.</t>
        </is>
      </c>
      <c r="D1516" t="inlineStr">
        <is>
          <t>convencional</t>
        </is>
      </c>
      <c r="E1516" t="inlineStr">
        <is>
          <t>2020-10</t>
        </is>
      </c>
      <c r="F1516" t="n">
        <v>42962.6</v>
      </c>
      <c r="G1516" t="n">
        <v>769203.2</v>
      </c>
      <c r="H1516" t="n">
        <v>814208.9</v>
      </c>
      <c r="I1516">
        <f>DAY(EOMONTH(DATE(VALUE(LEFT(E1516,4)),VALUE(RIGHT(E1516,2)),1),0))</f>
        <v/>
      </c>
      <c r="J1516">
        <f>VALUE(LEFT(E1516,4))*12+VALUE(RIGHT(E1516,2))-1</f>
        <v/>
      </c>
    </row>
    <row r="1517">
      <c r="A1517" t="inlineStr">
        <is>
          <t>Los Perales</t>
        </is>
      </c>
      <c r="B1517" t="inlineStr">
        <is>
          <t>Golfo San Jorge</t>
        </is>
      </c>
      <c r="C1517" t="inlineStr">
        <is>
          <t>YPF S.A.</t>
        </is>
      </c>
      <c r="D1517" t="inlineStr">
        <is>
          <t>convencional</t>
        </is>
      </c>
      <c r="E1517" t="inlineStr">
        <is>
          <t>2020-11</t>
        </is>
      </c>
      <c r="F1517" t="n">
        <v>39760.9</v>
      </c>
      <c r="G1517" t="n">
        <v>748908.8</v>
      </c>
      <c r="H1517" t="n">
        <v>759937</v>
      </c>
      <c r="I1517">
        <f>DAY(EOMONTH(DATE(VALUE(LEFT(E1517,4)),VALUE(RIGHT(E1517,2)),1),0))</f>
        <v/>
      </c>
      <c r="J1517">
        <f>VALUE(LEFT(E1517,4))*12+VALUE(RIGHT(E1517,2))-1</f>
        <v/>
      </c>
    </row>
    <row r="1518">
      <c r="A1518" t="inlineStr">
        <is>
          <t>Los Perales</t>
        </is>
      </c>
      <c r="B1518" t="inlineStr">
        <is>
          <t>Golfo San Jorge</t>
        </is>
      </c>
      <c r="C1518" t="inlineStr">
        <is>
          <t>YPF S.A.</t>
        </is>
      </c>
      <c r="D1518" t="inlineStr">
        <is>
          <t>convencional</t>
        </is>
      </c>
      <c r="E1518" t="inlineStr">
        <is>
          <t>2020-12</t>
        </is>
      </c>
      <c r="F1518" t="n">
        <v>42044.5</v>
      </c>
      <c r="G1518" t="n">
        <v>765162.6</v>
      </c>
      <c r="H1518" t="n">
        <v>760731.5</v>
      </c>
      <c r="I1518">
        <f>DAY(EOMONTH(DATE(VALUE(LEFT(E1518,4)),VALUE(RIGHT(E1518,2)),1),0))</f>
        <v/>
      </c>
      <c r="J1518">
        <f>VALUE(LEFT(E1518,4))*12+VALUE(RIGHT(E1518,2))-1</f>
        <v/>
      </c>
    </row>
    <row r="1519">
      <c r="A1519" t="inlineStr">
        <is>
          <t>Los Perales</t>
        </is>
      </c>
      <c r="B1519" t="inlineStr">
        <is>
          <t>Golfo San Jorge</t>
        </is>
      </c>
      <c r="C1519" t="inlineStr">
        <is>
          <t>YPF S.A.</t>
        </is>
      </c>
      <c r="D1519" t="inlineStr">
        <is>
          <t>convencional</t>
        </is>
      </c>
      <c r="E1519" t="inlineStr">
        <is>
          <t>2021-01</t>
        </is>
      </c>
      <c r="F1519" t="n">
        <v>41858.8</v>
      </c>
      <c r="G1519" t="n">
        <v>743891</v>
      </c>
      <c r="H1519" t="n">
        <v>763561.3</v>
      </c>
      <c r="I1519">
        <f>DAY(EOMONTH(DATE(VALUE(LEFT(E1519,4)),VALUE(RIGHT(E1519,2)),1),0))</f>
        <v/>
      </c>
      <c r="J1519">
        <f>VALUE(LEFT(E1519,4))*12+VALUE(RIGHT(E1519,2))-1</f>
        <v/>
      </c>
    </row>
    <row r="1520">
      <c r="A1520" t="inlineStr">
        <is>
          <t>Los Perales</t>
        </is>
      </c>
      <c r="B1520" t="inlineStr">
        <is>
          <t>Golfo San Jorge</t>
        </is>
      </c>
      <c r="C1520" t="inlineStr">
        <is>
          <t>YPF S.A.</t>
        </is>
      </c>
      <c r="D1520" t="inlineStr">
        <is>
          <t>convencional</t>
        </is>
      </c>
      <c r="E1520" t="inlineStr">
        <is>
          <t>2021-02</t>
        </is>
      </c>
      <c r="F1520" t="n">
        <v>36905.7</v>
      </c>
      <c r="G1520" t="n">
        <v>649418.5</v>
      </c>
      <c r="H1520" t="n">
        <v>678399.3</v>
      </c>
      <c r="I1520">
        <f>DAY(EOMONTH(DATE(VALUE(LEFT(E1520,4)),VALUE(RIGHT(E1520,2)),1),0))</f>
        <v/>
      </c>
      <c r="J1520">
        <f>VALUE(LEFT(E1520,4))*12+VALUE(RIGHT(E1520,2))-1</f>
        <v/>
      </c>
    </row>
    <row r="1521">
      <c r="A1521" t="inlineStr">
        <is>
          <t>Los Perales</t>
        </is>
      </c>
      <c r="B1521" t="inlineStr">
        <is>
          <t>Golfo San Jorge</t>
        </is>
      </c>
      <c r="C1521" t="inlineStr">
        <is>
          <t>YPF S.A.</t>
        </is>
      </c>
      <c r="D1521" t="inlineStr">
        <is>
          <t>convencional</t>
        </is>
      </c>
      <c r="E1521" t="inlineStr">
        <is>
          <t>2021-03</t>
        </is>
      </c>
      <c r="F1521" t="n">
        <v>41885.7</v>
      </c>
      <c r="G1521" t="n">
        <v>725018.4</v>
      </c>
      <c r="H1521" t="n">
        <v>746938</v>
      </c>
      <c r="I1521">
        <f>DAY(EOMONTH(DATE(VALUE(LEFT(E1521,4)),VALUE(RIGHT(E1521,2)),1),0))</f>
        <v/>
      </c>
      <c r="J1521">
        <f>VALUE(LEFT(E1521,4))*12+VALUE(RIGHT(E1521,2))-1</f>
        <v/>
      </c>
    </row>
    <row r="1522">
      <c r="A1522" t="inlineStr">
        <is>
          <t>Los Perales</t>
        </is>
      </c>
      <c r="B1522" t="inlineStr">
        <is>
          <t>Golfo San Jorge</t>
        </is>
      </c>
      <c r="C1522" t="inlineStr">
        <is>
          <t>YPF S.A.</t>
        </is>
      </c>
      <c r="D1522" t="inlineStr">
        <is>
          <t>convencional</t>
        </is>
      </c>
      <c r="E1522" t="inlineStr">
        <is>
          <t>2021-04</t>
        </is>
      </c>
      <c r="F1522" t="n">
        <v>40583.9</v>
      </c>
      <c r="G1522" t="n">
        <v>687483.1</v>
      </c>
      <c r="H1522" t="n">
        <v>724438.9</v>
      </c>
      <c r="I1522">
        <f>DAY(EOMONTH(DATE(VALUE(LEFT(E1522,4)),VALUE(RIGHT(E1522,2)),1),0))</f>
        <v/>
      </c>
      <c r="J1522">
        <f>VALUE(LEFT(E1522,4))*12+VALUE(RIGHT(E1522,2))-1</f>
        <v/>
      </c>
    </row>
    <row r="1523">
      <c r="A1523" t="inlineStr">
        <is>
          <t>Los Perales</t>
        </is>
      </c>
      <c r="B1523" t="inlineStr">
        <is>
          <t>Golfo San Jorge</t>
        </is>
      </c>
      <c r="C1523" t="inlineStr">
        <is>
          <t>YPF S.A.</t>
        </is>
      </c>
      <c r="D1523" t="inlineStr">
        <is>
          <t>convencional</t>
        </is>
      </c>
      <c r="E1523" t="inlineStr">
        <is>
          <t>2021-05</t>
        </is>
      </c>
      <c r="F1523" t="n">
        <v>40799.8</v>
      </c>
      <c r="G1523" t="n">
        <v>705985.4</v>
      </c>
      <c r="H1523" t="n">
        <v>749267.5</v>
      </c>
      <c r="I1523">
        <f>DAY(EOMONTH(DATE(VALUE(LEFT(E1523,4)),VALUE(RIGHT(E1523,2)),1),0))</f>
        <v/>
      </c>
      <c r="J1523">
        <f>VALUE(LEFT(E1523,4))*12+VALUE(RIGHT(E1523,2))-1</f>
        <v/>
      </c>
    </row>
    <row r="1524">
      <c r="A1524" t="inlineStr">
        <is>
          <t>Los Perales</t>
        </is>
      </c>
      <c r="B1524" t="inlineStr">
        <is>
          <t>Golfo San Jorge</t>
        </is>
      </c>
      <c r="C1524" t="inlineStr">
        <is>
          <t>YPF S.A.</t>
        </is>
      </c>
      <c r="D1524" t="inlineStr">
        <is>
          <t>convencional</t>
        </is>
      </c>
      <c r="E1524" t="inlineStr">
        <is>
          <t>2021-06</t>
        </is>
      </c>
      <c r="F1524" t="n">
        <v>38701.1</v>
      </c>
      <c r="G1524" t="n">
        <v>702930.6</v>
      </c>
      <c r="H1524" t="n">
        <v>731615.3</v>
      </c>
      <c r="I1524">
        <f>DAY(EOMONTH(DATE(VALUE(LEFT(E1524,4)),VALUE(RIGHT(E1524,2)),1),0))</f>
        <v/>
      </c>
      <c r="J1524">
        <f>VALUE(LEFT(E1524,4))*12+VALUE(RIGHT(E1524,2))-1</f>
        <v/>
      </c>
    </row>
    <row r="1525">
      <c r="A1525" t="inlineStr">
        <is>
          <t>Los Perales</t>
        </is>
      </c>
      <c r="B1525" t="inlineStr">
        <is>
          <t>Golfo San Jorge</t>
        </is>
      </c>
      <c r="C1525" t="inlineStr">
        <is>
          <t>YPF S.A.</t>
        </is>
      </c>
      <c r="D1525" t="inlineStr">
        <is>
          <t>convencional</t>
        </is>
      </c>
      <c r="E1525" t="inlineStr">
        <is>
          <t>2021-07</t>
        </is>
      </c>
      <c r="F1525" t="n">
        <v>40178.2</v>
      </c>
      <c r="G1525" t="n">
        <v>703401.6</v>
      </c>
      <c r="H1525" t="n">
        <v>748789.9</v>
      </c>
      <c r="I1525">
        <f>DAY(EOMONTH(DATE(VALUE(LEFT(E1525,4)),VALUE(RIGHT(E1525,2)),1),0))</f>
        <v/>
      </c>
      <c r="J1525">
        <f>VALUE(LEFT(E1525,4))*12+VALUE(RIGHT(E1525,2))-1</f>
        <v/>
      </c>
    </row>
    <row r="1526">
      <c r="A1526" t="inlineStr">
        <is>
          <t>Los Perales</t>
        </is>
      </c>
      <c r="B1526" t="inlineStr">
        <is>
          <t>Golfo San Jorge</t>
        </is>
      </c>
      <c r="C1526" t="inlineStr">
        <is>
          <t>YPF S.A.</t>
        </is>
      </c>
      <c r="D1526" t="inlineStr">
        <is>
          <t>convencional</t>
        </is>
      </c>
      <c r="E1526" t="inlineStr">
        <is>
          <t>2021-08</t>
        </is>
      </c>
      <c r="F1526" t="n">
        <v>39881.8</v>
      </c>
      <c r="G1526" t="n">
        <v>685595.8</v>
      </c>
      <c r="H1526" t="n">
        <v>715021.2</v>
      </c>
      <c r="I1526">
        <f>DAY(EOMONTH(DATE(VALUE(LEFT(E1526,4)),VALUE(RIGHT(E1526,2)),1),0))</f>
        <v/>
      </c>
      <c r="J1526">
        <f>VALUE(LEFT(E1526,4))*12+VALUE(RIGHT(E1526,2))-1</f>
        <v/>
      </c>
    </row>
    <row r="1527">
      <c r="A1527" t="inlineStr">
        <is>
          <t>Los Perales</t>
        </is>
      </c>
      <c r="B1527" t="inlineStr">
        <is>
          <t>Golfo San Jorge</t>
        </is>
      </c>
      <c r="C1527" t="inlineStr">
        <is>
          <t>YPF S.A.</t>
        </is>
      </c>
      <c r="D1527" t="inlineStr">
        <is>
          <t>convencional</t>
        </is>
      </c>
      <c r="E1527" t="inlineStr">
        <is>
          <t>2021-09</t>
        </is>
      </c>
      <c r="F1527" t="n">
        <v>38181.7</v>
      </c>
      <c r="G1527" t="n">
        <v>736491.6</v>
      </c>
      <c r="H1527" t="n">
        <v>745334.8</v>
      </c>
      <c r="I1527">
        <f>DAY(EOMONTH(DATE(VALUE(LEFT(E1527,4)),VALUE(RIGHT(E1527,2)),1),0))</f>
        <v/>
      </c>
      <c r="J1527">
        <f>VALUE(LEFT(E1527,4))*12+VALUE(RIGHT(E1527,2))-1</f>
        <v/>
      </c>
    </row>
    <row r="1528">
      <c r="A1528" t="inlineStr">
        <is>
          <t>Los Perales</t>
        </is>
      </c>
      <c r="B1528" t="inlineStr">
        <is>
          <t>Golfo San Jorge</t>
        </is>
      </c>
      <c r="C1528" t="inlineStr">
        <is>
          <t>YPF S.A.</t>
        </is>
      </c>
      <c r="D1528" t="inlineStr">
        <is>
          <t>convencional</t>
        </is>
      </c>
      <c r="E1528" t="inlineStr">
        <is>
          <t>2021-10</t>
        </is>
      </c>
      <c r="F1528" t="n">
        <v>36333.8</v>
      </c>
      <c r="G1528" t="n">
        <v>692249</v>
      </c>
      <c r="H1528" t="n">
        <v>708782</v>
      </c>
      <c r="I1528">
        <f>DAY(EOMONTH(DATE(VALUE(LEFT(E1528,4)),VALUE(RIGHT(E1528,2)),1),0))</f>
        <v/>
      </c>
      <c r="J1528">
        <f>VALUE(LEFT(E1528,4))*12+VALUE(RIGHT(E1528,2))-1</f>
        <v/>
      </c>
    </row>
    <row r="1529">
      <c r="A1529" t="inlineStr">
        <is>
          <t>Los Perales</t>
        </is>
      </c>
      <c r="B1529" t="inlineStr">
        <is>
          <t>Golfo San Jorge</t>
        </is>
      </c>
      <c r="C1529" t="inlineStr">
        <is>
          <t>YPF S.A.</t>
        </is>
      </c>
      <c r="D1529" t="inlineStr">
        <is>
          <t>convencional</t>
        </is>
      </c>
      <c r="E1529" t="inlineStr">
        <is>
          <t>2021-11</t>
        </is>
      </c>
      <c r="F1529" t="n">
        <v>37521.2</v>
      </c>
      <c r="G1529" t="n">
        <v>715591.9</v>
      </c>
      <c r="H1529" t="n">
        <v>735092.1</v>
      </c>
      <c r="I1529">
        <f>DAY(EOMONTH(DATE(VALUE(LEFT(E1529,4)),VALUE(RIGHT(E1529,2)),1),0))</f>
        <v/>
      </c>
      <c r="J1529">
        <f>VALUE(LEFT(E1529,4))*12+VALUE(RIGHT(E1529,2))-1</f>
        <v/>
      </c>
    </row>
    <row r="1530">
      <c r="A1530" t="inlineStr">
        <is>
          <t>Los Perales</t>
        </is>
      </c>
      <c r="B1530" t="inlineStr">
        <is>
          <t>Golfo San Jorge</t>
        </is>
      </c>
      <c r="C1530" t="inlineStr">
        <is>
          <t>YPF S.A.</t>
        </is>
      </c>
      <c r="D1530" t="inlineStr">
        <is>
          <t>convencional</t>
        </is>
      </c>
      <c r="E1530" t="inlineStr">
        <is>
          <t>2021-12</t>
        </is>
      </c>
      <c r="F1530" t="n">
        <v>40361.1</v>
      </c>
      <c r="G1530" t="n">
        <v>732590.3</v>
      </c>
      <c r="H1530" t="n">
        <v>763318.5</v>
      </c>
      <c r="I1530">
        <f>DAY(EOMONTH(DATE(VALUE(LEFT(E1530,4)),VALUE(RIGHT(E1530,2)),1),0))</f>
        <v/>
      </c>
      <c r="J1530">
        <f>VALUE(LEFT(E1530,4))*12+VALUE(RIGHT(E1530,2))-1</f>
        <v/>
      </c>
    </row>
    <row r="1531">
      <c r="A1531" t="inlineStr">
        <is>
          <t>Los Perales</t>
        </is>
      </c>
      <c r="B1531" t="inlineStr">
        <is>
          <t>Golfo San Jorge</t>
        </is>
      </c>
      <c r="C1531" t="inlineStr">
        <is>
          <t>YPF S.A.</t>
        </is>
      </c>
      <c r="D1531" t="inlineStr">
        <is>
          <t>convencional</t>
        </is>
      </c>
      <c r="E1531" t="inlineStr">
        <is>
          <t>2022-01</t>
        </is>
      </c>
      <c r="F1531" t="n">
        <v>39246.2</v>
      </c>
      <c r="G1531" t="n">
        <v>728433.9</v>
      </c>
      <c r="H1531" t="n">
        <v>756511.1</v>
      </c>
      <c r="I1531">
        <f>DAY(EOMONTH(DATE(VALUE(LEFT(E1531,4)),VALUE(RIGHT(E1531,2)),1),0))</f>
        <v/>
      </c>
      <c r="J1531">
        <f>VALUE(LEFT(E1531,4))*12+VALUE(RIGHT(E1531,2))-1</f>
        <v/>
      </c>
    </row>
    <row r="1532">
      <c r="A1532" t="inlineStr">
        <is>
          <t>Los Perales</t>
        </is>
      </c>
      <c r="B1532" t="inlineStr">
        <is>
          <t>Golfo San Jorge</t>
        </is>
      </c>
      <c r="C1532" t="inlineStr">
        <is>
          <t>YPF S.A.</t>
        </is>
      </c>
      <c r="D1532" t="inlineStr">
        <is>
          <t>convencional</t>
        </is>
      </c>
      <c r="E1532" t="inlineStr">
        <is>
          <t>2022-02</t>
        </is>
      </c>
      <c r="F1532" t="n">
        <v>35438</v>
      </c>
      <c r="G1532" t="n">
        <v>662463.2</v>
      </c>
      <c r="H1532" t="n">
        <v>679004.2</v>
      </c>
      <c r="I1532">
        <f>DAY(EOMONTH(DATE(VALUE(LEFT(E1532,4)),VALUE(RIGHT(E1532,2)),1),0))</f>
        <v/>
      </c>
      <c r="J1532">
        <f>VALUE(LEFT(E1532,4))*12+VALUE(RIGHT(E1532,2))-1</f>
        <v/>
      </c>
    </row>
    <row r="1533">
      <c r="A1533" t="inlineStr">
        <is>
          <t>Los Perales</t>
        </is>
      </c>
      <c r="B1533" t="inlineStr">
        <is>
          <t>Golfo San Jorge</t>
        </is>
      </c>
      <c r="C1533" t="inlineStr">
        <is>
          <t>YPF S.A.</t>
        </is>
      </c>
      <c r="D1533" t="inlineStr">
        <is>
          <t>convencional</t>
        </is>
      </c>
      <c r="E1533" t="inlineStr">
        <is>
          <t>2022-03</t>
        </is>
      </c>
      <c r="F1533" t="n">
        <v>38916.6</v>
      </c>
      <c r="G1533" t="n">
        <v>731963.6</v>
      </c>
      <c r="H1533" t="n">
        <v>752975.9</v>
      </c>
      <c r="I1533">
        <f>DAY(EOMONTH(DATE(VALUE(LEFT(E1533,4)),VALUE(RIGHT(E1533,2)),1),0))</f>
        <v/>
      </c>
      <c r="J1533">
        <f>VALUE(LEFT(E1533,4))*12+VALUE(RIGHT(E1533,2))-1</f>
        <v/>
      </c>
    </row>
    <row r="1534">
      <c r="A1534" t="inlineStr">
        <is>
          <t>Los Perales</t>
        </is>
      </c>
      <c r="B1534" t="inlineStr">
        <is>
          <t>Golfo San Jorge</t>
        </is>
      </c>
      <c r="C1534" t="inlineStr">
        <is>
          <t>YPF S.A.</t>
        </is>
      </c>
      <c r="D1534" t="inlineStr">
        <is>
          <t>convencional</t>
        </is>
      </c>
      <c r="E1534" t="inlineStr">
        <is>
          <t>2022-04</t>
        </is>
      </c>
      <c r="F1534" t="n">
        <v>37445.3</v>
      </c>
      <c r="G1534" t="n">
        <v>688127.9</v>
      </c>
      <c r="H1534" t="n">
        <v>715523.5</v>
      </c>
      <c r="I1534">
        <f>DAY(EOMONTH(DATE(VALUE(LEFT(E1534,4)),VALUE(RIGHT(E1534,2)),1),0))</f>
        <v/>
      </c>
      <c r="J1534">
        <f>VALUE(LEFT(E1534,4))*12+VALUE(RIGHT(E1534,2))-1</f>
        <v/>
      </c>
    </row>
    <row r="1535">
      <c r="A1535" t="inlineStr">
        <is>
          <t>Los Perales</t>
        </is>
      </c>
      <c r="B1535" t="inlineStr">
        <is>
          <t>Golfo San Jorge</t>
        </is>
      </c>
      <c r="C1535" t="inlineStr">
        <is>
          <t>YPF S.A.</t>
        </is>
      </c>
      <c r="D1535" t="inlineStr">
        <is>
          <t>convencional</t>
        </is>
      </c>
      <c r="E1535" t="inlineStr">
        <is>
          <t>2022-05</t>
        </is>
      </c>
      <c r="F1535" t="n">
        <v>38823.2</v>
      </c>
      <c r="G1535" t="n">
        <v>729572.6</v>
      </c>
      <c r="H1535" t="n">
        <v>769849.9</v>
      </c>
      <c r="I1535">
        <f>DAY(EOMONTH(DATE(VALUE(LEFT(E1535,4)),VALUE(RIGHT(E1535,2)),1),0))</f>
        <v/>
      </c>
      <c r="J1535">
        <f>VALUE(LEFT(E1535,4))*12+VALUE(RIGHT(E1535,2))-1</f>
        <v/>
      </c>
    </row>
    <row r="1536">
      <c r="A1536" t="inlineStr">
        <is>
          <t>Los Perales</t>
        </is>
      </c>
      <c r="B1536" t="inlineStr">
        <is>
          <t>Golfo San Jorge</t>
        </is>
      </c>
      <c r="C1536" t="inlineStr">
        <is>
          <t>YPF S.A.</t>
        </is>
      </c>
      <c r="D1536" t="inlineStr">
        <is>
          <t>convencional</t>
        </is>
      </c>
      <c r="E1536" t="inlineStr">
        <is>
          <t>2022-06</t>
        </is>
      </c>
      <c r="F1536" t="n">
        <v>37109.9</v>
      </c>
      <c r="G1536" t="n">
        <v>685850.3</v>
      </c>
      <c r="H1536" t="n">
        <v>726974</v>
      </c>
      <c r="I1536">
        <f>DAY(EOMONTH(DATE(VALUE(LEFT(E1536,4)),VALUE(RIGHT(E1536,2)),1),0))</f>
        <v/>
      </c>
      <c r="J1536">
        <f>VALUE(LEFT(E1536,4))*12+VALUE(RIGHT(E1536,2))-1</f>
        <v/>
      </c>
    </row>
    <row r="1537">
      <c r="A1537" t="inlineStr">
        <is>
          <t>Los Perales</t>
        </is>
      </c>
      <c r="B1537" t="inlineStr">
        <is>
          <t>Golfo San Jorge</t>
        </is>
      </c>
      <c r="C1537" t="inlineStr">
        <is>
          <t>YPF S.A.</t>
        </is>
      </c>
      <c r="D1537" t="inlineStr">
        <is>
          <t>convencional</t>
        </is>
      </c>
      <c r="E1537" t="inlineStr">
        <is>
          <t>2022-07</t>
        </is>
      </c>
      <c r="F1537" t="n">
        <v>37416.8</v>
      </c>
      <c r="G1537" t="n">
        <v>704578.9</v>
      </c>
      <c r="H1537" t="n">
        <v>758381.9</v>
      </c>
      <c r="I1537">
        <f>DAY(EOMONTH(DATE(VALUE(LEFT(E1537,4)),VALUE(RIGHT(E1537,2)),1),0))</f>
        <v/>
      </c>
      <c r="J1537">
        <f>VALUE(LEFT(E1537,4))*12+VALUE(RIGHT(E1537,2))-1</f>
        <v/>
      </c>
    </row>
    <row r="1538">
      <c r="A1538" t="inlineStr">
        <is>
          <t>Los Perales</t>
        </is>
      </c>
      <c r="B1538" t="inlineStr">
        <is>
          <t>Golfo San Jorge</t>
        </is>
      </c>
      <c r="C1538" t="inlineStr">
        <is>
          <t>YPF S.A.</t>
        </is>
      </c>
      <c r="D1538" t="inlineStr">
        <is>
          <t>convencional</t>
        </is>
      </c>
      <c r="E1538" t="inlineStr">
        <is>
          <t>2022-08</t>
        </is>
      </c>
      <c r="F1538" t="n">
        <v>37810.8</v>
      </c>
      <c r="G1538" t="n">
        <v>744747.4</v>
      </c>
      <c r="H1538" t="n">
        <v>797946.7</v>
      </c>
      <c r="I1538">
        <f>DAY(EOMONTH(DATE(VALUE(LEFT(E1538,4)),VALUE(RIGHT(E1538,2)),1),0))</f>
        <v/>
      </c>
      <c r="J1538">
        <f>VALUE(LEFT(E1538,4))*12+VALUE(RIGHT(E1538,2))-1</f>
        <v/>
      </c>
    </row>
    <row r="1539">
      <c r="A1539" t="inlineStr">
        <is>
          <t>Los Perales</t>
        </is>
      </c>
      <c r="B1539" t="inlineStr">
        <is>
          <t>Golfo San Jorge</t>
        </is>
      </c>
      <c r="C1539" t="inlineStr">
        <is>
          <t>YPF S.A.</t>
        </is>
      </c>
      <c r="D1539" t="inlineStr">
        <is>
          <t>convencional</t>
        </is>
      </c>
      <c r="E1539" t="inlineStr">
        <is>
          <t>2022-09</t>
        </is>
      </c>
      <c r="F1539" t="n">
        <v>37448.7</v>
      </c>
      <c r="G1539" t="n">
        <v>728360.4</v>
      </c>
      <c r="H1539" t="n">
        <v>769748.2</v>
      </c>
      <c r="I1539">
        <f>DAY(EOMONTH(DATE(VALUE(LEFT(E1539,4)),VALUE(RIGHT(E1539,2)),1),0))</f>
        <v/>
      </c>
      <c r="J1539">
        <f>VALUE(LEFT(E1539,4))*12+VALUE(RIGHT(E1539,2))-1</f>
        <v/>
      </c>
    </row>
    <row r="1540">
      <c r="A1540" t="inlineStr">
        <is>
          <t>Los Perales</t>
        </is>
      </c>
      <c r="B1540" t="inlineStr">
        <is>
          <t>Golfo San Jorge</t>
        </is>
      </c>
      <c r="C1540" t="inlineStr">
        <is>
          <t>YPF S.A.</t>
        </is>
      </c>
      <c r="D1540" t="inlineStr">
        <is>
          <t>convencional</t>
        </is>
      </c>
      <c r="E1540" t="inlineStr">
        <is>
          <t>2022-10</t>
        </is>
      </c>
      <c r="F1540" t="n">
        <v>38740.8</v>
      </c>
      <c r="G1540" t="n">
        <v>765942.6</v>
      </c>
      <c r="H1540" t="n">
        <v>788468.4</v>
      </c>
      <c r="I1540">
        <f>DAY(EOMONTH(DATE(VALUE(LEFT(E1540,4)),VALUE(RIGHT(E1540,2)),1),0))</f>
        <v/>
      </c>
      <c r="J1540">
        <f>VALUE(LEFT(E1540,4))*12+VALUE(RIGHT(E1540,2))-1</f>
        <v/>
      </c>
    </row>
    <row r="1541">
      <c r="A1541" t="inlineStr">
        <is>
          <t>Los Perales</t>
        </is>
      </c>
      <c r="B1541" t="inlineStr">
        <is>
          <t>Golfo San Jorge</t>
        </is>
      </c>
      <c r="C1541" t="inlineStr">
        <is>
          <t>YPF S.A.</t>
        </is>
      </c>
      <c r="D1541" t="inlineStr">
        <is>
          <t>convencional</t>
        </is>
      </c>
      <c r="E1541" t="inlineStr">
        <is>
          <t>2022-11</t>
        </is>
      </c>
      <c r="F1541" t="n">
        <v>37768.8</v>
      </c>
      <c r="G1541" t="n">
        <v>720582.8</v>
      </c>
      <c r="H1541" t="n">
        <v>749369.3</v>
      </c>
      <c r="I1541">
        <f>DAY(EOMONTH(DATE(VALUE(LEFT(E1541,4)),VALUE(RIGHT(E1541,2)),1),0))</f>
        <v/>
      </c>
      <c r="J1541">
        <f>VALUE(LEFT(E1541,4))*12+VALUE(RIGHT(E1541,2))-1</f>
        <v/>
      </c>
    </row>
    <row r="1542">
      <c r="A1542" t="inlineStr">
        <is>
          <t>Los Perales</t>
        </is>
      </c>
      <c r="B1542" t="inlineStr">
        <is>
          <t>Golfo San Jorge</t>
        </is>
      </c>
      <c r="C1542" t="inlineStr">
        <is>
          <t>YPF S.A.</t>
        </is>
      </c>
      <c r="D1542" t="inlineStr">
        <is>
          <t>convencional</t>
        </is>
      </c>
      <c r="E1542" t="inlineStr">
        <is>
          <t>2022-12</t>
        </is>
      </c>
      <c r="F1542" t="n">
        <v>38909.8</v>
      </c>
      <c r="G1542" t="n">
        <v>741626.8</v>
      </c>
      <c r="H1542" t="n">
        <v>762397</v>
      </c>
      <c r="I1542">
        <f>DAY(EOMONTH(DATE(VALUE(LEFT(E1542,4)),VALUE(RIGHT(E1542,2)),1),0))</f>
        <v/>
      </c>
      <c r="J1542">
        <f>VALUE(LEFT(E1542,4))*12+VALUE(RIGHT(E1542,2))-1</f>
        <v/>
      </c>
    </row>
    <row r="1543">
      <c r="A1543" t="inlineStr">
        <is>
          <t>Los Perales</t>
        </is>
      </c>
      <c r="B1543" t="inlineStr">
        <is>
          <t>Golfo San Jorge</t>
        </is>
      </c>
      <c r="C1543" t="inlineStr">
        <is>
          <t>YPF S.A.</t>
        </is>
      </c>
      <c r="D1543" t="inlineStr">
        <is>
          <t>convencional</t>
        </is>
      </c>
      <c r="E1543" t="inlineStr">
        <is>
          <t>2023-01</t>
        </is>
      </c>
      <c r="F1543" t="n">
        <v>38963</v>
      </c>
      <c r="G1543" t="n">
        <v>767009.4</v>
      </c>
      <c r="H1543" t="n">
        <v>772277.1</v>
      </c>
      <c r="I1543">
        <f>DAY(EOMONTH(DATE(VALUE(LEFT(E1543,4)),VALUE(RIGHT(E1543,2)),1),0))</f>
        <v/>
      </c>
      <c r="J1543">
        <f>VALUE(LEFT(E1543,4))*12+VALUE(RIGHT(E1543,2))-1</f>
        <v/>
      </c>
    </row>
    <row r="1544">
      <c r="A1544" t="inlineStr">
        <is>
          <t>Los Perales</t>
        </is>
      </c>
      <c r="B1544" t="inlineStr">
        <is>
          <t>Golfo San Jorge</t>
        </is>
      </c>
      <c r="C1544" t="inlineStr">
        <is>
          <t>YPF S.A.</t>
        </is>
      </c>
      <c r="D1544" t="inlineStr">
        <is>
          <t>convencional</t>
        </is>
      </c>
      <c r="E1544" t="inlineStr">
        <is>
          <t>2023-02</t>
        </is>
      </c>
      <c r="F1544" t="n">
        <v>35413.8</v>
      </c>
      <c r="G1544" t="n">
        <v>683898.6</v>
      </c>
      <c r="H1544" t="n">
        <v>689120</v>
      </c>
      <c r="I1544">
        <f>DAY(EOMONTH(DATE(VALUE(LEFT(E1544,4)),VALUE(RIGHT(E1544,2)),1),0))</f>
        <v/>
      </c>
      <c r="J1544">
        <f>VALUE(LEFT(E1544,4))*12+VALUE(RIGHT(E1544,2))-1</f>
        <v/>
      </c>
    </row>
    <row r="1545">
      <c r="A1545" t="inlineStr">
        <is>
          <t>Los Perales</t>
        </is>
      </c>
      <c r="B1545" t="inlineStr">
        <is>
          <t>Golfo San Jorge</t>
        </is>
      </c>
      <c r="C1545" t="inlineStr">
        <is>
          <t>YPF S.A.</t>
        </is>
      </c>
      <c r="D1545" t="inlineStr">
        <is>
          <t>convencional</t>
        </is>
      </c>
      <c r="E1545" t="inlineStr">
        <is>
          <t>2023-03</t>
        </is>
      </c>
      <c r="F1545" t="n">
        <v>38588.1</v>
      </c>
      <c r="G1545" t="n">
        <v>746540.3</v>
      </c>
      <c r="H1545" t="n">
        <v>751392.7</v>
      </c>
      <c r="I1545">
        <f>DAY(EOMONTH(DATE(VALUE(LEFT(E1545,4)),VALUE(RIGHT(E1545,2)),1),0))</f>
        <v/>
      </c>
      <c r="J1545">
        <f>VALUE(LEFT(E1545,4))*12+VALUE(RIGHT(E1545,2))-1</f>
        <v/>
      </c>
    </row>
    <row r="1546">
      <c r="A1546" t="inlineStr">
        <is>
          <t>Los Perales</t>
        </is>
      </c>
      <c r="B1546" t="inlineStr">
        <is>
          <t>Golfo San Jorge</t>
        </is>
      </c>
      <c r="C1546" t="inlineStr">
        <is>
          <t>YPF S.A.</t>
        </is>
      </c>
      <c r="D1546" t="inlineStr">
        <is>
          <t>convencional</t>
        </is>
      </c>
      <c r="E1546" t="inlineStr">
        <is>
          <t>2023-04</t>
        </is>
      </c>
      <c r="F1546" t="n">
        <v>38685.8</v>
      </c>
      <c r="G1546" t="n">
        <v>736704.5</v>
      </c>
      <c r="H1546" t="n">
        <v>742804</v>
      </c>
      <c r="I1546">
        <f>DAY(EOMONTH(DATE(VALUE(LEFT(E1546,4)),VALUE(RIGHT(E1546,2)),1),0))</f>
        <v/>
      </c>
      <c r="J1546">
        <f>VALUE(LEFT(E1546,4))*12+VALUE(RIGHT(E1546,2))-1</f>
        <v/>
      </c>
    </row>
    <row r="1547">
      <c r="A1547" t="inlineStr">
        <is>
          <t>Los Perales</t>
        </is>
      </c>
      <c r="B1547" t="inlineStr">
        <is>
          <t>Golfo San Jorge</t>
        </is>
      </c>
      <c r="C1547" t="inlineStr">
        <is>
          <t>YPF S.A.</t>
        </is>
      </c>
      <c r="D1547" t="inlineStr">
        <is>
          <t>convencional</t>
        </is>
      </c>
      <c r="E1547" t="inlineStr">
        <is>
          <t>2023-05</t>
        </is>
      </c>
      <c r="F1547" t="n">
        <v>40010.4</v>
      </c>
      <c r="G1547" t="n">
        <v>776407.1</v>
      </c>
      <c r="H1547" t="n">
        <v>787975.8</v>
      </c>
      <c r="I1547">
        <f>DAY(EOMONTH(DATE(VALUE(LEFT(E1547,4)),VALUE(RIGHT(E1547,2)),1),0))</f>
        <v/>
      </c>
      <c r="J1547">
        <f>VALUE(LEFT(E1547,4))*12+VALUE(RIGHT(E1547,2))-1</f>
        <v/>
      </c>
    </row>
    <row r="1548">
      <c r="A1548" t="inlineStr">
        <is>
          <t>Los Perales</t>
        </is>
      </c>
      <c r="B1548" t="inlineStr">
        <is>
          <t>Golfo San Jorge</t>
        </is>
      </c>
      <c r="C1548" t="inlineStr">
        <is>
          <t>YPF S.A.</t>
        </is>
      </c>
      <c r="D1548" t="inlineStr">
        <is>
          <t>convencional</t>
        </is>
      </c>
      <c r="E1548" t="inlineStr">
        <is>
          <t>2023-06</t>
        </is>
      </c>
      <c r="F1548" t="n">
        <v>38971.1</v>
      </c>
      <c r="G1548" t="n">
        <v>724883.2</v>
      </c>
      <c r="H1548" t="n">
        <v>750179.2</v>
      </c>
      <c r="I1548">
        <f>DAY(EOMONTH(DATE(VALUE(LEFT(E1548,4)),VALUE(RIGHT(E1548,2)),1),0))</f>
        <v/>
      </c>
      <c r="J1548">
        <f>VALUE(LEFT(E1548,4))*12+VALUE(RIGHT(E1548,2))-1</f>
        <v/>
      </c>
    </row>
    <row r="1549">
      <c r="A1549" t="inlineStr">
        <is>
          <t>Los Perales</t>
        </is>
      </c>
      <c r="B1549" t="inlineStr">
        <is>
          <t>Golfo San Jorge</t>
        </is>
      </c>
      <c r="C1549" t="inlineStr">
        <is>
          <t>YPF S.A.</t>
        </is>
      </c>
      <c r="D1549" t="inlineStr">
        <is>
          <t>convencional</t>
        </is>
      </c>
      <c r="E1549" t="inlineStr">
        <is>
          <t>2023-07</t>
        </is>
      </c>
      <c r="F1549" t="n">
        <v>38920.4</v>
      </c>
      <c r="G1549" t="n">
        <v>744577.9</v>
      </c>
      <c r="H1549" t="n">
        <v>765323</v>
      </c>
      <c r="I1549">
        <f>DAY(EOMONTH(DATE(VALUE(LEFT(E1549,4)),VALUE(RIGHT(E1549,2)),1),0))</f>
        <v/>
      </c>
      <c r="J1549">
        <f>VALUE(LEFT(E1549,4))*12+VALUE(RIGHT(E1549,2))-1</f>
        <v/>
      </c>
    </row>
    <row r="1550">
      <c r="A1550" t="inlineStr">
        <is>
          <t>Los Perales</t>
        </is>
      </c>
      <c r="B1550" t="inlineStr">
        <is>
          <t>Golfo San Jorge</t>
        </is>
      </c>
      <c r="C1550" t="inlineStr">
        <is>
          <t>YPF S.A.</t>
        </is>
      </c>
      <c r="D1550" t="inlineStr">
        <is>
          <t>convencional</t>
        </is>
      </c>
      <c r="E1550" t="inlineStr">
        <is>
          <t>2023-08</t>
        </is>
      </c>
      <c r="F1550" t="n">
        <v>38589.4</v>
      </c>
      <c r="G1550" t="n">
        <v>728675.6</v>
      </c>
      <c r="H1550" t="n">
        <v>742752.9</v>
      </c>
      <c r="I1550">
        <f>DAY(EOMONTH(DATE(VALUE(LEFT(E1550,4)),VALUE(RIGHT(E1550,2)),1),0))</f>
        <v/>
      </c>
      <c r="J1550">
        <f>VALUE(LEFT(E1550,4))*12+VALUE(RIGHT(E1550,2))-1</f>
        <v/>
      </c>
    </row>
    <row r="1551">
      <c r="A1551" t="inlineStr">
        <is>
          <t>Los Perales</t>
        </is>
      </c>
      <c r="B1551" t="inlineStr">
        <is>
          <t>Golfo San Jorge</t>
        </is>
      </c>
      <c r="C1551" t="inlineStr">
        <is>
          <t>YPF S.A.</t>
        </is>
      </c>
      <c r="D1551" t="inlineStr">
        <is>
          <t>convencional</t>
        </is>
      </c>
      <c r="E1551" t="inlineStr">
        <is>
          <t>2023-09</t>
        </is>
      </c>
      <c r="F1551" t="n">
        <v>37050.3</v>
      </c>
      <c r="G1551" t="n">
        <v>712350.1</v>
      </c>
      <c r="H1551" t="n">
        <v>729206.9</v>
      </c>
      <c r="I1551">
        <f>DAY(EOMONTH(DATE(VALUE(LEFT(E1551,4)),VALUE(RIGHT(E1551,2)),1),0))</f>
        <v/>
      </c>
      <c r="J1551">
        <f>VALUE(LEFT(E1551,4))*12+VALUE(RIGHT(E1551,2))-1</f>
        <v/>
      </c>
    </row>
    <row r="1552">
      <c r="A1552" t="inlineStr">
        <is>
          <t>Los Perales</t>
        </is>
      </c>
      <c r="B1552" t="inlineStr">
        <is>
          <t>Golfo San Jorge</t>
        </is>
      </c>
      <c r="C1552" t="inlineStr">
        <is>
          <t>YPF S.A.</t>
        </is>
      </c>
      <c r="D1552" t="inlineStr">
        <is>
          <t>convencional</t>
        </is>
      </c>
      <c r="E1552" t="inlineStr">
        <is>
          <t>2023-10</t>
        </is>
      </c>
      <c r="F1552" t="n">
        <v>39073</v>
      </c>
      <c r="G1552" t="n">
        <v>735082.8</v>
      </c>
      <c r="H1552" t="n">
        <v>750128.1</v>
      </c>
      <c r="I1552">
        <f>DAY(EOMONTH(DATE(VALUE(LEFT(E1552,4)),VALUE(RIGHT(E1552,2)),1),0))</f>
        <v/>
      </c>
      <c r="J1552">
        <f>VALUE(LEFT(E1552,4))*12+VALUE(RIGHT(E1552,2))-1</f>
        <v/>
      </c>
    </row>
    <row r="1553">
      <c r="A1553" t="inlineStr">
        <is>
          <t>Los Perales</t>
        </is>
      </c>
      <c r="B1553" t="inlineStr">
        <is>
          <t>Golfo San Jorge</t>
        </is>
      </c>
      <c r="C1553" t="inlineStr">
        <is>
          <t>YPF S.A.</t>
        </is>
      </c>
      <c r="D1553" t="inlineStr">
        <is>
          <t>convencional</t>
        </is>
      </c>
      <c r="E1553" t="inlineStr">
        <is>
          <t>2023-11</t>
        </is>
      </c>
      <c r="F1553" t="n">
        <v>37611.7</v>
      </c>
      <c r="G1553" t="n">
        <v>727218.8</v>
      </c>
      <c r="H1553" t="n">
        <v>730113.8</v>
      </c>
      <c r="I1553">
        <f>DAY(EOMONTH(DATE(VALUE(LEFT(E1553,4)),VALUE(RIGHT(E1553,2)),1),0))</f>
        <v/>
      </c>
      <c r="J1553">
        <f>VALUE(LEFT(E1553,4))*12+VALUE(RIGHT(E1553,2))-1</f>
        <v/>
      </c>
    </row>
    <row r="1554">
      <c r="A1554" t="inlineStr">
        <is>
          <t>Los Perales</t>
        </is>
      </c>
      <c r="B1554" t="inlineStr">
        <is>
          <t>Golfo San Jorge</t>
        </is>
      </c>
      <c r="C1554" t="inlineStr">
        <is>
          <t>YPF S.A.</t>
        </is>
      </c>
      <c r="D1554" t="inlineStr">
        <is>
          <t>convencional</t>
        </is>
      </c>
      <c r="E1554" t="inlineStr">
        <is>
          <t>2023-12</t>
        </is>
      </c>
      <c r="F1554" t="n">
        <v>37910.5</v>
      </c>
      <c r="G1554" t="n">
        <v>743028.8</v>
      </c>
      <c r="H1554" t="n">
        <v>746754.1</v>
      </c>
      <c r="I1554">
        <f>DAY(EOMONTH(DATE(VALUE(LEFT(E1554,4)),VALUE(RIGHT(E1554,2)),1),0))</f>
        <v/>
      </c>
      <c r="J1554">
        <f>VALUE(LEFT(E1554,4))*12+VALUE(RIGHT(E1554,2))-1</f>
        <v/>
      </c>
    </row>
    <row r="1555">
      <c r="A1555" t="inlineStr">
        <is>
          <t>Los Perales</t>
        </is>
      </c>
      <c r="B1555" t="inlineStr">
        <is>
          <t>Golfo San Jorge</t>
        </is>
      </c>
      <c r="C1555" t="inlineStr">
        <is>
          <t>YPF S.A.</t>
        </is>
      </c>
      <c r="D1555" t="inlineStr">
        <is>
          <t>convencional</t>
        </is>
      </c>
      <c r="E1555" t="inlineStr">
        <is>
          <t>2024-01</t>
        </is>
      </c>
      <c r="F1555" t="n">
        <v>38261.8</v>
      </c>
      <c r="G1555" t="n">
        <v>757648.1</v>
      </c>
      <c r="H1555" t="n">
        <v>764699.8</v>
      </c>
      <c r="I1555">
        <f>DAY(EOMONTH(DATE(VALUE(LEFT(E1555,4)),VALUE(RIGHT(E1555,2)),1),0))</f>
        <v/>
      </c>
      <c r="J1555">
        <f>VALUE(LEFT(E1555,4))*12+VALUE(RIGHT(E1555,2))-1</f>
        <v/>
      </c>
    </row>
    <row r="1556">
      <c r="A1556" t="inlineStr">
        <is>
          <t>Los Perales</t>
        </is>
      </c>
      <c r="B1556" t="inlineStr">
        <is>
          <t>Golfo San Jorge</t>
        </is>
      </c>
      <c r="C1556" t="inlineStr">
        <is>
          <t>YPF S.A.</t>
        </is>
      </c>
      <c r="D1556" t="inlineStr">
        <is>
          <t>convencional</t>
        </is>
      </c>
      <c r="E1556" t="inlineStr">
        <is>
          <t>2024-02</t>
        </is>
      </c>
      <c r="F1556" t="n">
        <v>35057.7</v>
      </c>
      <c r="G1556" t="n">
        <v>691930</v>
      </c>
      <c r="H1556" t="n">
        <v>689243.6</v>
      </c>
      <c r="I1556">
        <f>DAY(EOMONTH(DATE(VALUE(LEFT(E1556,4)),VALUE(RIGHT(E1556,2)),1),0))</f>
        <v/>
      </c>
      <c r="J1556">
        <f>VALUE(LEFT(E1556,4))*12+VALUE(RIGHT(E1556,2))-1</f>
        <v/>
      </c>
    </row>
    <row r="1557">
      <c r="A1557" t="inlineStr">
        <is>
          <t>Los Perales</t>
        </is>
      </c>
      <c r="B1557" t="inlineStr">
        <is>
          <t>Golfo San Jorge</t>
        </is>
      </c>
      <c r="C1557" t="inlineStr">
        <is>
          <t>YPF S.A.</t>
        </is>
      </c>
      <c r="D1557" t="inlineStr">
        <is>
          <t>convencional</t>
        </is>
      </c>
      <c r="E1557" t="inlineStr">
        <is>
          <t>2024-03</t>
        </is>
      </c>
      <c r="F1557" t="n">
        <v>37857.5</v>
      </c>
      <c r="G1557" t="n">
        <v>723436.8</v>
      </c>
      <c r="H1557" t="n">
        <v>739402.1</v>
      </c>
      <c r="I1557">
        <f>DAY(EOMONTH(DATE(VALUE(LEFT(E1557,4)),VALUE(RIGHT(E1557,2)),1),0))</f>
        <v/>
      </c>
      <c r="J1557">
        <f>VALUE(LEFT(E1557,4))*12+VALUE(RIGHT(E1557,2))-1</f>
        <v/>
      </c>
    </row>
    <row r="1558">
      <c r="A1558" t="inlineStr">
        <is>
          <t>Los Perales</t>
        </is>
      </c>
      <c r="B1558" t="inlineStr">
        <is>
          <t>Golfo San Jorge</t>
        </is>
      </c>
      <c r="C1558" t="inlineStr">
        <is>
          <t>YPF S.A.</t>
        </is>
      </c>
      <c r="D1558" t="inlineStr">
        <is>
          <t>convencional</t>
        </is>
      </c>
      <c r="E1558" t="inlineStr">
        <is>
          <t>2024-04</t>
        </is>
      </c>
      <c r="F1558" t="n">
        <v>35800.2</v>
      </c>
      <c r="G1558" t="n">
        <v>660269.8</v>
      </c>
      <c r="H1558" t="n">
        <v>720122.3</v>
      </c>
      <c r="I1558">
        <f>DAY(EOMONTH(DATE(VALUE(LEFT(E1558,4)),VALUE(RIGHT(E1558,2)),1),0))</f>
        <v/>
      </c>
      <c r="J1558">
        <f>VALUE(LEFT(E1558,4))*12+VALUE(RIGHT(E1558,2))-1</f>
        <v/>
      </c>
    </row>
    <row r="1559">
      <c r="A1559" t="inlineStr">
        <is>
          <t>Los Perales</t>
        </is>
      </c>
      <c r="B1559" t="inlineStr">
        <is>
          <t>Golfo San Jorge</t>
        </is>
      </c>
      <c r="C1559" t="inlineStr">
        <is>
          <t>YPF S.A.</t>
        </is>
      </c>
      <c r="D1559" t="inlineStr">
        <is>
          <t>convencional</t>
        </is>
      </c>
      <c r="E1559" t="inlineStr">
        <is>
          <t>2024-05</t>
        </is>
      </c>
      <c r="F1559" t="n">
        <v>36531.7</v>
      </c>
      <c r="G1559" t="n">
        <v>681573.2</v>
      </c>
      <c r="H1559" t="n">
        <v>741713.9</v>
      </c>
      <c r="I1559">
        <f>DAY(EOMONTH(DATE(VALUE(LEFT(E1559,4)),VALUE(RIGHT(E1559,2)),1),0))</f>
        <v/>
      </c>
      <c r="J1559">
        <f>VALUE(LEFT(E1559,4))*12+VALUE(RIGHT(E1559,2))-1</f>
        <v/>
      </c>
    </row>
    <row r="1560">
      <c r="A1560" t="inlineStr">
        <is>
          <t>Los Perales</t>
        </is>
      </c>
      <c r="B1560" t="inlineStr">
        <is>
          <t>Golfo San Jorge</t>
        </is>
      </c>
      <c r="C1560" t="inlineStr">
        <is>
          <t>YPF S.A.</t>
        </is>
      </c>
      <c r="D1560" t="inlineStr">
        <is>
          <t>convencional</t>
        </is>
      </c>
      <c r="E1560" t="inlineStr">
        <is>
          <t>2024-06</t>
        </is>
      </c>
      <c r="F1560" t="n">
        <v>32612.7</v>
      </c>
      <c r="G1560" t="n">
        <v>633248.7</v>
      </c>
      <c r="H1560" t="n">
        <v>702955.6</v>
      </c>
      <c r="I1560">
        <f>DAY(EOMONTH(DATE(VALUE(LEFT(E1560,4)),VALUE(RIGHT(E1560,2)),1),0))</f>
        <v/>
      </c>
      <c r="J1560">
        <f>VALUE(LEFT(E1560,4))*12+VALUE(RIGHT(E1560,2))-1</f>
        <v/>
      </c>
    </row>
    <row r="1561">
      <c r="A1561" t="inlineStr">
        <is>
          <t>Los Perales</t>
        </is>
      </c>
      <c r="B1561" t="inlineStr">
        <is>
          <t>Golfo San Jorge</t>
        </is>
      </c>
      <c r="C1561" t="inlineStr">
        <is>
          <t>YPF S.A.</t>
        </is>
      </c>
      <c r="D1561" t="inlineStr">
        <is>
          <t>convencional</t>
        </is>
      </c>
      <c r="E1561" t="inlineStr">
        <is>
          <t>2024-07</t>
        </is>
      </c>
      <c r="F1561" t="n">
        <v>29260.8</v>
      </c>
      <c r="G1561" t="n">
        <v>576491.4</v>
      </c>
      <c r="H1561" t="n">
        <v>644705.1</v>
      </c>
      <c r="I1561">
        <f>DAY(EOMONTH(DATE(VALUE(LEFT(E1561,4)),VALUE(RIGHT(E1561,2)),1),0))</f>
        <v/>
      </c>
      <c r="J1561">
        <f>VALUE(LEFT(E1561,4))*12+VALUE(RIGHT(E1561,2))-1</f>
        <v/>
      </c>
    </row>
    <row r="1562">
      <c r="A1562" t="inlineStr">
        <is>
          <t>Los Perales</t>
        </is>
      </c>
      <c r="B1562" t="inlineStr">
        <is>
          <t>Golfo San Jorge</t>
        </is>
      </c>
      <c r="C1562" t="inlineStr">
        <is>
          <t>YPF S.A.</t>
        </is>
      </c>
      <c r="D1562" t="inlineStr">
        <is>
          <t>convencional</t>
        </is>
      </c>
      <c r="E1562" t="inlineStr">
        <is>
          <t>2024-08</t>
        </is>
      </c>
      <c r="F1562" t="n">
        <v>33630.8</v>
      </c>
      <c r="G1562" t="n">
        <v>650305.6</v>
      </c>
      <c r="H1562" t="n">
        <v>731421.9</v>
      </c>
      <c r="I1562">
        <f>DAY(EOMONTH(DATE(VALUE(LEFT(E1562,4)),VALUE(RIGHT(E1562,2)),1),0))</f>
        <v/>
      </c>
      <c r="J1562">
        <f>VALUE(LEFT(E1562,4))*12+VALUE(RIGHT(E1562,2))-1</f>
        <v/>
      </c>
    </row>
    <row r="1563">
      <c r="A1563" t="inlineStr">
        <is>
          <t>Los Perales</t>
        </is>
      </c>
      <c r="B1563" t="inlineStr">
        <is>
          <t>Golfo San Jorge</t>
        </is>
      </c>
      <c r="C1563" t="inlineStr">
        <is>
          <t>YPF S.A.</t>
        </is>
      </c>
      <c r="D1563" t="inlineStr">
        <is>
          <t>convencional</t>
        </is>
      </c>
      <c r="E1563" t="inlineStr">
        <is>
          <t>2024-09</t>
        </is>
      </c>
      <c r="F1563" t="n">
        <v>33142</v>
      </c>
      <c r="G1563" t="n">
        <v>644699.8</v>
      </c>
      <c r="H1563" t="n">
        <v>725313.6</v>
      </c>
      <c r="I1563">
        <f>DAY(EOMONTH(DATE(VALUE(LEFT(E1563,4)),VALUE(RIGHT(E1563,2)),1),0))</f>
        <v/>
      </c>
      <c r="J1563">
        <f>VALUE(LEFT(E1563,4))*12+VALUE(RIGHT(E1563,2))-1</f>
        <v/>
      </c>
    </row>
    <row r="1564">
      <c r="A1564" t="inlineStr">
        <is>
          <t>Los Perales</t>
        </is>
      </c>
      <c r="B1564" t="inlineStr">
        <is>
          <t>Golfo San Jorge</t>
        </is>
      </c>
      <c r="C1564" t="inlineStr">
        <is>
          <t>YPF S.A.</t>
        </is>
      </c>
      <c r="D1564" t="inlineStr">
        <is>
          <t>convencional</t>
        </is>
      </c>
      <c r="E1564" t="inlineStr">
        <is>
          <t>2024-10</t>
        </is>
      </c>
      <c r="F1564" t="n">
        <v>34416.7</v>
      </c>
      <c r="G1564" t="n">
        <v>675892.8</v>
      </c>
      <c r="H1564" t="n">
        <v>746233.2</v>
      </c>
      <c r="I1564">
        <f>DAY(EOMONTH(DATE(VALUE(LEFT(E1564,4)),VALUE(RIGHT(E1564,2)),1),0))</f>
        <v/>
      </c>
      <c r="J1564">
        <f>VALUE(LEFT(E1564,4))*12+VALUE(RIGHT(E1564,2))-1</f>
        <v/>
      </c>
    </row>
    <row r="1565">
      <c r="A1565" t="inlineStr">
        <is>
          <t>Los Perales</t>
        </is>
      </c>
      <c r="B1565" t="inlineStr">
        <is>
          <t>Golfo San Jorge</t>
        </is>
      </c>
      <c r="C1565" t="inlineStr">
        <is>
          <t>YPF S.A.</t>
        </is>
      </c>
      <c r="D1565" t="inlineStr">
        <is>
          <t>convencional</t>
        </is>
      </c>
      <c r="E1565" t="inlineStr">
        <is>
          <t>2024-11</t>
        </is>
      </c>
      <c r="F1565" t="n">
        <v>33458.7</v>
      </c>
      <c r="G1565" t="n">
        <v>657991.6</v>
      </c>
      <c r="H1565" t="n">
        <v>719797.9</v>
      </c>
      <c r="I1565">
        <f>DAY(EOMONTH(DATE(VALUE(LEFT(E1565,4)),VALUE(RIGHT(E1565,2)),1),0))</f>
        <v/>
      </c>
      <c r="J1565">
        <f>VALUE(LEFT(E1565,4))*12+VALUE(RIGHT(E1565,2))-1</f>
        <v/>
      </c>
    </row>
    <row r="1566">
      <c r="A1566" t="inlineStr">
        <is>
          <t>Los Perales</t>
        </is>
      </c>
      <c r="B1566" t="inlineStr">
        <is>
          <t>Golfo San Jorge</t>
        </is>
      </c>
      <c r="C1566" t="inlineStr">
        <is>
          <t>YPF S.A.</t>
        </is>
      </c>
      <c r="D1566" t="inlineStr">
        <is>
          <t>convencional</t>
        </is>
      </c>
      <c r="E1566" t="inlineStr">
        <is>
          <t>2024-12</t>
        </is>
      </c>
      <c r="F1566" t="n">
        <v>33999.8</v>
      </c>
      <c r="G1566" t="n">
        <v>666732.6</v>
      </c>
      <c r="H1566" t="n">
        <v>730331.8</v>
      </c>
      <c r="I1566">
        <f>DAY(EOMONTH(DATE(VALUE(LEFT(E1566,4)),VALUE(RIGHT(E1566,2)),1),0))</f>
        <v/>
      </c>
      <c r="J1566">
        <f>VALUE(LEFT(E1566,4))*12+VALUE(RIGHT(E1566,2))-1</f>
        <v/>
      </c>
    </row>
    <row r="1567">
      <c r="A1567" t="inlineStr">
        <is>
          <t>Los Perales</t>
        </is>
      </c>
      <c r="B1567" t="inlineStr">
        <is>
          <t>Golfo San Jorge</t>
        </is>
      </c>
      <c r="C1567" t="inlineStr">
        <is>
          <t>YPF S.A.</t>
        </is>
      </c>
      <c r="D1567" t="inlineStr">
        <is>
          <t>convencional</t>
        </is>
      </c>
      <c r="E1567" t="inlineStr">
        <is>
          <t>2025-01</t>
        </is>
      </c>
      <c r="F1567" t="n">
        <v>33176.7</v>
      </c>
      <c r="G1567" t="n">
        <v>646430.8</v>
      </c>
      <c r="H1567" t="n">
        <v>725072</v>
      </c>
      <c r="I1567">
        <f>DAY(EOMONTH(DATE(VALUE(LEFT(E1567,4)),VALUE(RIGHT(E1567,2)),1),0))</f>
        <v/>
      </c>
      <c r="J1567">
        <f>VALUE(LEFT(E1567,4))*12+VALUE(RIGHT(E1567,2))-1</f>
        <v/>
      </c>
    </row>
    <row r="1568">
      <c r="A1568" t="inlineStr">
        <is>
          <t>Los Perales</t>
        </is>
      </c>
      <c r="B1568" t="inlineStr">
        <is>
          <t>Golfo San Jorge</t>
        </is>
      </c>
      <c r="C1568" t="inlineStr">
        <is>
          <t>YPF S.A.</t>
        </is>
      </c>
      <c r="D1568" t="inlineStr">
        <is>
          <t>convencional</t>
        </is>
      </c>
      <c r="E1568" t="inlineStr">
        <is>
          <t>2025-02</t>
        </is>
      </c>
      <c r="F1568" t="n">
        <v>29601</v>
      </c>
      <c r="G1568" t="n">
        <v>590499.9</v>
      </c>
      <c r="H1568" t="n">
        <v>668104.8</v>
      </c>
      <c r="I1568">
        <f>DAY(EOMONTH(DATE(VALUE(LEFT(E1568,4)),VALUE(RIGHT(E1568,2)),1),0))</f>
        <v/>
      </c>
      <c r="J1568">
        <f>VALUE(LEFT(E1568,4))*12+VALUE(RIGHT(E1568,2))-1</f>
        <v/>
      </c>
    </row>
    <row r="1569">
      <c r="A1569" t="inlineStr">
        <is>
          <t>Los Perales</t>
        </is>
      </c>
      <c r="B1569" t="inlineStr">
        <is>
          <t>Golfo San Jorge</t>
        </is>
      </c>
      <c r="C1569" t="inlineStr">
        <is>
          <t>YPF S.A.</t>
        </is>
      </c>
      <c r="D1569" t="inlineStr">
        <is>
          <t>convencional</t>
        </is>
      </c>
      <c r="E1569" t="inlineStr">
        <is>
          <t>2025-03</t>
        </is>
      </c>
      <c r="F1569" t="n">
        <v>32604.4</v>
      </c>
      <c r="G1569" t="n">
        <v>677733.4</v>
      </c>
      <c r="H1569" t="n">
        <v>730261.8</v>
      </c>
      <c r="I1569">
        <f>DAY(EOMONTH(DATE(VALUE(LEFT(E1569,4)),VALUE(RIGHT(E1569,2)),1),0))</f>
        <v/>
      </c>
      <c r="J1569">
        <f>VALUE(LEFT(E1569,4))*12+VALUE(RIGHT(E1569,2))-1</f>
        <v/>
      </c>
    </row>
    <row r="1570">
      <c r="A1570" t="inlineStr">
        <is>
          <t>Los Perales</t>
        </is>
      </c>
      <c r="B1570" t="inlineStr">
        <is>
          <t>Golfo San Jorge</t>
        </is>
      </c>
      <c r="C1570" t="inlineStr">
        <is>
          <t>YPF S.A.</t>
        </is>
      </c>
      <c r="D1570" t="inlineStr">
        <is>
          <t>convencional</t>
        </is>
      </c>
      <c r="E1570" t="inlineStr">
        <is>
          <t>2025-04</t>
        </is>
      </c>
      <c r="F1570" t="n">
        <v>30553.8</v>
      </c>
      <c r="G1570" t="n">
        <v>662839.3</v>
      </c>
      <c r="H1570" t="n">
        <v>697081.2</v>
      </c>
      <c r="I1570">
        <f>DAY(EOMONTH(DATE(VALUE(LEFT(E1570,4)),VALUE(RIGHT(E1570,2)),1),0))</f>
        <v/>
      </c>
      <c r="J1570">
        <f>VALUE(LEFT(E1570,4))*12+VALUE(RIGHT(E1570,2))-1</f>
        <v/>
      </c>
    </row>
    <row r="1571">
      <c r="A1571" t="inlineStr">
        <is>
          <t>Los Perales</t>
        </is>
      </c>
      <c r="B1571" t="inlineStr">
        <is>
          <t>Golfo San Jorge</t>
        </is>
      </c>
      <c r="C1571" t="inlineStr">
        <is>
          <t>YPF S.A.</t>
        </is>
      </c>
      <c r="D1571" t="inlineStr">
        <is>
          <t>convencional</t>
        </is>
      </c>
      <c r="E1571" t="inlineStr">
        <is>
          <t>2025-05</t>
        </is>
      </c>
      <c r="F1571" t="n">
        <v>32581.9</v>
      </c>
      <c r="G1571" t="n">
        <v>680044.6</v>
      </c>
      <c r="H1571" t="n">
        <v>726149.4</v>
      </c>
      <c r="I1571">
        <f>DAY(EOMONTH(DATE(VALUE(LEFT(E1571,4)),VALUE(RIGHT(E1571,2)),1),0))</f>
        <v/>
      </c>
      <c r="J1571">
        <f>VALUE(LEFT(E1571,4))*12+VALUE(RIGHT(E1571,2))-1</f>
        <v/>
      </c>
    </row>
    <row r="1572">
      <c r="A1572" t="inlineStr">
        <is>
          <t>Los Perales</t>
        </is>
      </c>
      <c r="B1572" t="inlineStr">
        <is>
          <t>Golfo San Jorge</t>
        </is>
      </c>
      <c r="C1572" t="inlineStr">
        <is>
          <t>YPF S.A.</t>
        </is>
      </c>
      <c r="D1572" t="inlineStr">
        <is>
          <t>convencional</t>
        </is>
      </c>
      <c r="E1572" t="inlineStr">
        <is>
          <t>2025-06</t>
        </is>
      </c>
      <c r="F1572" t="n">
        <v>29681.8</v>
      </c>
      <c r="G1572" t="n">
        <v>669469</v>
      </c>
      <c r="H1572" t="n">
        <v>692142.8</v>
      </c>
      <c r="I1572">
        <f>DAY(EOMONTH(DATE(VALUE(LEFT(E1572,4)),VALUE(RIGHT(E1572,2)),1),0))</f>
        <v/>
      </c>
      <c r="J1572">
        <f>VALUE(LEFT(E1572,4))*12+VALUE(RIGHT(E1572,2))-1</f>
        <v/>
      </c>
    </row>
    <row r="1573">
      <c r="A1573" t="inlineStr">
        <is>
          <t>Los Perales</t>
        </is>
      </c>
      <c r="B1573" t="inlineStr">
        <is>
          <t>Golfo San Jorge</t>
        </is>
      </c>
      <c r="C1573" t="inlineStr">
        <is>
          <t>YPF S.A.</t>
        </is>
      </c>
      <c r="D1573" t="inlineStr">
        <is>
          <t>convencional</t>
        </is>
      </c>
      <c r="E1573" t="inlineStr">
        <is>
          <t>2025-07</t>
        </is>
      </c>
      <c r="F1573" t="n">
        <v>29363.7</v>
      </c>
      <c r="G1573" t="n">
        <v>663557.6</v>
      </c>
      <c r="H1573" t="n">
        <v>707112.4</v>
      </c>
      <c r="I1573">
        <f>DAY(EOMONTH(DATE(VALUE(LEFT(E1573,4)),VALUE(RIGHT(E1573,2)),1),0))</f>
        <v/>
      </c>
      <c r="J1573">
        <f>VALUE(LEFT(E1573,4))*12+VALUE(RIGHT(E1573,2))-1</f>
        <v/>
      </c>
    </row>
    <row r="1574">
      <c r="A1574" t="inlineStr">
        <is>
          <t>Los Perales</t>
        </is>
      </c>
      <c r="B1574" t="inlineStr">
        <is>
          <t>Golfo San Jorge</t>
        </is>
      </c>
      <c r="C1574" t="inlineStr">
        <is>
          <t>YPF S.A.</t>
        </is>
      </c>
      <c r="D1574" t="inlineStr">
        <is>
          <t>convencional</t>
        </is>
      </c>
      <c r="E1574" t="inlineStr">
        <is>
          <t>2025-08</t>
        </is>
      </c>
      <c r="F1574" t="n">
        <v>29656.3</v>
      </c>
      <c r="G1574" t="n">
        <v>641664.9</v>
      </c>
      <c r="H1574" t="n">
        <v>682196.1</v>
      </c>
      <c r="I1574">
        <f>DAY(EOMONTH(DATE(VALUE(LEFT(E1574,4)),VALUE(RIGHT(E1574,2)),1),0))</f>
        <v/>
      </c>
      <c r="J1574">
        <f>VALUE(LEFT(E1574,4))*12+VALUE(RIGHT(E1574,2))-1</f>
        <v/>
      </c>
    </row>
    <row r="1575">
      <c r="A1575" t="inlineStr">
        <is>
          <t>Los Perales</t>
        </is>
      </c>
      <c r="B1575" t="inlineStr">
        <is>
          <t>Golfo San Jorge</t>
        </is>
      </c>
      <c r="C1575" t="inlineStr">
        <is>
          <t>YPF S.A.</t>
        </is>
      </c>
      <c r="D1575" t="inlineStr">
        <is>
          <t>convencional</t>
        </is>
      </c>
      <c r="E1575" t="inlineStr">
        <is>
          <t>2025-09</t>
        </is>
      </c>
      <c r="F1575" t="n">
        <v>26925.6</v>
      </c>
      <c r="G1575" t="n">
        <v>609670.9</v>
      </c>
      <c r="H1575" t="n">
        <v>634407</v>
      </c>
      <c r="I1575">
        <f>DAY(EOMONTH(DATE(VALUE(LEFT(E1575,4)),VALUE(RIGHT(E1575,2)),1),0))</f>
        <v/>
      </c>
      <c r="J1575">
        <f>VALUE(LEFT(E1575,4))*12+VALUE(RIGHT(E1575,2))-1</f>
        <v/>
      </c>
    </row>
    <row r="1576">
      <c r="A1576" t="inlineStr">
        <is>
          <t>Los Perales</t>
        </is>
      </c>
      <c r="B1576" t="inlineStr">
        <is>
          <t>Golfo San Jorge</t>
        </is>
      </c>
      <c r="C1576" t="inlineStr">
        <is>
          <t>YPF S.A.</t>
        </is>
      </c>
      <c r="D1576" t="inlineStr">
        <is>
          <t>convencional</t>
        </is>
      </c>
      <c r="E1576" t="inlineStr">
        <is>
          <t>2025-10</t>
        </is>
      </c>
      <c r="F1576" t="n">
        <v>29143.3</v>
      </c>
      <c r="G1576" t="n">
        <v>629328</v>
      </c>
      <c r="H1576" t="n">
        <v>648878.1</v>
      </c>
      <c r="I1576">
        <f>DAY(EOMONTH(DATE(VALUE(LEFT(E1576,4)),VALUE(RIGHT(E1576,2)),1),0))</f>
        <v/>
      </c>
      <c r="J1576">
        <f>VALUE(LEFT(E1576,4))*12+VALUE(RIGHT(E1576,2))-1</f>
        <v/>
      </c>
    </row>
    <row r="1577">
      <c r="A1577" t="inlineStr">
        <is>
          <t>Los Perales</t>
        </is>
      </c>
      <c r="B1577" t="inlineStr">
        <is>
          <t>Golfo San Jorge</t>
        </is>
      </c>
      <c r="C1577" t="inlineStr">
        <is>
          <t>YPF S.A.</t>
        </is>
      </c>
      <c r="D1577" t="inlineStr">
        <is>
          <t>convencional</t>
        </is>
      </c>
      <c r="E1577" t="inlineStr">
        <is>
          <t>2025-11</t>
        </is>
      </c>
      <c r="F1577" t="n">
        <v>27612.3</v>
      </c>
      <c r="G1577" t="n">
        <v>627374.3</v>
      </c>
      <c r="H1577" t="n">
        <v>626597.8</v>
      </c>
      <c r="I1577">
        <f>DAY(EOMONTH(DATE(VALUE(LEFT(E1577,4)),VALUE(RIGHT(E1577,2)),1),0))</f>
        <v/>
      </c>
      <c r="J1577">
        <f>VALUE(LEFT(E1577,4))*12+VALUE(RIGHT(E1577,2))-1</f>
        <v/>
      </c>
    </row>
    <row r="1578">
      <c r="A1578" t="inlineStr">
        <is>
          <t>Los Perales</t>
        </is>
      </c>
      <c r="B1578" t="inlineStr">
        <is>
          <t>Golfo San Jorge</t>
        </is>
      </c>
      <c r="C1578" t="inlineStr">
        <is>
          <t>PATAGONIA RESOURCES S.A.</t>
        </is>
      </c>
      <c r="D1578" t="inlineStr">
        <is>
          <t>convencional</t>
        </is>
      </c>
      <c r="E1578" t="inlineStr">
        <is>
          <t>2025-12</t>
        </is>
      </c>
      <c r="F1578" t="n">
        <v>27941.9</v>
      </c>
      <c r="G1578" t="n">
        <v>648032.7</v>
      </c>
      <c r="H1578" t="n">
        <v>689982.5</v>
      </c>
      <c r="I1578">
        <f>DAY(EOMONTH(DATE(VALUE(LEFT(E1578,4)),VALUE(RIGHT(E1578,2)),1),0))</f>
        <v/>
      </c>
      <c r="J1578">
        <f>VALUE(LEFT(E1578,4))*12+VALUE(RIGHT(E1578,2))-1</f>
        <v/>
      </c>
    </row>
    <row r="1579">
      <c r="A1579" t="inlineStr">
        <is>
          <t>Los Perales</t>
        </is>
      </c>
      <c r="B1579" t="inlineStr">
        <is>
          <t>Golfo San Jorge</t>
        </is>
      </c>
      <c r="C1579" t="inlineStr">
        <is>
          <t>PATAGONIA RESOURCES S.A.</t>
        </is>
      </c>
      <c r="D1579" t="inlineStr">
        <is>
          <t>convencional</t>
        </is>
      </c>
      <c r="E1579" t="inlineStr">
        <is>
          <t>2026-01</t>
        </is>
      </c>
      <c r="F1579" t="n">
        <v>28172.9</v>
      </c>
      <c r="G1579" t="n">
        <v>656412.9</v>
      </c>
      <c r="H1579" t="n">
        <v>704529.6</v>
      </c>
      <c r="I1579">
        <f>DAY(EOMONTH(DATE(VALUE(LEFT(E1579,4)),VALUE(RIGHT(E1579,2)),1),0))</f>
        <v/>
      </c>
      <c r="J1579">
        <f>VALUE(LEFT(E1579,4))*12+VALUE(RIGHT(E1579,2))-1</f>
        <v/>
      </c>
    </row>
    <row r="1580">
      <c r="A1580" t="inlineStr">
        <is>
          <t>Los Perales</t>
        </is>
      </c>
      <c r="B1580" t="inlineStr">
        <is>
          <t>Golfo San Jorge</t>
        </is>
      </c>
      <c r="C1580" t="inlineStr">
        <is>
          <t>PATAGONIA RESOURCES S.A.</t>
        </is>
      </c>
      <c r="D1580" t="inlineStr">
        <is>
          <t>convencional</t>
        </is>
      </c>
      <c r="E1580" t="inlineStr">
        <is>
          <t>2026-02</t>
        </is>
      </c>
      <c r="F1580" t="n">
        <v>25188.2</v>
      </c>
      <c r="G1580" t="n">
        <v>585171.5</v>
      </c>
      <c r="H1580" t="n">
        <v>623431.6</v>
      </c>
      <c r="I1580">
        <f>DAY(EOMONTH(DATE(VALUE(LEFT(E1580,4)),VALUE(RIGHT(E1580,2)),1),0))</f>
        <v/>
      </c>
      <c r="J1580">
        <f>VALUE(LEFT(E1580,4))*12+VALUE(RIGHT(E1580,2))-1</f>
        <v/>
      </c>
    </row>
    <row r="1581">
      <c r="A1581" t="inlineStr">
        <is>
          <t>Los Perales</t>
        </is>
      </c>
      <c r="B1581" t="inlineStr">
        <is>
          <t>Golfo San Jorge</t>
        </is>
      </c>
      <c r="C1581" t="inlineStr">
        <is>
          <t>PATAGONIA RESOURCES S.A.</t>
        </is>
      </c>
      <c r="D1581" t="inlineStr">
        <is>
          <t>convencional</t>
        </is>
      </c>
      <c r="E1581" t="inlineStr">
        <is>
          <t>2026-03</t>
        </is>
      </c>
      <c r="F1581" t="n">
        <v>27722.2</v>
      </c>
      <c r="G1581" t="n">
        <v>645413.6</v>
      </c>
      <c r="H1581" t="n">
        <v>691784</v>
      </c>
      <c r="I1581">
        <f>DAY(EOMONTH(DATE(VALUE(LEFT(E1581,4)),VALUE(RIGHT(E1581,2)),1),0))</f>
        <v/>
      </c>
      <c r="J1581">
        <f>VALUE(LEFT(E1581,4))*12+VALUE(RIGHT(E1581,2))-1</f>
        <v/>
      </c>
    </row>
    <row r="1582">
      <c r="A1582" t="inlineStr">
        <is>
          <t>Los Perales</t>
        </is>
      </c>
      <c r="B1582" t="inlineStr">
        <is>
          <t>Golfo San Jorge</t>
        </is>
      </c>
      <c r="C1582" t="inlineStr">
        <is>
          <t>PATAGONIA RESOURCES S.A.</t>
        </is>
      </c>
      <c r="D1582" t="inlineStr">
        <is>
          <t>convencional</t>
        </is>
      </c>
      <c r="E1582" t="inlineStr">
        <is>
          <t>2026-04</t>
        </is>
      </c>
      <c r="F1582" t="n">
        <v>26298.2</v>
      </c>
      <c r="G1582" t="n">
        <v>624584.6</v>
      </c>
      <c r="H1582" t="n">
        <v>672331.5</v>
      </c>
      <c r="I1582">
        <f>DAY(EOMONTH(DATE(VALUE(LEFT(E1582,4)),VALUE(RIGHT(E1582,2)),1),0))</f>
        <v/>
      </c>
      <c r="J1582">
        <f>VALUE(LEFT(E1582,4))*12+VALUE(RIGHT(E1582,2))-1</f>
        <v/>
      </c>
    </row>
    <row r="1583">
      <c r="A1583" t="inlineStr">
        <is>
          <t>Los Perales</t>
        </is>
      </c>
      <c r="B1583" t="inlineStr">
        <is>
          <t>Golfo San Jorge</t>
        </is>
      </c>
      <c r="C1583" t="inlineStr">
        <is>
          <t>PATAGONIA RESOURCES S.A.</t>
        </is>
      </c>
      <c r="D1583" t="inlineStr">
        <is>
          <t>convencional</t>
        </is>
      </c>
      <c r="E1583" t="inlineStr">
        <is>
          <t>2026-05</t>
        </is>
      </c>
      <c r="F1583" t="n">
        <v>27339.8</v>
      </c>
      <c r="G1583" t="n">
        <v>646994.4</v>
      </c>
      <c r="H1583" t="n">
        <v>694421.5</v>
      </c>
      <c r="I1583">
        <f>DAY(EOMONTH(DATE(VALUE(LEFT(E1583,4)),VALUE(RIGHT(E1583,2)),1),0))</f>
        <v/>
      </c>
      <c r="J1583">
        <f>VALUE(LEFT(E1583,4))*12+VALUE(RIGHT(E1583,2))-1</f>
        <v/>
      </c>
    </row>
    <row r="1584">
      <c r="A1584" t="inlineStr">
        <is>
          <t>Los Perales</t>
        </is>
      </c>
      <c r="B1584" t="inlineStr">
        <is>
          <t>Golfo San Jorge</t>
        </is>
      </c>
      <c r="C1584" t="inlineStr">
        <is>
          <t>PATAGONIA RESOURCES S.A.</t>
        </is>
      </c>
      <c r="D1584" t="inlineStr">
        <is>
          <t>convencional</t>
        </is>
      </c>
      <c r="E1584" t="inlineStr">
        <is>
          <t>2026-06</t>
        </is>
      </c>
      <c r="F1584" t="n">
        <v>26137.3</v>
      </c>
      <c r="G1584" t="n">
        <v>619222.4</v>
      </c>
      <c r="H1584" t="n">
        <v>661041.3</v>
      </c>
      <c r="I1584">
        <f>DAY(EOMONTH(DATE(VALUE(LEFT(E1584,4)),VALUE(RIGHT(E1584,2)),1),0))</f>
        <v/>
      </c>
      <c r="J1584">
        <f>VALUE(LEFT(E1584,4))*12+VALUE(RIGHT(E1584,2))-1</f>
        <v/>
      </c>
    </row>
    <row r="1585">
      <c r="A1585" t="inlineStr">
        <is>
          <t>Los Perales</t>
        </is>
      </c>
      <c r="B1585" t="inlineStr">
        <is>
          <t>Golfo San Jorge</t>
        </is>
      </c>
      <c r="C1585" t="inlineStr">
        <is>
          <t>PATAGONIA RESOURCES S.A.</t>
        </is>
      </c>
      <c r="D1585" t="inlineStr">
        <is>
          <t>convencional</t>
        </is>
      </c>
      <c r="E1585" t="inlineStr">
        <is>
          <t>2026-07</t>
        </is>
      </c>
      <c r="F1585" t="n">
        <v>25349.5</v>
      </c>
      <c r="G1585" t="n">
        <v>618022.2</v>
      </c>
      <c r="H1585" t="n">
        <v>663853.9</v>
      </c>
      <c r="I1585">
        <f>DAY(EOMONTH(DATE(VALUE(LEFT(E1585,4)),VALUE(RIGHT(E1585,2)),1),0))</f>
        <v/>
      </c>
      <c r="J1585">
        <f>VALUE(LEFT(E1585,4))*12+VALUE(RIGHT(E1585,2))-1</f>
        <v/>
      </c>
    </row>
    <row r="1586">
      <c r="A1586" t="inlineStr">
        <is>
          <t>Manantiales Behr</t>
        </is>
      </c>
      <c r="B1586" t="inlineStr">
        <is>
          <t>Golfo San Jorge</t>
        </is>
      </c>
      <c r="C1586" t="inlineStr">
        <is>
          <t>YPF S.A.</t>
        </is>
      </c>
      <c r="D1586" t="inlineStr">
        <is>
          <t>convencional</t>
        </is>
      </c>
      <c r="E1586" t="inlineStr">
        <is>
          <t>2006-01</t>
        </is>
      </c>
      <c r="F1586" t="n">
        <v>75885.5</v>
      </c>
      <c r="G1586" t="n">
        <v>253704.6</v>
      </c>
      <c r="H1586" t="n">
        <v>260823</v>
      </c>
      <c r="I1586">
        <f>DAY(EOMONTH(DATE(VALUE(LEFT(E1586,4)),VALUE(RIGHT(E1586,2)),1),0))</f>
        <v/>
      </c>
      <c r="J1586">
        <f>VALUE(LEFT(E1586,4))*12+VALUE(RIGHT(E1586,2))-1</f>
        <v/>
      </c>
    </row>
    <row r="1587">
      <c r="A1587" t="inlineStr">
        <is>
          <t>Manantiales Behr</t>
        </is>
      </c>
      <c r="B1587" t="inlineStr">
        <is>
          <t>Golfo San Jorge</t>
        </is>
      </c>
      <c r="C1587" t="inlineStr">
        <is>
          <t>YPF S.A.</t>
        </is>
      </c>
      <c r="D1587" t="inlineStr">
        <is>
          <t>convencional</t>
        </is>
      </c>
      <c r="E1587" t="inlineStr">
        <is>
          <t>2006-02</t>
        </is>
      </c>
      <c r="F1587" t="n">
        <v>68626.5</v>
      </c>
      <c r="G1587" t="n">
        <v>226337.5</v>
      </c>
      <c r="H1587" t="n">
        <v>233644</v>
      </c>
      <c r="I1587">
        <f>DAY(EOMONTH(DATE(VALUE(LEFT(E1587,4)),VALUE(RIGHT(E1587,2)),1),0))</f>
        <v/>
      </c>
      <c r="J1587">
        <f>VALUE(LEFT(E1587,4))*12+VALUE(RIGHT(E1587,2))-1</f>
        <v/>
      </c>
    </row>
    <row r="1588">
      <c r="A1588" t="inlineStr">
        <is>
          <t>Manantiales Behr</t>
        </is>
      </c>
      <c r="B1588" t="inlineStr">
        <is>
          <t>Golfo San Jorge</t>
        </is>
      </c>
      <c r="C1588" t="inlineStr">
        <is>
          <t>YPF S.A.</t>
        </is>
      </c>
      <c r="D1588" t="inlineStr">
        <is>
          <t>convencional</t>
        </is>
      </c>
      <c r="E1588" t="inlineStr">
        <is>
          <t>2006-03</t>
        </is>
      </c>
      <c r="F1588" t="n">
        <v>78046.10000000001</v>
      </c>
      <c r="G1588" t="n">
        <v>239640</v>
      </c>
      <c r="H1588" t="n">
        <v>248129</v>
      </c>
      <c r="I1588">
        <f>DAY(EOMONTH(DATE(VALUE(LEFT(E1588,4)),VALUE(RIGHT(E1588,2)),1),0))</f>
        <v/>
      </c>
      <c r="J1588">
        <f>VALUE(LEFT(E1588,4))*12+VALUE(RIGHT(E1588,2))-1</f>
        <v/>
      </c>
    </row>
    <row r="1589">
      <c r="A1589" t="inlineStr">
        <is>
          <t>Manantiales Behr</t>
        </is>
      </c>
      <c r="B1589" t="inlineStr">
        <is>
          <t>Golfo San Jorge</t>
        </is>
      </c>
      <c r="C1589" t="inlineStr">
        <is>
          <t>YPF S.A.</t>
        </is>
      </c>
      <c r="D1589" t="inlineStr">
        <is>
          <t>convencional</t>
        </is>
      </c>
      <c r="E1589" t="inlineStr">
        <is>
          <t>2006-04</t>
        </is>
      </c>
      <c r="F1589" t="n">
        <v>75749.2</v>
      </c>
      <c r="G1589" t="n">
        <v>235121.4</v>
      </c>
      <c r="H1589" t="n">
        <v>240997</v>
      </c>
      <c r="I1589">
        <f>DAY(EOMONTH(DATE(VALUE(LEFT(E1589,4)),VALUE(RIGHT(E1589,2)),1),0))</f>
        <v/>
      </c>
      <c r="J1589">
        <f>VALUE(LEFT(E1589,4))*12+VALUE(RIGHT(E1589,2))-1</f>
        <v/>
      </c>
    </row>
    <row r="1590">
      <c r="A1590" t="inlineStr">
        <is>
          <t>Manantiales Behr</t>
        </is>
      </c>
      <c r="B1590" t="inlineStr">
        <is>
          <t>Golfo San Jorge</t>
        </is>
      </c>
      <c r="C1590" t="inlineStr">
        <is>
          <t>YPF S.A.</t>
        </is>
      </c>
      <c r="D1590" t="inlineStr">
        <is>
          <t>convencional</t>
        </is>
      </c>
      <c r="E1590" t="inlineStr">
        <is>
          <t>2006-05</t>
        </is>
      </c>
      <c r="F1590" t="n">
        <v>80787.10000000001</v>
      </c>
      <c r="G1590" t="n">
        <v>240347.2</v>
      </c>
      <c r="H1590" t="n">
        <v>250907</v>
      </c>
      <c r="I1590">
        <f>DAY(EOMONTH(DATE(VALUE(LEFT(E1590,4)),VALUE(RIGHT(E1590,2)),1),0))</f>
        <v/>
      </c>
      <c r="J1590">
        <f>VALUE(LEFT(E1590,4))*12+VALUE(RIGHT(E1590,2))-1</f>
        <v/>
      </c>
    </row>
    <row r="1591">
      <c r="A1591" t="inlineStr">
        <is>
          <t>Manantiales Behr</t>
        </is>
      </c>
      <c r="B1591" t="inlineStr">
        <is>
          <t>Golfo San Jorge</t>
        </is>
      </c>
      <c r="C1591" t="inlineStr">
        <is>
          <t>YPF S.A.</t>
        </is>
      </c>
      <c r="D1591" t="inlineStr">
        <is>
          <t>convencional</t>
        </is>
      </c>
      <c r="E1591" t="inlineStr">
        <is>
          <t>2006-06</t>
        </is>
      </c>
      <c r="F1591" t="n">
        <v>76556.10000000001</v>
      </c>
      <c r="G1591" t="n">
        <v>233857</v>
      </c>
      <c r="H1591" t="n">
        <v>243695</v>
      </c>
      <c r="I1591">
        <f>DAY(EOMONTH(DATE(VALUE(LEFT(E1591,4)),VALUE(RIGHT(E1591,2)),1),0))</f>
        <v/>
      </c>
      <c r="J1591">
        <f>VALUE(LEFT(E1591,4))*12+VALUE(RIGHT(E1591,2))-1</f>
        <v/>
      </c>
    </row>
    <row r="1592">
      <c r="A1592" t="inlineStr">
        <is>
          <t>Manantiales Behr</t>
        </is>
      </c>
      <c r="B1592" t="inlineStr">
        <is>
          <t>Golfo San Jorge</t>
        </is>
      </c>
      <c r="C1592" t="inlineStr">
        <is>
          <t>YPF S.A.</t>
        </is>
      </c>
      <c r="D1592" t="inlineStr">
        <is>
          <t>convencional</t>
        </is>
      </c>
      <c r="E1592" t="inlineStr">
        <is>
          <t>2006-07</t>
        </is>
      </c>
      <c r="F1592" t="n">
        <v>82333.60000000001</v>
      </c>
      <c r="G1592" t="n">
        <v>235120.9</v>
      </c>
      <c r="H1592" t="n">
        <v>244961</v>
      </c>
      <c r="I1592">
        <f>DAY(EOMONTH(DATE(VALUE(LEFT(E1592,4)),VALUE(RIGHT(E1592,2)),1),0))</f>
        <v/>
      </c>
      <c r="J1592">
        <f>VALUE(LEFT(E1592,4))*12+VALUE(RIGHT(E1592,2))-1</f>
        <v/>
      </c>
    </row>
    <row r="1593">
      <c r="A1593" t="inlineStr">
        <is>
          <t>Manantiales Behr</t>
        </is>
      </c>
      <c r="B1593" t="inlineStr">
        <is>
          <t>Golfo San Jorge</t>
        </is>
      </c>
      <c r="C1593" t="inlineStr">
        <is>
          <t>YPF S.A.</t>
        </is>
      </c>
      <c r="D1593" t="inlineStr">
        <is>
          <t>convencional</t>
        </is>
      </c>
      <c r="E1593" t="inlineStr">
        <is>
          <t>2006-08</t>
        </is>
      </c>
      <c r="F1593" t="n">
        <v>80948.3</v>
      </c>
      <c r="G1593" t="n">
        <v>231235.6</v>
      </c>
      <c r="H1593" t="n">
        <v>240863</v>
      </c>
      <c r="I1593">
        <f>DAY(EOMONTH(DATE(VALUE(LEFT(E1593,4)),VALUE(RIGHT(E1593,2)),1),0))</f>
        <v/>
      </c>
      <c r="J1593">
        <f>VALUE(LEFT(E1593,4))*12+VALUE(RIGHT(E1593,2))-1</f>
        <v/>
      </c>
    </row>
    <row r="1594">
      <c r="A1594" t="inlineStr">
        <is>
          <t>Manantiales Behr</t>
        </is>
      </c>
      <c r="B1594" t="inlineStr">
        <is>
          <t>Golfo San Jorge</t>
        </is>
      </c>
      <c r="C1594" t="inlineStr">
        <is>
          <t>YPF S.A.</t>
        </is>
      </c>
      <c r="D1594" t="inlineStr">
        <is>
          <t>convencional</t>
        </is>
      </c>
      <c r="E1594" t="inlineStr">
        <is>
          <t>2006-09</t>
        </is>
      </c>
      <c r="F1594" t="n">
        <v>77530.10000000001</v>
      </c>
      <c r="G1594" t="n">
        <v>216525.8</v>
      </c>
      <c r="H1594" t="n">
        <v>225587</v>
      </c>
      <c r="I1594">
        <f>DAY(EOMONTH(DATE(VALUE(LEFT(E1594,4)),VALUE(RIGHT(E1594,2)),1),0))</f>
        <v/>
      </c>
      <c r="J1594">
        <f>VALUE(LEFT(E1594,4))*12+VALUE(RIGHT(E1594,2))-1</f>
        <v/>
      </c>
    </row>
    <row r="1595">
      <c r="A1595" t="inlineStr">
        <is>
          <t>Manantiales Behr</t>
        </is>
      </c>
      <c r="B1595" t="inlineStr">
        <is>
          <t>Golfo San Jorge</t>
        </is>
      </c>
      <c r="C1595" t="inlineStr">
        <is>
          <t>YPF S.A.</t>
        </is>
      </c>
      <c r="D1595" t="inlineStr">
        <is>
          <t>convencional</t>
        </is>
      </c>
      <c r="E1595" t="inlineStr">
        <is>
          <t>2006-10</t>
        </is>
      </c>
      <c r="F1595" t="n">
        <v>80660</v>
      </c>
      <c r="G1595" t="n">
        <v>225320.8</v>
      </c>
      <c r="H1595" t="n">
        <v>233889</v>
      </c>
      <c r="I1595">
        <f>DAY(EOMONTH(DATE(VALUE(LEFT(E1595,4)),VALUE(RIGHT(E1595,2)),1),0))</f>
        <v/>
      </c>
      <c r="J1595">
        <f>VALUE(LEFT(E1595,4))*12+VALUE(RIGHT(E1595,2))-1</f>
        <v/>
      </c>
    </row>
    <row r="1596">
      <c r="A1596" t="inlineStr">
        <is>
          <t>Manantiales Behr</t>
        </is>
      </c>
      <c r="B1596" t="inlineStr">
        <is>
          <t>Golfo San Jorge</t>
        </is>
      </c>
      <c r="C1596" t="inlineStr">
        <is>
          <t>YPF S.A.</t>
        </is>
      </c>
      <c r="D1596" t="inlineStr">
        <is>
          <t>convencional</t>
        </is>
      </c>
      <c r="E1596" t="inlineStr">
        <is>
          <t>2006-11</t>
        </is>
      </c>
      <c r="F1596" t="n">
        <v>67403.10000000001</v>
      </c>
      <c r="G1596" t="n">
        <v>194796.5</v>
      </c>
      <c r="H1596" t="n">
        <v>197487.1</v>
      </c>
      <c r="I1596">
        <f>DAY(EOMONTH(DATE(VALUE(LEFT(E1596,4)),VALUE(RIGHT(E1596,2)),1),0))</f>
        <v/>
      </c>
      <c r="J1596">
        <f>VALUE(LEFT(E1596,4))*12+VALUE(RIGHT(E1596,2))-1</f>
        <v/>
      </c>
    </row>
    <row r="1597">
      <c r="A1597" t="inlineStr">
        <is>
          <t>Manantiales Behr</t>
        </is>
      </c>
      <c r="B1597" t="inlineStr">
        <is>
          <t>Golfo San Jorge</t>
        </is>
      </c>
      <c r="C1597" t="inlineStr">
        <is>
          <t>YPF S.A.</t>
        </is>
      </c>
      <c r="D1597" t="inlineStr">
        <is>
          <t>convencional</t>
        </is>
      </c>
      <c r="E1597" t="inlineStr">
        <is>
          <t>2006-12</t>
        </is>
      </c>
      <c r="F1597" t="n">
        <v>80671</v>
      </c>
      <c r="G1597" t="n">
        <v>235863</v>
      </c>
      <c r="H1597" t="n">
        <v>241133</v>
      </c>
      <c r="I1597">
        <f>DAY(EOMONTH(DATE(VALUE(LEFT(E1597,4)),VALUE(RIGHT(E1597,2)),1),0))</f>
        <v/>
      </c>
      <c r="J1597">
        <f>VALUE(LEFT(E1597,4))*12+VALUE(RIGHT(E1597,2))-1</f>
        <v/>
      </c>
    </row>
    <row r="1598">
      <c r="A1598" t="inlineStr">
        <is>
          <t>Manantiales Behr</t>
        </is>
      </c>
      <c r="B1598" t="inlineStr">
        <is>
          <t>Golfo San Jorge</t>
        </is>
      </c>
      <c r="C1598" t="inlineStr">
        <is>
          <t>YPF S.A.</t>
        </is>
      </c>
      <c r="D1598" t="inlineStr">
        <is>
          <t>convencional</t>
        </is>
      </c>
      <c r="E1598" t="inlineStr">
        <is>
          <t>2007-01</t>
        </is>
      </c>
      <c r="F1598" t="n">
        <v>81465.60000000001</v>
      </c>
      <c r="G1598" t="n">
        <v>230773.1</v>
      </c>
      <c r="H1598" t="n">
        <v>239359</v>
      </c>
      <c r="I1598">
        <f>DAY(EOMONTH(DATE(VALUE(LEFT(E1598,4)),VALUE(RIGHT(E1598,2)),1),0))</f>
        <v/>
      </c>
      <c r="J1598">
        <f>VALUE(LEFT(E1598,4))*12+VALUE(RIGHT(E1598,2))-1</f>
        <v/>
      </c>
    </row>
    <row r="1599">
      <c r="A1599" t="inlineStr">
        <is>
          <t>Manantiales Behr</t>
        </is>
      </c>
      <c r="B1599" t="inlineStr">
        <is>
          <t>Golfo San Jorge</t>
        </is>
      </c>
      <c r="C1599" t="inlineStr">
        <is>
          <t>YPF S.A.</t>
        </is>
      </c>
      <c r="D1599" t="inlineStr">
        <is>
          <t>convencional</t>
        </is>
      </c>
      <c r="E1599" t="inlineStr">
        <is>
          <t>2007-02</t>
        </is>
      </c>
      <c r="F1599" t="n">
        <v>74538.39999999999</v>
      </c>
      <c r="G1599" t="n">
        <v>191626.4</v>
      </c>
      <c r="H1599" t="n">
        <v>198881</v>
      </c>
      <c r="I1599">
        <f>DAY(EOMONTH(DATE(VALUE(LEFT(E1599,4)),VALUE(RIGHT(E1599,2)),1),0))</f>
        <v/>
      </c>
      <c r="J1599">
        <f>VALUE(LEFT(E1599,4))*12+VALUE(RIGHT(E1599,2))-1</f>
        <v/>
      </c>
    </row>
    <row r="1600">
      <c r="A1600" t="inlineStr">
        <is>
          <t>Manantiales Behr</t>
        </is>
      </c>
      <c r="B1600" t="inlineStr">
        <is>
          <t>Golfo San Jorge</t>
        </is>
      </c>
      <c r="C1600" t="inlineStr">
        <is>
          <t>YPF S.A.</t>
        </is>
      </c>
      <c r="D1600" t="inlineStr">
        <is>
          <t>convencional</t>
        </is>
      </c>
      <c r="E1600" t="inlineStr">
        <is>
          <t>2007-03</t>
        </is>
      </c>
      <c r="F1600" t="n">
        <v>81104.39999999999</v>
      </c>
      <c r="G1600" t="n">
        <v>233509</v>
      </c>
      <c r="H1600" t="n">
        <v>243042</v>
      </c>
      <c r="I1600">
        <f>DAY(EOMONTH(DATE(VALUE(LEFT(E1600,4)),VALUE(RIGHT(E1600,2)),1),0))</f>
        <v/>
      </c>
      <c r="J1600">
        <f>VALUE(LEFT(E1600,4))*12+VALUE(RIGHT(E1600,2))-1</f>
        <v/>
      </c>
    </row>
    <row r="1601">
      <c r="A1601" t="inlineStr">
        <is>
          <t>Manantiales Behr</t>
        </is>
      </c>
      <c r="B1601" t="inlineStr">
        <is>
          <t>Golfo San Jorge</t>
        </is>
      </c>
      <c r="C1601" t="inlineStr">
        <is>
          <t>YPF S.A.</t>
        </is>
      </c>
      <c r="D1601" t="inlineStr">
        <is>
          <t>convencional</t>
        </is>
      </c>
      <c r="E1601" t="inlineStr">
        <is>
          <t>2007-04</t>
        </is>
      </c>
      <c r="F1601" t="n">
        <v>79370.10000000001</v>
      </c>
      <c r="G1601" t="n">
        <v>237359.2</v>
      </c>
      <c r="H1601" t="n">
        <v>242721</v>
      </c>
      <c r="I1601">
        <f>DAY(EOMONTH(DATE(VALUE(LEFT(E1601,4)),VALUE(RIGHT(E1601,2)),1),0))</f>
        <v/>
      </c>
      <c r="J1601">
        <f>VALUE(LEFT(E1601,4))*12+VALUE(RIGHT(E1601,2))-1</f>
        <v/>
      </c>
    </row>
    <row r="1602">
      <c r="A1602" t="inlineStr">
        <is>
          <t>Manantiales Behr</t>
        </is>
      </c>
      <c r="B1602" t="inlineStr">
        <is>
          <t>Golfo San Jorge</t>
        </is>
      </c>
      <c r="C1602" t="inlineStr">
        <is>
          <t>YPF S.A.</t>
        </is>
      </c>
      <c r="D1602" t="inlineStr">
        <is>
          <t>convencional</t>
        </is>
      </c>
      <c r="E1602" t="inlineStr">
        <is>
          <t>2007-05</t>
        </is>
      </c>
      <c r="F1602" t="n">
        <v>82200.39999999999</v>
      </c>
      <c r="G1602" t="n">
        <v>250132.6</v>
      </c>
      <c r="H1602" t="n">
        <v>255750</v>
      </c>
      <c r="I1602">
        <f>DAY(EOMONTH(DATE(VALUE(LEFT(E1602,4)),VALUE(RIGHT(E1602,2)),1),0))</f>
        <v/>
      </c>
      <c r="J1602">
        <f>VALUE(LEFT(E1602,4))*12+VALUE(RIGHT(E1602,2))-1</f>
        <v/>
      </c>
    </row>
    <row r="1603">
      <c r="A1603" t="inlineStr">
        <is>
          <t>Manantiales Behr</t>
        </is>
      </c>
      <c r="B1603" t="inlineStr">
        <is>
          <t>Golfo San Jorge</t>
        </is>
      </c>
      <c r="C1603" t="inlineStr">
        <is>
          <t>YPF S.A.</t>
        </is>
      </c>
      <c r="D1603" t="inlineStr">
        <is>
          <t>convencional</t>
        </is>
      </c>
      <c r="E1603" t="inlineStr">
        <is>
          <t>2007-06</t>
        </is>
      </c>
      <c r="F1603" t="n">
        <v>79692.10000000001</v>
      </c>
      <c r="G1603" t="n">
        <v>238006.1</v>
      </c>
      <c r="H1603" t="n">
        <v>240533</v>
      </c>
      <c r="I1603">
        <f>DAY(EOMONTH(DATE(VALUE(LEFT(E1603,4)),VALUE(RIGHT(E1603,2)),1),0))</f>
        <v/>
      </c>
      <c r="J1603">
        <f>VALUE(LEFT(E1603,4))*12+VALUE(RIGHT(E1603,2))-1</f>
        <v/>
      </c>
    </row>
    <row r="1604">
      <c r="A1604" t="inlineStr">
        <is>
          <t>Manantiales Behr</t>
        </is>
      </c>
      <c r="B1604" t="inlineStr">
        <is>
          <t>Golfo San Jorge</t>
        </is>
      </c>
      <c r="C1604" t="inlineStr">
        <is>
          <t>YPF S.A.</t>
        </is>
      </c>
      <c r="D1604" t="inlineStr">
        <is>
          <t>convencional</t>
        </is>
      </c>
      <c r="E1604" t="inlineStr">
        <is>
          <t>2007-07</t>
        </is>
      </c>
      <c r="F1604" t="n">
        <v>68848.60000000001</v>
      </c>
      <c r="G1604" t="n">
        <v>219280.2</v>
      </c>
      <c r="H1604" t="n">
        <v>231402</v>
      </c>
      <c r="I1604">
        <f>DAY(EOMONTH(DATE(VALUE(LEFT(E1604,4)),VALUE(RIGHT(E1604,2)),1),0))</f>
        <v/>
      </c>
      <c r="J1604">
        <f>VALUE(LEFT(E1604,4))*12+VALUE(RIGHT(E1604,2))-1</f>
        <v/>
      </c>
    </row>
    <row r="1605">
      <c r="A1605" t="inlineStr">
        <is>
          <t>Manantiales Behr</t>
        </is>
      </c>
      <c r="B1605" t="inlineStr">
        <is>
          <t>Golfo San Jorge</t>
        </is>
      </c>
      <c r="C1605" t="inlineStr">
        <is>
          <t>YPF S.A.</t>
        </is>
      </c>
      <c r="D1605" t="inlineStr">
        <is>
          <t>convencional</t>
        </is>
      </c>
      <c r="E1605" t="inlineStr">
        <is>
          <t>2007-08</t>
        </is>
      </c>
      <c r="F1605" t="n">
        <v>80312.7</v>
      </c>
      <c r="G1605" t="n">
        <v>227731</v>
      </c>
      <c r="H1605" t="n">
        <v>232189</v>
      </c>
      <c r="I1605">
        <f>DAY(EOMONTH(DATE(VALUE(LEFT(E1605,4)),VALUE(RIGHT(E1605,2)),1),0))</f>
        <v/>
      </c>
      <c r="J1605">
        <f>VALUE(LEFT(E1605,4))*12+VALUE(RIGHT(E1605,2))-1</f>
        <v/>
      </c>
    </row>
    <row r="1606">
      <c r="A1606" t="inlineStr">
        <is>
          <t>Manantiales Behr</t>
        </is>
      </c>
      <c r="B1606" t="inlineStr">
        <is>
          <t>Golfo San Jorge</t>
        </is>
      </c>
      <c r="C1606" t="inlineStr">
        <is>
          <t>YPF S.A.</t>
        </is>
      </c>
      <c r="D1606" t="inlineStr">
        <is>
          <t>convencional</t>
        </is>
      </c>
      <c r="E1606" t="inlineStr">
        <is>
          <t>2007-09</t>
        </is>
      </c>
      <c r="F1606" t="n">
        <v>80886.5</v>
      </c>
      <c r="G1606" t="n">
        <v>214913.8</v>
      </c>
      <c r="H1606" t="n">
        <v>218271</v>
      </c>
      <c r="I1606">
        <f>DAY(EOMONTH(DATE(VALUE(LEFT(E1606,4)),VALUE(RIGHT(E1606,2)),1),0))</f>
        <v/>
      </c>
      <c r="J1606">
        <f>VALUE(LEFT(E1606,4))*12+VALUE(RIGHT(E1606,2))-1</f>
        <v/>
      </c>
    </row>
    <row r="1607">
      <c r="A1607" t="inlineStr">
        <is>
          <t>Manantiales Behr</t>
        </is>
      </c>
      <c r="B1607" t="inlineStr">
        <is>
          <t>Golfo San Jorge</t>
        </is>
      </c>
      <c r="C1607" t="inlineStr">
        <is>
          <t>YPF S.A.</t>
        </is>
      </c>
      <c r="D1607" t="inlineStr">
        <is>
          <t>convencional</t>
        </is>
      </c>
      <c r="E1607" t="inlineStr">
        <is>
          <t>2007-10</t>
        </is>
      </c>
      <c r="F1607" t="n">
        <v>84618.39999999999</v>
      </c>
      <c r="G1607" t="n">
        <v>240487</v>
      </c>
      <c r="H1607" t="n">
        <v>247253</v>
      </c>
      <c r="I1607">
        <f>DAY(EOMONTH(DATE(VALUE(LEFT(E1607,4)),VALUE(RIGHT(E1607,2)),1),0))</f>
        <v/>
      </c>
      <c r="J1607">
        <f>VALUE(LEFT(E1607,4))*12+VALUE(RIGHT(E1607,2))-1</f>
        <v/>
      </c>
    </row>
    <row r="1608">
      <c r="A1608" t="inlineStr">
        <is>
          <t>Manantiales Behr</t>
        </is>
      </c>
      <c r="B1608" t="inlineStr">
        <is>
          <t>Golfo San Jorge</t>
        </is>
      </c>
      <c r="C1608" t="inlineStr">
        <is>
          <t>YPF S.A.</t>
        </is>
      </c>
      <c r="D1608" t="inlineStr">
        <is>
          <t>convencional</t>
        </is>
      </c>
      <c r="E1608" t="inlineStr">
        <is>
          <t>2007-11</t>
        </is>
      </c>
      <c r="F1608" t="n">
        <v>59792.1</v>
      </c>
      <c r="G1608" t="n">
        <v>170314.2</v>
      </c>
      <c r="H1608" t="n">
        <v>173599</v>
      </c>
      <c r="I1608">
        <f>DAY(EOMONTH(DATE(VALUE(LEFT(E1608,4)),VALUE(RIGHT(E1608,2)),1),0))</f>
        <v/>
      </c>
      <c r="J1608">
        <f>VALUE(LEFT(E1608,4))*12+VALUE(RIGHT(E1608,2))-1</f>
        <v/>
      </c>
    </row>
    <row r="1609">
      <c r="A1609" t="inlineStr">
        <is>
          <t>Manantiales Behr</t>
        </is>
      </c>
      <c r="B1609" t="inlineStr">
        <is>
          <t>Golfo San Jorge</t>
        </is>
      </c>
      <c r="C1609" t="inlineStr">
        <is>
          <t>YPF S.A.</t>
        </is>
      </c>
      <c r="D1609" t="inlineStr">
        <is>
          <t>convencional</t>
        </is>
      </c>
      <c r="E1609" t="inlineStr">
        <is>
          <t>2007-12</t>
        </is>
      </c>
      <c r="F1609" t="n">
        <v>82883.10000000001</v>
      </c>
      <c r="G1609" t="n">
        <v>224854.8</v>
      </c>
      <c r="H1609" t="n">
        <v>229904</v>
      </c>
      <c r="I1609">
        <f>DAY(EOMONTH(DATE(VALUE(LEFT(E1609,4)),VALUE(RIGHT(E1609,2)),1),0))</f>
        <v/>
      </c>
      <c r="J1609">
        <f>VALUE(LEFT(E1609,4))*12+VALUE(RIGHT(E1609,2))-1</f>
        <v/>
      </c>
    </row>
    <row r="1610">
      <c r="A1610" t="inlineStr">
        <is>
          <t>Manantiales Behr</t>
        </is>
      </c>
      <c r="B1610" t="inlineStr">
        <is>
          <t>Golfo San Jorge</t>
        </is>
      </c>
      <c r="C1610" t="inlineStr">
        <is>
          <t>YPF S.A.</t>
        </is>
      </c>
      <c r="D1610" t="inlineStr">
        <is>
          <t>convencional</t>
        </is>
      </c>
      <c r="E1610" t="inlineStr">
        <is>
          <t>2008-01</t>
        </is>
      </c>
      <c r="F1610" t="n">
        <v>79097.5</v>
      </c>
      <c r="G1610" t="n">
        <v>220073.6</v>
      </c>
      <c r="H1610" t="n">
        <v>223673</v>
      </c>
      <c r="I1610">
        <f>DAY(EOMONTH(DATE(VALUE(LEFT(E1610,4)),VALUE(RIGHT(E1610,2)),1),0))</f>
        <v/>
      </c>
      <c r="J1610">
        <f>VALUE(LEFT(E1610,4))*12+VALUE(RIGHT(E1610,2))-1</f>
        <v/>
      </c>
    </row>
    <row r="1611">
      <c r="A1611" t="inlineStr">
        <is>
          <t>Manantiales Behr</t>
        </is>
      </c>
      <c r="B1611" t="inlineStr">
        <is>
          <t>Golfo San Jorge</t>
        </is>
      </c>
      <c r="C1611" t="inlineStr">
        <is>
          <t>YPF S.A.</t>
        </is>
      </c>
      <c r="D1611" t="inlineStr">
        <is>
          <t>convencional</t>
        </is>
      </c>
      <c r="E1611" t="inlineStr">
        <is>
          <t>2008-02</t>
        </is>
      </c>
      <c r="F1611" t="n">
        <v>78113.89999999999</v>
      </c>
      <c r="G1611" t="n">
        <v>196964</v>
      </c>
      <c r="H1611" t="n">
        <v>198913</v>
      </c>
      <c r="I1611">
        <f>DAY(EOMONTH(DATE(VALUE(LEFT(E1611,4)),VALUE(RIGHT(E1611,2)),1),0))</f>
        <v/>
      </c>
      <c r="J1611">
        <f>VALUE(LEFT(E1611,4))*12+VALUE(RIGHT(E1611,2))-1</f>
        <v/>
      </c>
    </row>
    <row r="1612">
      <c r="A1612" t="inlineStr">
        <is>
          <t>Manantiales Behr</t>
        </is>
      </c>
      <c r="B1612" t="inlineStr">
        <is>
          <t>Golfo San Jorge</t>
        </is>
      </c>
      <c r="C1612" t="inlineStr">
        <is>
          <t>YPF S.A.</t>
        </is>
      </c>
      <c r="D1612" t="inlineStr">
        <is>
          <t>convencional</t>
        </is>
      </c>
      <c r="E1612" t="inlineStr">
        <is>
          <t>2008-03</t>
        </is>
      </c>
      <c r="F1612" t="n">
        <v>82602.5</v>
      </c>
      <c r="G1612" t="n">
        <v>243084.6</v>
      </c>
      <c r="H1612" t="n">
        <v>248128</v>
      </c>
      <c r="I1612">
        <f>DAY(EOMONTH(DATE(VALUE(LEFT(E1612,4)),VALUE(RIGHT(E1612,2)),1),0))</f>
        <v/>
      </c>
      <c r="J1612">
        <f>VALUE(LEFT(E1612,4))*12+VALUE(RIGHT(E1612,2))-1</f>
        <v/>
      </c>
    </row>
    <row r="1613">
      <c r="A1613" t="inlineStr">
        <is>
          <t>Manantiales Behr</t>
        </is>
      </c>
      <c r="B1613" t="inlineStr">
        <is>
          <t>Golfo San Jorge</t>
        </is>
      </c>
      <c r="C1613" t="inlineStr">
        <is>
          <t>YPF S.A.</t>
        </is>
      </c>
      <c r="D1613" t="inlineStr">
        <is>
          <t>convencional</t>
        </is>
      </c>
      <c r="E1613" t="inlineStr">
        <is>
          <t>2008-04</t>
        </is>
      </c>
      <c r="F1613" t="n">
        <v>77920.39999999999</v>
      </c>
      <c r="G1613" t="n">
        <v>249544.2</v>
      </c>
      <c r="H1613" t="n">
        <v>254435.1</v>
      </c>
      <c r="I1613">
        <f>DAY(EOMONTH(DATE(VALUE(LEFT(E1613,4)),VALUE(RIGHT(E1613,2)),1),0))</f>
        <v/>
      </c>
      <c r="J1613">
        <f>VALUE(LEFT(E1613,4))*12+VALUE(RIGHT(E1613,2))-1</f>
        <v/>
      </c>
    </row>
    <row r="1614">
      <c r="A1614" t="inlineStr">
        <is>
          <t>Manantiales Behr</t>
        </is>
      </c>
      <c r="B1614" t="inlineStr">
        <is>
          <t>Golfo San Jorge</t>
        </is>
      </c>
      <c r="C1614" t="inlineStr">
        <is>
          <t>YPF S.A.</t>
        </is>
      </c>
      <c r="D1614" t="inlineStr">
        <is>
          <t>convencional</t>
        </is>
      </c>
      <c r="E1614" t="inlineStr">
        <is>
          <t>2008-05</t>
        </is>
      </c>
      <c r="F1614" t="n">
        <v>65650</v>
      </c>
      <c r="G1614" t="n">
        <v>191369.6</v>
      </c>
      <c r="H1614" t="n">
        <v>197826</v>
      </c>
      <c r="I1614">
        <f>DAY(EOMONTH(DATE(VALUE(LEFT(E1614,4)),VALUE(RIGHT(E1614,2)),1),0))</f>
        <v/>
      </c>
      <c r="J1614">
        <f>VALUE(LEFT(E1614,4))*12+VALUE(RIGHT(E1614,2))-1</f>
        <v/>
      </c>
    </row>
    <row r="1615">
      <c r="A1615" t="inlineStr">
        <is>
          <t>Manantiales Behr</t>
        </is>
      </c>
      <c r="B1615" t="inlineStr">
        <is>
          <t>Golfo San Jorge</t>
        </is>
      </c>
      <c r="C1615" t="inlineStr">
        <is>
          <t>YPF S.A.</t>
        </is>
      </c>
      <c r="D1615" t="inlineStr">
        <is>
          <t>convencional</t>
        </is>
      </c>
      <c r="E1615" t="inlineStr">
        <is>
          <t>2008-06</t>
        </is>
      </c>
      <c r="F1615" t="n">
        <v>74507.39999999999</v>
      </c>
      <c r="G1615" t="n">
        <v>248019.4</v>
      </c>
      <c r="H1615" t="n">
        <v>253138.1</v>
      </c>
      <c r="I1615">
        <f>DAY(EOMONTH(DATE(VALUE(LEFT(E1615,4)),VALUE(RIGHT(E1615,2)),1),0))</f>
        <v/>
      </c>
      <c r="J1615">
        <f>VALUE(LEFT(E1615,4))*12+VALUE(RIGHT(E1615,2))-1</f>
        <v/>
      </c>
    </row>
    <row r="1616">
      <c r="A1616" t="inlineStr">
        <is>
          <t>Manantiales Behr</t>
        </is>
      </c>
      <c r="B1616" t="inlineStr">
        <is>
          <t>Golfo San Jorge</t>
        </is>
      </c>
      <c r="C1616" t="inlineStr">
        <is>
          <t>YPF S.A.</t>
        </is>
      </c>
      <c r="D1616" t="inlineStr">
        <is>
          <t>convencional</t>
        </is>
      </c>
      <c r="E1616" t="inlineStr">
        <is>
          <t>2008-07</t>
        </is>
      </c>
      <c r="F1616" t="n">
        <v>75894.5</v>
      </c>
      <c r="G1616" t="n">
        <v>236258.1</v>
      </c>
      <c r="H1616" t="n">
        <v>240795</v>
      </c>
      <c r="I1616">
        <f>DAY(EOMONTH(DATE(VALUE(LEFT(E1616,4)),VALUE(RIGHT(E1616,2)),1),0))</f>
        <v/>
      </c>
      <c r="J1616">
        <f>VALUE(LEFT(E1616,4))*12+VALUE(RIGHT(E1616,2))-1</f>
        <v/>
      </c>
    </row>
    <row r="1617">
      <c r="A1617" t="inlineStr">
        <is>
          <t>Manantiales Behr</t>
        </is>
      </c>
      <c r="B1617" t="inlineStr">
        <is>
          <t>Golfo San Jorge</t>
        </is>
      </c>
      <c r="C1617" t="inlineStr">
        <is>
          <t>YPF S.A.</t>
        </is>
      </c>
      <c r="D1617" t="inlineStr">
        <is>
          <t>convencional</t>
        </is>
      </c>
      <c r="E1617" t="inlineStr">
        <is>
          <t>2008-08</t>
        </is>
      </c>
      <c r="F1617" t="n">
        <v>80549.60000000001</v>
      </c>
      <c r="G1617" t="n">
        <v>250231.7</v>
      </c>
      <c r="H1617" t="n">
        <v>255452</v>
      </c>
      <c r="I1617">
        <f>DAY(EOMONTH(DATE(VALUE(LEFT(E1617,4)),VALUE(RIGHT(E1617,2)),1),0))</f>
        <v/>
      </c>
      <c r="J1617">
        <f>VALUE(LEFT(E1617,4))*12+VALUE(RIGHT(E1617,2))-1</f>
        <v/>
      </c>
    </row>
    <row r="1618">
      <c r="A1618" t="inlineStr">
        <is>
          <t>Manantiales Behr</t>
        </is>
      </c>
      <c r="B1618" t="inlineStr">
        <is>
          <t>Golfo San Jorge</t>
        </is>
      </c>
      <c r="C1618" t="inlineStr">
        <is>
          <t>YPF S.A.</t>
        </is>
      </c>
      <c r="D1618" t="inlineStr">
        <is>
          <t>convencional</t>
        </is>
      </c>
      <c r="E1618" t="inlineStr">
        <is>
          <t>2008-09</t>
        </is>
      </c>
      <c r="F1618" t="n">
        <v>79078.2</v>
      </c>
      <c r="G1618" t="n">
        <v>251332.2</v>
      </c>
      <c r="H1618" t="n">
        <v>254823.1</v>
      </c>
      <c r="I1618">
        <f>DAY(EOMONTH(DATE(VALUE(LEFT(E1618,4)),VALUE(RIGHT(E1618,2)),1),0))</f>
        <v/>
      </c>
      <c r="J1618">
        <f>VALUE(LEFT(E1618,4))*12+VALUE(RIGHT(E1618,2))-1</f>
        <v/>
      </c>
    </row>
    <row r="1619">
      <c r="A1619" t="inlineStr">
        <is>
          <t>Manantiales Behr</t>
        </is>
      </c>
      <c r="B1619" t="inlineStr">
        <is>
          <t>Golfo San Jorge</t>
        </is>
      </c>
      <c r="C1619" t="inlineStr">
        <is>
          <t>YPF S.A.</t>
        </is>
      </c>
      <c r="D1619" t="inlineStr">
        <is>
          <t>convencional</t>
        </is>
      </c>
      <c r="E1619" t="inlineStr">
        <is>
          <t>2008-10</t>
        </is>
      </c>
      <c r="F1619" t="n">
        <v>82506</v>
      </c>
      <c r="G1619" t="n">
        <v>249941.1</v>
      </c>
      <c r="H1619" t="n">
        <v>254761.1</v>
      </c>
      <c r="I1619">
        <f>DAY(EOMONTH(DATE(VALUE(LEFT(E1619,4)),VALUE(RIGHT(E1619,2)),1),0))</f>
        <v/>
      </c>
      <c r="J1619">
        <f>VALUE(LEFT(E1619,4))*12+VALUE(RIGHT(E1619,2))-1</f>
        <v/>
      </c>
    </row>
    <row r="1620">
      <c r="A1620" t="inlineStr">
        <is>
          <t>Manantiales Behr</t>
        </is>
      </c>
      <c r="B1620" t="inlineStr">
        <is>
          <t>Golfo San Jorge</t>
        </is>
      </c>
      <c r="C1620" t="inlineStr">
        <is>
          <t>YPF S.A.</t>
        </is>
      </c>
      <c r="D1620" t="inlineStr">
        <is>
          <t>convencional</t>
        </is>
      </c>
      <c r="E1620" t="inlineStr">
        <is>
          <t>2008-11</t>
        </is>
      </c>
      <c r="F1620" t="n">
        <v>78442.8</v>
      </c>
      <c r="G1620" t="n">
        <v>241756.9</v>
      </c>
      <c r="H1620" t="n">
        <v>246934</v>
      </c>
      <c r="I1620">
        <f>DAY(EOMONTH(DATE(VALUE(LEFT(E1620,4)),VALUE(RIGHT(E1620,2)),1),0))</f>
        <v/>
      </c>
      <c r="J1620">
        <f>VALUE(LEFT(E1620,4))*12+VALUE(RIGHT(E1620,2))-1</f>
        <v/>
      </c>
    </row>
    <row r="1621">
      <c r="A1621" t="inlineStr">
        <is>
          <t>Manantiales Behr</t>
        </is>
      </c>
      <c r="B1621" t="inlineStr">
        <is>
          <t>Golfo San Jorge</t>
        </is>
      </c>
      <c r="C1621" t="inlineStr">
        <is>
          <t>YPF S.A.</t>
        </is>
      </c>
      <c r="D1621" t="inlineStr">
        <is>
          <t>convencional</t>
        </is>
      </c>
      <c r="E1621" t="inlineStr">
        <is>
          <t>2008-12</t>
        </is>
      </c>
      <c r="F1621" t="n">
        <v>81717.89999999999</v>
      </c>
      <c r="G1621" t="n">
        <v>252127.2</v>
      </c>
      <c r="H1621" t="n">
        <v>257435</v>
      </c>
      <c r="I1621">
        <f>DAY(EOMONTH(DATE(VALUE(LEFT(E1621,4)),VALUE(RIGHT(E1621,2)),1),0))</f>
        <v/>
      </c>
      <c r="J1621">
        <f>VALUE(LEFT(E1621,4))*12+VALUE(RIGHT(E1621,2))-1</f>
        <v/>
      </c>
    </row>
    <row r="1622">
      <c r="A1622" t="inlineStr">
        <is>
          <t>Manantiales Behr</t>
        </is>
      </c>
      <c r="B1622" t="inlineStr">
        <is>
          <t>Golfo San Jorge</t>
        </is>
      </c>
      <c r="C1622" t="inlineStr">
        <is>
          <t>YPF S.A.</t>
        </is>
      </c>
      <c r="D1622" t="inlineStr">
        <is>
          <t>convencional</t>
        </is>
      </c>
      <c r="E1622" t="inlineStr">
        <is>
          <t>2009-01</t>
        </is>
      </c>
      <c r="F1622" t="n">
        <v>83516.2</v>
      </c>
      <c r="G1622" t="n">
        <v>248817.8</v>
      </c>
      <c r="H1622" t="n">
        <v>254230</v>
      </c>
      <c r="I1622">
        <f>DAY(EOMONTH(DATE(VALUE(LEFT(E1622,4)),VALUE(RIGHT(E1622,2)),1),0))</f>
        <v/>
      </c>
      <c r="J1622">
        <f>VALUE(LEFT(E1622,4))*12+VALUE(RIGHT(E1622,2))-1</f>
        <v/>
      </c>
    </row>
    <row r="1623">
      <c r="A1623" t="inlineStr">
        <is>
          <t>Manantiales Behr</t>
        </is>
      </c>
      <c r="B1623" t="inlineStr">
        <is>
          <t>Golfo San Jorge</t>
        </is>
      </c>
      <c r="C1623" t="inlineStr">
        <is>
          <t>YPF S.A.</t>
        </is>
      </c>
      <c r="D1623" t="inlineStr">
        <is>
          <t>convencional</t>
        </is>
      </c>
      <c r="E1623" t="inlineStr">
        <is>
          <t>2009-02</t>
        </is>
      </c>
      <c r="F1623" t="n">
        <v>77839.60000000001</v>
      </c>
      <c r="G1623" t="n">
        <v>224845.9</v>
      </c>
      <c r="H1623" t="n">
        <v>231336</v>
      </c>
      <c r="I1623">
        <f>DAY(EOMONTH(DATE(VALUE(LEFT(E1623,4)),VALUE(RIGHT(E1623,2)),1),0))</f>
        <v/>
      </c>
      <c r="J1623">
        <f>VALUE(LEFT(E1623,4))*12+VALUE(RIGHT(E1623,2))-1</f>
        <v/>
      </c>
    </row>
    <row r="1624">
      <c r="A1624" t="inlineStr">
        <is>
          <t>Manantiales Behr</t>
        </is>
      </c>
      <c r="B1624" t="inlineStr">
        <is>
          <t>Golfo San Jorge</t>
        </is>
      </c>
      <c r="C1624" t="inlineStr">
        <is>
          <t>YPF S.A.</t>
        </is>
      </c>
      <c r="D1624" t="inlineStr">
        <is>
          <t>convencional</t>
        </is>
      </c>
      <c r="E1624" t="inlineStr">
        <is>
          <t>2009-03</t>
        </is>
      </c>
      <c r="F1624" t="n">
        <v>87120.39999999999</v>
      </c>
      <c r="G1624" t="n">
        <v>249388.4</v>
      </c>
      <c r="H1624" t="n">
        <v>254567.1</v>
      </c>
      <c r="I1624">
        <f>DAY(EOMONTH(DATE(VALUE(LEFT(E1624,4)),VALUE(RIGHT(E1624,2)),1),0))</f>
        <v/>
      </c>
      <c r="J1624">
        <f>VALUE(LEFT(E1624,4))*12+VALUE(RIGHT(E1624,2))-1</f>
        <v/>
      </c>
    </row>
    <row r="1625">
      <c r="A1625" t="inlineStr">
        <is>
          <t>Manantiales Behr</t>
        </is>
      </c>
      <c r="B1625" t="inlineStr">
        <is>
          <t>Golfo San Jorge</t>
        </is>
      </c>
      <c r="C1625" t="inlineStr">
        <is>
          <t>YPF S.A.</t>
        </is>
      </c>
      <c r="D1625" t="inlineStr">
        <is>
          <t>convencional</t>
        </is>
      </c>
      <c r="E1625" t="inlineStr">
        <is>
          <t>2009-04</t>
        </is>
      </c>
      <c r="F1625" t="n">
        <v>84153.5</v>
      </c>
      <c r="G1625" t="n">
        <v>240230.8</v>
      </c>
      <c r="H1625" t="n">
        <v>243548</v>
      </c>
      <c r="I1625">
        <f>DAY(EOMONTH(DATE(VALUE(LEFT(E1625,4)),VALUE(RIGHT(E1625,2)),1),0))</f>
        <v/>
      </c>
      <c r="J1625">
        <f>VALUE(LEFT(E1625,4))*12+VALUE(RIGHT(E1625,2))-1</f>
        <v/>
      </c>
    </row>
    <row r="1626">
      <c r="A1626" t="inlineStr">
        <is>
          <t>Manantiales Behr</t>
        </is>
      </c>
      <c r="B1626" t="inlineStr">
        <is>
          <t>Golfo San Jorge</t>
        </is>
      </c>
      <c r="C1626" t="inlineStr">
        <is>
          <t>YPF S.A.</t>
        </is>
      </c>
      <c r="D1626" t="inlineStr">
        <is>
          <t>convencional</t>
        </is>
      </c>
      <c r="E1626" t="inlineStr">
        <is>
          <t>2009-05</t>
        </is>
      </c>
      <c r="F1626" t="n">
        <v>87327.5</v>
      </c>
      <c r="G1626" t="n">
        <v>271953.2</v>
      </c>
      <c r="H1626" t="n">
        <v>273095</v>
      </c>
      <c r="I1626">
        <f>DAY(EOMONTH(DATE(VALUE(LEFT(E1626,4)),VALUE(RIGHT(E1626,2)),1),0))</f>
        <v/>
      </c>
      <c r="J1626">
        <f>VALUE(LEFT(E1626,4))*12+VALUE(RIGHT(E1626,2))-1</f>
        <v/>
      </c>
    </row>
    <row r="1627">
      <c r="A1627" t="inlineStr">
        <is>
          <t>Manantiales Behr</t>
        </is>
      </c>
      <c r="B1627" t="inlineStr">
        <is>
          <t>Golfo San Jorge</t>
        </is>
      </c>
      <c r="C1627" t="inlineStr">
        <is>
          <t>YPF S.A.</t>
        </is>
      </c>
      <c r="D1627" t="inlineStr">
        <is>
          <t>convencional</t>
        </is>
      </c>
      <c r="E1627" t="inlineStr">
        <is>
          <t>2009-06</t>
        </is>
      </c>
      <c r="F1627" t="n">
        <v>82616.2</v>
      </c>
      <c r="G1627" t="n">
        <v>273193.7</v>
      </c>
      <c r="H1627" t="n">
        <v>273785.2</v>
      </c>
      <c r="I1627">
        <f>DAY(EOMONTH(DATE(VALUE(LEFT(E1627,4)),VALUE(RIGHT(E1627,2)),1),0))</f>
        <v/>
      </c>
      <c r="J1627">
        <f>VALUE(LEFT(E1627,4))*12+VALUE(RIGHT(E1627,2))-1</f>
        <v/>
      </c>
    </row>
    <row r="1628">
      <c r="A1628" t="inlineStr">
        <is>
          <t>Manantiales Behr</t>
        </is>
      </c>
      <c r="B1628" t="inlineStr">
        <is>
          <t>Golfo San Jorge</t>
        </is>
      </c>
      <c r="C1628" t="inlineStr">
        <is>
          <t>YPF S.A.</t>
        </is>
      </c>
      <c r="D1628" t="inlineStr">
        <is>
          <t>convencional</t>
        </is>
      </c>
      <c r="E1628" t="inlineStr">
        <is>
          <t>2009-07</t>
        </is>
      </c>
      <c r="F1628" t="n">
        <v>85206.89999999999</v>
      </c>
      <c r="G1628" t="n">
        <v>278457.8</v>
      </c>
      <c r="H1628" t="n">
        <v>278307</v>
      </c>
      <c r="I1628">
        <f>DAY(EOMONTH(DATE(VALUE(LEFT(E1628,4)),VALUE(RIGHT(E1628,2)),1),0))</f>
        <v/>
      </c>
      <c r="J1628">
        <f>VALUE(LEFT(E1628,4))*12+VALUE(RIGHT(E1628,2))-1</f>
        <v/>
      </c>
    </row>
    <row r="1629">
      <c r="A1629" t="inlineStr">
        <is>
          <t>Manantiales Behr</t>
        </is>
      </c>
      <c r="B1629" t="inlineStr">
        <is>
          <t>Golfo San Jorge</t>
        </is>
      </c>
      <c r="C1629" t="inlineStr">
        <is>
          <t>YPF S.A.</t>
        </is>
      </c>
      <c r="D1629" t="inlineStr">
        <is>
          <t>convencional</t>
        </is>
      </c>
      <c r="E1629" t="inlineStr">
        <is>
          <t>2009-08</t>
        </is>
      </c>
      <c r="F1629" t="n">
        <v>86081.3</v>
      </c>
      <c r="G1629" t="n">
        <v>276847.5</v>
      </c>
      <c r="H1629" t="n">
        <v>277812</v>
      </c>
      <c r="I1629">
        <f>DAY(EOMONTH(DATE(VALUE(LEFT(E1629,4)),VALUE(RIGHT(E1629,2)),1),0))</f>
        <v/>
      </c>
      <c r="J1629">
        <f>VALUE(LEFT(E1629,4))*12+VALUE(RIGHT(E1629,2))-1</f>
        <v/>
      </c>
    </row>
    <row r="1630">
      <c r="A1630" t="inlineStr">
        <is>
          <t>Manantiales Behr</t>
        </is>
      </c>
      <c r="B1630" t="inlineStr">
        <is>
          <t>Golfo San Jorge</t>
        </is>
      </c>
      <c r="C1630" t="inlineStr">
        <is>
          <t>YPF S.A.</t>
        </is>
      </c>
      <c r="D1630" t="inlineStr">
        <is>
          <t>convencional</t>
        </is>
      </c>
      <c r="E1630" t="inlineStr">
        <is>
          <t>2009-09</t>
        </is>
      </c>
      <c r="F1630" t="n">
        <v>76310.3</v>
      </c>
      <c r="G1630" t="n">
        <v>257507.9</v>
      </c>
      <c r="H1630" t="n">
        <v>259538</v>
      </c>
      <c r="I1630">
        <f>DAY(EOMONTH(DATE(VALUE(LEFT(E1630,4)),VALUE(RIGHT(E1630,2)),1),0))</f>
        <v/>
      </c>
      <c r="J1630">
        <f>VALUE(LEFT(E1630,4))*12+VALUE(RIGHT(E1630,2))-1</f>
        <v/>
      </c>
    </row>
    <row r="1631">
      <c r="A1631" t="inlineStr">
        <is>
          <t>Manantiales Behr</t>
        </is>
      </c>
      <c r="B1631" t="inlineStr">
        <is>
          <t>Golfo San Jorge</t>
        </is>
      </c>
      <c r="C1631" t="inlineStr">
        <is>
          <t>YPF S.A.</t>
        </is>
      </c>
      <c r="D1631" t="inlineStr">
        <is>
          <t>convencional</t>
        </is>
      </c>
      <c r="E1631" t="inlineStr">
        <is>
          <t>2009-10</t>
        </is>
      </c>
      <c r="F1631" t="n">
        <v>85438.8</v>
      </c>
      <c r="G1631" t="n">
        <v>272525.1</v>
      </c>
      <c r="H1631" t="n">
        <v>273324</v>
      </c>
      <c r="I1631">
        <f>DAY(EOMONTH(DATE(VALUE(LEFT(E1631,4)),VALUE(RIGHT(E1631,2)),1),0))</f>
        <v/>
      </c>
      <c r="J1631">
        <f>VALUE(LEFT(E1631,4))*12+VALUE(RIGHT(E1631,2))-1</f>
        <v/>
      </c>
    </row>
    <row r="1632">
      <c r="A1632" t="inlineStr">
        <is>
          <t>Manantiales Behr</t>
        </is>
      </c>
      <c r="B1632" t="inlineStr">
        <is>
          <t>Golfo San Jorge</t>
        </is>
      </c>
      <c r="C1632" t="inlineStr">
        <is>
          <t>YPF S.A.</t>
        </is>
      </c>
      <c r="D1632" t="inlineStr">
        <is>
          <t>convencional</t>
        </is>
      </c>
      <c r="E1632" t="inlineStr">
        <is>
          <t>2009-11</t>
        </is>
      </c>
      <c r="F1632" t="n">
        <v>74229.8</v>
      </c>
      <c r="G1632" t="n">
        <v>231990.9</v>
      </c>
      <c r="H1632" t="n">
        <v>233092</v>
      </c>
      <c r="I1632">
        <f>DAY(EOMONTH(DATE(VALUE(LEFT(E1632,4)),VALUE(RIGHT(E1632,2)),1),0))</f>
        <v/>
      </c>
      <c r="J1632">
        <f>VALUE(LEFT(E1632,4))*12+VALUE(RIGHT(E1632,2))-1</f>
        <v/>
      </c>
    </row>
    <row r="1633">
      <c r="A1633" t="inlineStr">
        <is>
          <t>Manantiales Behr</t>
        </is>
      </c>
      <c r="B1633" t="inlineStr">
        <is>
          <t>Golfo San Jorge</t>
        </is>
      </c>
      <c r="C1633" t="inlineStr">
        <is>
          <t>YPF S.A.</t>
        </is>
      </c>
      <c r="D1633" t="inlineStr">
        <is>
          <t>convencional</t>
        </is>
      </c>
      <c r="E1633" t="inlineStr">
        <is>
          <t>2009-12</t>
        </is>
      </c>
      <c r="F1633" t="n">
        <v>77669.39999999999</v>
      </c>
      <c r="G1633" t="n">
        <v>235862.2</v>
      </c>
      <c r="H1633" t="n">
        <v>237430.6</v>
      </c>
      <c r="I1633">
        <f>DAY(EOMONTH(DATE(VALUE(LEFT(E1633,4)),VALUE(RIGHT(E1633,2)),1),0))</f>
        <v/>
      </c>
      <c r="J1633">
        <f>VALUE(LEFT(E1633,4))*12+VALUE(RIGHT(E1633,2))-1</f>
        <v/>
      </c>
    </row>
    <row r="1634">
      <c r="A1634" t="inlineStr">
        <is>
          <t>Manantiales Behr</t>
        </is>
      </c>
      <c r="B1634" t="inlineStr">
        <is>
          <t>Golfo San Jorge</t>
        </is>
      </c>
      <c r="C1634" t="inlineStr">
        <is>
          <t>YPF S.A.</t>
        </is>
      </c>
      <c r="D1634" t="inlineStr">
        <is>
          <t>convencional</t>
        </is>
      </c>
      <c r="E1634" t="inlineStr">
        <is>
          <t>2010-01</t>
        </is>
      </c>
      <c r="F1634" t="n">
        <v>91919.8</v>
      </c>
      <c r="G1634" t="n">
        <v>275173</v>
      </c>
      <c r="H1634" t="n">
        <v>277763</v>
      </c>
      <c r="I1634">
        <f>DAY(EOMONTH(DATE(VALUE(LEFT(E1634,4)),VALUE(RIGHT(E1634,2)),1),0))</f>
        <v/>
      </c>
      <c r="J1634">
        <f>VALUE(LEFT(E1634,4))*12+VALUE(RIGHT(E1634,2))-1</f>
        <v/>
      </c>
    </row>
    <row r="1635">
      <c r="A1635" t="inlineStr">
        <is>
          <t>Manantiales Behr</t>
        </is>
      </c>
      <c r="B1635" t="inlineStr">
        <is>
          <t>Golfo San Jorge</t>
        </is>
      </c>
      <c r="C1635" t="inlineStr">
        <is>
          <t>YPF S.A.</t>
        </is>
      </c>
      <c r="D1635" t="inlineStr">
        <is>
          <t>convencional</t>
        </is>
      </c>
      <c r="E1635" t="inlineStr">
        <is>
          <t>2010-02</t>
        </is>
      </c>
      <c r="F1635" t="n">
        <v>80256.10000000001</v>
      </c>
      <c r="G1635" t="n">
        <v>243720.7</v>
      </c>
      <c r="H1635" t="n">
        <v>245958</v>
      </c>
      <c r="I1635">
        <f>DAY(EOMONTH(DATE(VALUE(LEFT(E1635,4)),VALUE(RIGHT(E1635,2)),1),0))</f>
        <v/>
      </c>
      <c r="J1635">
        <f>VALUE(LEFT(E1635,4))*12+VALUE(RIGHT(E1635,2))-1</f>
        <v/>
      </c>
    </row>
    <row r="1636">
      <c r="A1636" t="inlineStr">
        <is>
          <t>Manantiales Behr</t>
        </is>
      </c>
      <c r="B1636" t="inlineStr">
        <is>
          <t>Golfo San Jorge</t>
        </is>
      </c>
      <c r="C1636" t="inlineStr">
        <is>
          <t>YPF S.A.</t>
        </is>
      </c>
      <c r="D1636" t="inlineStr">
        <is>
          <t>convencional</t>
        </is>
      </c>
      <c r="E1636" t="inlineStr">
        <is>
          <t>2010-03</t>
        </is>
      </c>
      <c r="F1636" t="n">
        <v>88741.60000000001</v>
      </c>
      <c r="G1636" t="n">
        <v>263859.3</v>
      </c>
      <c r="H1636" t="n">
        <v>264958</v>
      </c>
      <c r="I1636">
        <f>DAY(EOMONTH(DATE(VALUE(LEFT(E1636,4)),VALUE(RIGHT(E1636,2)),1),0))</f>
        <v/>
      </c>
      <c r="J1636">
        <f>VALUE(LEFT(E1636,4))*12+VALUE(RIGHT(E1636,2))-1</f>
        <v/>
      </c>
    </row>
    <row r="1637">
      <c r="A1637" t="inlineStr">
        <is>
          <t>Manantiales Behr</t>
        </is>
      </c>
      <c r="B1637" t="inlineStr">
        <is>
          <t>Golfo San Jorge</t>
        </is>
      </c>
      <c r="C1637" t="inlineStr">
        <is>
          <t>YPF S.A.</t>
        </is>
      </c>
      <c r="D1637" t="inlineStr">
        <is>
          <t>convencional</t>
        </is>
      </c>
      <c r="E1637" t="inlineStr">
        <is>
          <t>2010-04</t>
        </is>
      </c>
      <c r="F1637" t="n">
        <v>85515.89999999999</v>
      </c>
      <c r="G1637" t="n">
        <v>246429.3</v>
      </c>
      <c r="H1637" t="n">
        <v>248440</v>
      </c>
      <c r="I1637">
        <f>DAY(EOMONTH(DATE(VALUE(LEFT(E1637,4)),VALUE(RIGHT(E1637,2)),1),0))</f>
        <v/>
      </c>
      <c r="J1637">
        <f>VALUE(LEFT(E1637,4))*12+VALUE(RIGHT(E1637,2))-1</f>
        <v/>
      </c>
    </row>
    <row r="1638">
      <c r="A1638" t="inlineStr">
        <is>
          <t>Manantiales Behr</t>
        </is>
      </c>
      <c r="B1638" t="inlineStr">
        <is>
          <t>Golfo San Jorge</t>
        </is>
      </c>
      <c r="C1638" t="inlineStr">
        <is>
          <t>YPF S.A.</t>
        </is>
      </c>
      <c r="D1638" t="inlineStr">
        <is>
          <t>convencional</t>
        </is>
      </c>
      <c r="E1638" t="inlineStr">
        <is>
          <t>2010-05</t>
        </is>
      </c>
      <c r="F1638" t="n">
        <v>88824.8</v>
      </c>
      <c r="G1638" t="n">
        <v>253671.2</v>
      </c>
      <c r="H1638" t="n">
        <v>255544</v>
      </c>
      <c r="I1638">
        <f>DAY(EOMONTH(DATE(VALUE(LEFT(E1638,4)),VALUE(RIGHT(E1638,2)),1),0))</f>
        <v/>
      </c>
      <c r="J1638">
        <f>VALUE(LEFT(E1638,4))*12+VALUE(RIGHT(E1638,2))-1</f>
        <v/>
      </c>
    </row>
    <row r="1639">
      <c r="A1639" t="inlineStr">
        <is>
          <t>Manantiales Behr</t>
        </is>
      </c>
      <c r="B1639" t="inlineStr">
        <is>
          <t>Golfo San Jorge</t>
        </is>
      </c>
      <c r="C1639" t="inlineStr">
        <is>
          <t>YPF S.A.</t>
        </is>
      </c>
      <c r="D1639" t="inlineStr">
        <is>
          <t>convencional</t>
        </is>
      </c>
      <c r="E1639" t="inlineStr">
        <is>
          <t>2010-06</t>
        </is>
      </c>
      <c r="F1639" t="n">
        <v>86227.5</v>
      </c>
      <c r="G1639" t="n">
        <v>256670.8</v>
      </c>
      <c r="H1639" t="n">
        <v>258094</v>
      </c>
      <c r="I1639">
        <f>DAY(EOMONTH(DATE(VALUE(LEFT(E1639,4)),VALUE(RIGHT(E1639,2)),1),0))</f>
        <v/>
      </c>
      <c r="J1639">
        <f>VALUE(LEFT(E1639,4))*12+VALUE(RIGHT(E1639,2))-1</f>
        <v/>
      </c>
    </row>
    <row r="1640">
      <c r="A1640" t="inlineStr">
        <is>
          <t>Manantiales Behr</t>
        </is>
      </c>
      <c r="B1640" t="inlineStr">
        <is>
          <t>Golfo San Jorge</t>
        </is>
      </c>
      <c r="C1640" t="inlineStr">
        <is>
          <t>YPF S.A.</t>
        </is>
      </c>
      <c r="D1640" t="inlineStr">
        <is>
          <t>convencional</t>
        </is>
      </c>
      <c r="E1640" t="inlineStr">
        <is>
          <t>2010-07</t>
        </is>
      </c>
      <c r="F1640" t="n">
        <v>90027.8</v>
      </c>
      <c r="G1640" t="n">
        <v>261605.3</v>
      </c>
      <c r="H1640" t="n">
        <v>272696</v>
      </c>
      <c r="I1640">
        <f>DAY(EOMONTH(DATE(VALUE(LEFT(E1640,4)),VALUE(RIGHT(E1640,2)),1),0))</f>
        <v/>
      </c>
      <c r="J1640">
        <f>VALUE(LEFT(E1640,4))*12+VALUE(RIGHT(E1640,2))-1</f>
        <v/>
      </c>
    </row>
    <row r="1641">
      <c r="A1641" t="inlineStr">
        <is>
          <t>Manantiales Behr</t>
        </is>
      </c>
      <c r="B1641" t="inlineStr">
        <is>
          <t>Golfo San Jorge</t>
        </is>
      </c>
      <c r="C1641" t="inlineStr">
        <is>
          <t>YPF S.A.</t>
        </is>
      </c>
      <c r="D1641" t="inlineStr">
        <is>
          <t>convencional</t>
        </is>
      </c>
      <c r="E1641" t="inlineStr">
        <is>
          <t>2010-08</t>
        </is>
      </c>
      <c r="F1641" t="n">
        <v>93425.39999999999</v>
      </c>
      <c r="G1641" t="n">
        <v>268041.3</v>
      </c>
      <c r="H1641" t="n">
        <v>269501</v>
      </c>
      <c r="I1641">
        <f>DAY(EOMONTH(DATE(VALUE(LEFT(E1641,4)),VALUE(RIGHT(E1641,2)),1),0))</f>
        <v/>
      </c>
      <c r="J1641">
        <f>VALUE(LEFT(E1641,4))*12+VALUE(RIGHT(E1641,2))-1</f>
        <v/>
      </c>
    </row>
    <row r="1642">
      <c r="A1642" t="inlineStr">
        <is>
          <t>Manantiales Behr</t>
        </is>
      </c>
      <c r="B1642" t="inlineStr">
        <is>
          <t>Golfo San Jorge</t>
        </is>
      </c>
      <c r="C1642" t="inlineStr">
        <is>
          <t>YPF S.A.</t>
        </is>
      </c>
      <c r="D1642" t="inlineStr">
        <is>
          <t>convencional</t>
        </is>
      </c>
      <c r="E1642" t="inlineStr">
        <is>
          <t>2010-09</t>
        </is>
      </c>
      <c r="F1642" t="n">
        <v>71272.10000000001</v>
      </c>
      <c r="G1642" t="n">
        <v>214313.7</v>
      </c>
      <c r="H1642" t="n">
        <v>215829</v>
      </c>
      <c r="I1642">
        <f>DAY(EOMONTH(DATE(VALUE(LEFT(E1642,4)),VALUE(RIGHT(E1642,2)),1),0))</f>
        <v/>
      </c>
      <c r="J1642">
        <f>VALUE(LEFT(E1642,4))*12+VALUE(RIGHT(E1642,2))-1</f>
        <v/>
      </c>
    </row>
    <row r="1643">
      <c r="A1643" t="inlineStr">
        <is>
          <t>Manantiales Behr</t>
        </is>
      </c>
      <c r="B1643" t="inlineStr">
        <is>
          <t>Golfo San Jorge</t>
        </is>
      </c>
      <c r="C1643" t="inlineStr">
        <is>
          <t>YPF S.A.</t>
        </is>
      </c>
      <c r="D1643" t="inlineStr">
        <is>
          <t>convencional</t>
        </is>
      </c>
      <c r="E1643" t="inlineStr">
        <is>
          <t>2010-10</t>
        </is>
      </c>
      <c r="F1643" t="n">
        <v>94111.89999999999</v>
      </c>
      <c r="G1643" t="n">
        <v>282310.5</v>
      </c>
      <c r="H1643" t="n">
        <v>283754</v>
      </c>
      <c r="I1643">
        <f>DAY(EOMONTH(DATE(VALUE(LEFT(E1643,4)),VALUE(RIGHT(E1643,2)),1),0))</f>
        <v/>
      </c>
      <c r="J1643">
        <f>VALUE(LEFT(E1643,4))*12+VALUE(RIGHT(E1643,2))-1</f>
        <v/>
      </c>
    </row>
    <row r="1644">
      <c r="A1644" t="inlineStr">
        <is>
          <t>Manantiales Behr</t>
        </is>
      </c>
      <c r="B1644" t="inlineStr">
        <is>
          <t>Golfo San Jorge</t>
        </is>
      </c>
      <c r="C1644" t="inlineStr">
        <is>
          <t>YPF S.A.</t>
        </is>
      </c>
      <c r="D1644" t="inlineStr">
        <is>
          <t>convencional</t>
        </is>
      </c>
      <c r="E1644" t="inlineStr">
        <is>
          <t>2010-11</t>
        </is>
      </c>
      <c r="F1644" t="n">
        <v>91775.39999999999</v>
      </c>
      <c r="G1644" t="n">
        <v>263521.9</v>
      </c>
      <c r="H1644" t="n">
        <v>265088</v>
      </c>
      <c r="I1644">
        <f>DAY(EOMONTH(DATE(VALUE(LEFT(E1644,4)),VALUE(RIGHT(E1644,2)),1),0))</f>
        <v/>
      </c>
      <c r="J1644">
        <f>VALUE(LEFT(E1644,4))*12+VALUE(RIGHT(E1644,2))-1</f>
        <v/>
      </c>
    </row>
    <row r="1645">
      <c r="A1645" t="inlineStr">
        <is>
          <t>Manantiales Behr</t>
        </is>
      </c>
      <c r="B1645" t="inlineStr">
        <is>
          <t>Golfo San Jorge</t>
        </is>
      </c>
      <c r="C1645" t="inlineStr">
        <is>
          <t>YPF S.A.</t>
        </is>
      </c>
      <c r="D1645" t="inlineStr">
        <is>
          <t>convencional</t>
        </is>
      </c>
      <c r="E1645" t="inlineStr">
        <is>
          <t>2010-12</t>
        </is>
      </c>
      <c r="F1645" t="n">
        <v>36359.9</v>
      </c>
      <c r="G1645" t="n">
        <v>80642.89999999999</v>
      </c>
      <c r="H1645" t="n">
        <v>80993</v>
      </c>
      <c r="I1645">
        <f>DAY(EOMONTH(DATE(VALUE(LEFT(E1645,4)),VALUE(RIGHT(E1645,2)),1),0))</f>
        <v/>
      </c>
      <c r="J1645">
        <f>VALUE(LEFT(E1645,4))*12+VALUE(RIGHT(E1645,2))-1</f>
        <v/>
      </c>
    </row>
    <row r="1646">
      <c r="A1646" t="inlineStr">
        <is>
          <t>Manantiales Behr</t>
        </is>
      </c>
      <c r="B1646" t="inlineStr">
        <is>
          <t>Golfo San Jorge</t>
        </is>
      </c>
      <c r="C1646" t="inlineStr">
        <is>
          <t>YPF S.A.</t>
        </is>
      </c>
      <c r="D1646" t="inlineStr">
        <is>
          <t>convencional</t>
        </is>
      </c>
      <c r="E1646" t="inlineStr">
        <is>
          <t>2011-01</t>
        </is>
      </c>
      <c r="F1646" t="n">
        <v>96370.5</v>
      </c>
      <c r="G1646" t="n">
        <v>254997.5</v>
      </c>
      <c r="H1646" t="n">
        <v>256648</v>
      </c>
      <c r="I1646">
        <f>DAY(EOMONTH(DATE(VALUE(LEFT(E1646,4)),VALUE(RIGHT(E1646,2)),1),0))</f>
        <v/>
      </c>
      <c r="J1646">
        <f>VALUE(LEFT(E1646,4))*12+VALUE(RIGHT(E1646,2))-1</f>
        <v/>
      </c>
    </row>
    <row r="1647">
      <c r="A1647" t="inlineStr">
        <is>
          <t>Manantiales Behr</t>
        </is>
      </c>
      <c r="B1647" t="inlineStr">
        <is>
          <t>Golfo San Jorge</t>
        </is>
      </c>
      <c r="C1647" t="inlineStr">
        <is>
          <t>YPF S.A.</t>
        </is>
      </c>
      <c r="D1647" t="inlineStr">
        <is>
          <t>convencional</t>
        </is>
      </c>
      <c r="E1647" t="inlineStr">
        <is>
          <t>2011-02</t>
        </is>
      </c>
      <c r="F1647" t="n">
        <v>90195.60000000001</v>
      </c>
      <c r="G1647" t="n">
        <v>253989.7</v>
      </c>
      <c r="H1647" t="n">
        <v>255937</v>
      </c>
      <c r="I1647">
        <f>DAY(EOMONTH(DATE(VALUE(LEFT(E1647,4)),VALUE(RIGHT(E1647,2)),1),0))</f>
        <v/>
      </c>
      <c r="J1647">
        <f>VALUE(LEFT(E1647,4))*12+VALUE(RIGHT(E1647,2))-1</f>
        <v/>
      </c>
    </row>
    <row r="1648">
      <c r="A1648" t="inlineStr">
        <is>
          <t>Manantiales Behr</t>
        </is>
      </c>
      <c r="B1648" t="inlineStr">
        <is>
          <t>Golfo San Jorge</t>
        </is>
      </c>
      <c r="C1648" t="inlineStr">
        <is>
          <t>YPF S.A.</t>
        </is>
      </c>
      <c r="D1648" t="inlineStr">
        <is>
          <t>convencional</t>
        </is>
      </c>
      <c r="E1648" t="inlineStr">
        <is>
          <t>2011-03</t>
        </is>
      </c>
      <c r="F1648" t="n">
        <v>99578</v>
      </c>
      <c r="G1648" t="n">
        <v>277087.5</v>
      </c>
      <c r="H1648" t="n">
        <v>279322</v>
      </c>
      <c r="I1648">
        <f>DAY(EOMONTH(DATE(VALUE(LEFT(E1648,4)),VALUE(RIGHT(E1648,2)),1),0))</f>
        <v/>
      </c>
      <c r="J1648">
        <f>VALUE(LEFT(E1648,4))*12+VALUE(RIGHT(E1648,2))-1</f>
        <v/>
      </c>
    </row>
    <row r="1649">
      <c r="A1649" t="inlineStr">
        <is>
          <t>Manantiales Behr</t>
        </is>
      </c>
      <c r="B1649" t="inlineStr">
        <is>
          <t>Golfo San Jorge</t>
        </is>
      </c>
      <c r="C1649" t="inlineStr">
        <is>
          <t>YPF S.A.</t>
        </is>
      </c>
      <c r="D1649" t="inlineStr">
        <is>
          <t>convencional</t>
        </is>
      </c>
      <c r="E1649" t="inlineStr">
        <is>
          <t>2011-04</t>
        </is>
      </c>
      <c r="F1649" t="n">
        <v>97599.39999999999</v>
      </c>
      <c r="G1649" t="n">
        <v>262194.2</v>
      </c>
      <c r="H1649" t="n">
        <v>263360</v>
      </c>
      <c r="I1649">
        <f>DAY(EOMONTH(DATE(VALUE(LEFT(E1649,4)),VALUE(RIGHT(E1649,2)),1),0))</f>
        <v/>
      </c>
      <c r="J1649">
        <f>VALUE(LEFT(E1649,4))*12+VALUE(RIGHT(E1649,2))-1</f>
        <v/>
      </c>
    </row>
    <row r="1650">
      <c r="A1650" t="inlineStr">
        <is>
          <t>Manantiales Behr</t>
        </is>
      </c>
      <c r="B1650" t="inlineStr">
        <is>
          <t>Golfo San Jorge</t>
        </is>
      </c>
      <c r="C1650" t="inlineStr">
        <is>
          <t>YPF S.A.</t>
        </is>
      </c>
      <c r="D1650" t="inlineStr">
        <is>
          <t>convencional</t>
        </is>
      </c>
      <c r="E1650" t="inlineStr">
        <is>
          <t>2011-05</t>
        </is>
      </c>
      <c r="F1650" t="n">
        <v>41750.7</v>
      </c>
      <c r="G1650" t="n">
        <v>103735.8</v>
      </c>
      <c r="H1650" t="n">
        <v>104304</v>
      </c>
      <c r="I1650">
        <f>DAY(EOMONTH(DATE(VALUE(LEFT(E1650,4)),VALUE(RIGHT(E1650,2)),1),0))</f>
        <v/>
      </c>
      <c r="J1650">
        <f>VALUE(LEFT(E1650,4))*12+VALUE(RIGHT(E1650,2))-1</f>
        <v/>
      </c>
    </row>
    <row r="1651">
      <c r="A1651" t="inlineStr">
        <is>
          <t>Manantiales Behr</t>
        </is>
      </c>
      <c r="B1651" t="inlineStr">
        <is>
          <t>Golfo San Jorge</t>
        </is>
      </c>
      <c r="C1651" t="inlineStr">
        <is>
          <t>YPF S.A.</t>
        </is>
      </c>
      <c r="D1651" t="inlineStr">
        <is>
          <t>convencional</t>
        </is>
      </c>
      <c r="E1651" t="inlineStr">
        <is>
          <t>2011-06</t>
        </is>
      </c>
      <c r="F1651" t="n">
        <v>90321.5</v>
      </c>
      <c r="G1651" t="n">
        <v>222877.6</v>
      </c>
      <c r="H1651" t="n">
        <v>224302</v>
      </c>
      <c r="I1651">
        <f>DAY(EOMONTH(DATE(VALUE(LEFT(E1651,4)),VALUE(RIGHT(E1651,2)),1),0))</f>
        <v/>
      </c>
      <c r="J1651">
        <f>VALUE(LEFT(E1651,4))*12+VALUE(RIGHT(E1651,2))-1</f>
        <v/>
      </c>
    </row>
    <row r="1652">
      <c r="A1652" t="inlineStr">
        <is>
          <t>Manantiales Behr</t>
        </is>
      </c>
      <c r="B1652" t="inlineStr">
        <is>
          <t>Golfo San Jorge</t>
        </is>
      </c>
      <c r="C1652" t="inlineStr">
        <is>
          <t>YPF S.A.</t>
        </is>
      </c>
      <c r="D1652" t="inlineStr">
        <is>
          <t>convencional</t>
        </is>
      </c>
      <c r="E1652" t="inlineStr">
        <is>
          <t>2011-07</t>
        </is>
      </c>
      <c r="F1652" t="n">
        <v>93220.2</v>
      </c>
      <c r="G1652" t="n">
        <v>246482.8</v>
      </c>
      <c r="H1652" t="n">
        <v>247971</v>
      </c>
      <c r="I1652">
        <f>DAY(EOMONTH(DATE(VALUE(LEFT(E1652,4)),VALUE(RIGHT(E1652,2)),1),0))</f>
        <v/>
      </c>
      <c r="J1652">
        <f>VALUE(LEFT(E1652,4))*12+VALUE(RIGHT(E1652,2))-1</f>
        <v/>
      </c>
    </row>
    <row r="1653">
      <c r="A1653" t="inlineStr">
        <is>
          <t>Manantiales Behr</t>
        </is>
      </c>
      <c r="B1653" t="inlineStr">
        <is>
          <t>Golfo San Jorge</t>
        </is>
      </c>
      <c r="C1653" t="inlineStr">
        <is>
          <t>YPF S.A.</t>
        </is>
      </c>
      <c r="D1653" t="inlineStr">
        <is>
          <t>convencional</t>
        </is>
      </c>
      <c r="E1653" t="inlineStr">
        <is>
          <t>2011-08</t>
        </is>
      </c>
      <c r="F1653" t="n">
        <v>94998.8</v>
      </c>
      <c r="G1653" t="n">
        <v>241917.9</v>
      </c>
      <c r="H1653" t="n">
        <v>243375</v>
      </c>
      <c r="I1653">
        <f>DAY(EOMONTH(DATE(VALUE(LEFT(E1653,4)),VALUE(RIGHT(E1653,2)),1),0))</f>
        <v/>
      </c>
      <c r="J1653">
        <f>VALUE(LEFT(E1653,4))*12+VALUE(RIGHT(E1653,2))-1</f>
        <v/>
      </c>
    </row>
    <row r="1654">
      <c r="A1654" t="inlineStr">
        <is>
          <t>Manantiales Behr</t>
        </is>
      </c>
      <c r="B1654" t="inlineStr">
        <is>
          <t>Golfo San Jorge</t>
        </is>
      </c>
      <c r="C1654" t="inlineStr">
        <is>
          <t>YPF S.A.</t>
        </is>
      </c>
      <c r="D1654" t="inlineStr">
        <is>
          <t>convencional</t>
        </is>
      </c>
      <c r="E1654" t="inlineStr">
        <is>
          <t>2011-09</t>
        </is>
      </c>
      <c r="F1654" t="n">
        <v>95183.60000000001</v>
      </c>
      <c r="G1654" t="n">
        <v>232867</v>
      </c>
      <c r="H1654" t="n">
        <v>234213</v>
      </c>
      <c r="I1654">
        <f>DAY(EOMONTH(DATE(VALUE(LEFT(E1654,4)),VALUE(RIGHT(E1654,2)),1),0))</f>
        <v/>
      </c>
      <c r="J1654">
        <f>VALUE(LEFT(E1654,4))*12+VALUE(RIGHT(E1654,2))-1</f>
        <v/>
      </c>
    </row>
    <row r="1655">
      <c r="A1655" t="inlineStr">
        <is>
          <t>Manantiales Behr</t>
        </is>
      </c>
      <c r="B1655" t="inlineStr">
        <is>
          <t>Golfo San Jorge</t>
        </is>
      </c>
      <c r="C1655" t="inlineStr">
        <is>
          <t>YPF S.A.</t>
        </is>
      </c>
      <c r="D1655" t="inlineStr">
        <is>
          <t>convencional</t>
        </is>
      </c>
      <c r="E1655" t="inlineStr">
        <is>
          <t>2011-10</t>
        </is>
      </c>
      <c r="F1655" t="n">
        <v>100295.1</v>
      </c>
      <c r="G1655" t="n">
        <v>260095.9</v>
      </c>
      <c r="H1655" t="n">
        <v>261565</v>
      </c>
      <c r="I1655">
        <f>DAY(EOMONTH(DATE(VALUE(LEFT(E1655,4)),VALUE(RIGHT(E1655,2)),1),0))</f>
        <v/>
      </c>
      <c r="J1655">
        <f>VALUE(LEFT(E1655,4))*12+VALUE(RIGHT(E1655,2))-1</f>
        <v/>
      </c>
    </row>
    <row r="1656">
      <c r="A1656" t="inlineStr">
        <is>
          <t>Manantiales Behr</t>
        </is>
      </c>
      <c r="B1656" t="inlineStr">
        <is>
          <t>Golfo San Jorge</t>
        </is>
      </c>
      <c r="C1656" t="inlineStr">
        <is>
          <t>YPF S.A.</t>
        </is>
      </c>
      <c r="D1656" t="inlineStr">
        <is>
          <t>convencional</t>
        </is>
      </c>
      <c r="E1656" t="inlineStr">
        <is>
          <t>2011-11</t>
        </is>
      </c>
      <c r="F1656" t="n">
        <v>92994.8</v>
      </c>
      <c r="G1656" t="n">
        <v>243506</v>
      </c>
      <c r="H1656" t="n">
        <v>244878</v>
      </c>
      <c r="I1656">
        <f>DAY(EOMONTH(DATE(VALUE(LEFT(E1656,4)),VALUE(RIGHT(E1656,2)),1),0))</f>
        <v/>
      </c>
      <c r="J1656">
        <f>VALUE(LEFT(E1656,4))*12+VALUE(RIGHT(E1656,2))-1</f>
        <v/>
      </c>
    </row>
    <row r="1657">
      <c r="A1657" t="inlineStr">
        <is>
          <t>Manantiales Behr</t>
        </is>
      </c>
      <c r="B1657" t="inlineStr">
        <is>
          <t>Golfo San Jorge</t>
        </is>
      </c>
      <c r="C1657" t="inlineStr">
        <is>
          <t>YPF S.A.</t>
        </is>
      </c>
      <c r="D1657" t="inlineStr">
        <is>
          <t>convencional</t>
        </is>
      </c>
      <c r="E1657" t="inlineStr">
        <is>
          <t>2011-12</t>
        </is>
      </c>
      <c r="F1657" t="n">
        <v>95203.10000000001</v>
      </c>
      <c r="G1657" t="n">
        <v>251234.8</v>
      </c>
      <c r="H1657" t="n">
        <v>252858</v>
      </c>
      <c r="I1657">
        <f>DAY(EOMONTH(DATE(VALUE(LEFT(E1657,4)),VALUE(RIGHT(E1657,2)),1),0))</f>
        <v/>
      </c>
      <c r="J1657">
        <f>VALUE(LEFT(E1657,4))*12+VALUE(RIGHT(E1657,2))-1</f>
        <v/>
      </c>
    </row>
    <row r="1658">
      <c r="A1658" t="inlineStr">
        <is>
          <t>Manantiales Behr</t>
        </is>
      </c>
      <c r="B1658" t="inlineStr">
        <is>
          <t>Golfo San Jorge</t>
        </is>
      </c>
      <c r="C1658" t="inlineStr">
        <is>
          <t>YPF S.A.</t>
        </is>
      </c>
      <c r="D1658" t="inlineStr">
        <is>
          <t>convencional</t>
        </is>
      </c>
      <c r="E1658" t="inlineStr">
        <is>
          <t>2012-01</t>
        </is>
      </c>
      <c r="F1658" t="n">
        <v>92886.8</v>
      </c>
      <c r="G1658" t="n">
        <v>252661.2</v>
      </c>
      <c r="H1658" t="n">
        <v>253588</v>
      </c>
      <c r="I1658">
        <f>DAY(EOMONTH(DATE(VALUE(LEFT(E1658,4)),VALUE(RIGHT(E1658,2)),1),0))</f>
        <v/>
      </c>
      <c r="J1658">
        <f>VALUE(LEFT(E1658,4))*12+VALUE(RIGHT(E1658,2))-1</f>
        <v/>
      </c>
    </row>
    <row r="1659">
      <c r="A1659" t="inlineStr">
        <is>
          <t>Manantiales Behr</t>
        </is>
      </c>
      <c r="B1659" t="inlineStr">
        <is>
          <t>Golfo San Jorge</t>
        </is>
      </c>
      <c r="C1659" t="inlineStr">
        <is>
          <t>YPF S.A.</t>
        </is>
      </c>
      <c r="D1659" t="inlineStr">
        <is>
          <t>convencional</t>
        </is>
      </c>
      <c r="E1659" t="inlineStr">
        <is>
          <t>2012-02</t>
        </is>
      </c>
      <c r="F1659" t="n">
        <v>82437.5</v>
      </c>
      <c r="G1659" t="n">
        <v>222067.6</v>
      </c>
      <c r="H1659" t="n">
        <v>223718</v>
      </c>
      <c r="I1659">
        <f>DAY(EOMONTH(DATE(VALUE(LEFT(E1659,4)),VALUE(RIGHT(E1659,2)),1),0))</f>
        <v/>
      </c>
      <c r="J1659">
        <f>VALUE(LEFT(E1659,4))*12+VALUE(RIGHT(E1659,2))-1</f>
        <v/>
      </c>
    </row>
    <row r="1660">
      <c r="A1660" t="inlineStr">
        <is>
          <t>Manantiales Behr</t>
        </is>
      </c>
      <c r="B1660" t="inlineStr">
        <is>
          <t>Golfo San Jorge</t>
        </is>
      </c>
      <c r="C1660" t="inlineStr">
        <is>
          <t>YPF S.A.</t>
        </is>
      </c>
      <c r="D1660" t="inlineStr">
        <is>
          <t>convencional</t>
        </is>
      </c>
      <c r="E1660" t="inlineStr">
        <is>
          <t>2012-03</t>
        </is>
      </c>
      <c r="F1660" t="n">
        <v>90793.3</v>
      </c>
      <c r="G1660" t="n">
        <v>247089</v>
      </c>
      <c r="H1660" t="n">
        <v>248291</v>
      </c>
      <c r="I1660">
        <f>DAY(EOMONTH(DATE(VALUE(LEFT(E1660,4)),VALUE(RIGHT(E1660,2)),1),0))</f>
        <v/>
      </c>
      <c r="J1660">
        <f>VALUE(LEFT(E1660,4))*12+VALUE(RIGHT(E1660,2))-1</f>
        <v/>
      </c>
    </row>
    <row r="1661">
      <c r="A1661" t="inlineStr">
        <is>
          <t>Manantiales Behr</t>
        </is>
      </c>
      <c r="B1661" t="inlineStr">
        <is>
          <t>Golfo San Jorge</t>
        </is>
      </c>
      <c r="C1661" t="inlineStr">
        <is>
          <t>YPF S.A.</t>
        </is>
      </c>
      <c r="D1661" t="inlineStr">
        <is>
          <t>convencional</t>
        </is>
      </c>
      <c r="E1661" t="inlineStr">
        <is>
          <t>2012-04</t>
        </is>
      </c>
      <c r="F1661" t="n">
        <v>87925.39999999999</v>
      </c>
      <c r="G1661" t="n">
        <v>247877.6</v>
      </c>
      <c r="H1661" t="n">
        <v>249099</v>
      </c>
      <c r="I1661">
        <f>DAY(EOMONTH(DATE(VALUE(LEFT(E1661,4)),VALUE(RIGHT(E1661,2)),1),0))</f>
        <v/>
      </c>
      <c r="J1661">
        <f>VALUE(LEFT(E1661,4))*12+VALUE(RIGHT(E1661,2))-1</f>
        <v/>
      </c>
    </row>
    <row r="1662">
      <c r="A1662" t="inlineStr">
        <is>
          <t>Manantiales Behr</t>
        </is>
      </c>
      <c r="B1662" t="inlineStr">
        <is>
          <t>Golfo San Jorge</t>
        </is>
      </c>
      <c r="C1662" t="inlineStr">
        <is>
          <t>YPF S.A.</t>
        </is>
      </c>
      <c r="D1662" t="inlineStr">
        <is>
          <t>convencional</t>
        </is>
      </c>
      <c r="E1662" t="inlineStr">
        <is>
          <t>2012-05</t>
        </is>
      </c>
      <c r="F1662" t="n">
        <v>95554.5</v>
      </c>
      <c r="G1662" t="n">
        <v>270615.7</v>
      </c>
      <c r="H1662" t="n">
        <v>272891</v>
      </c>
      <c r="I1662">
        <f>DAY(EOMONTH(DATE(VALUE(LEFT(E1662,4)),VALUE(RIGHT(E1662,2)),1),0))</f>
        <v/>
      </c>
      <c r="J1662">
        <f>VALUE(LEFT(E1662,4))*12+VALUE(RIGHT(E1662,2))-1</f>
        <v/>
      </c>
    </row>
    <row r="1663">
      <c r="A1663" t="inlineStr">
        <is>
          <t>Manantiales Behr</t>
        </is>
      </c>
      <c r="B1663" t="inlineStr">
        <is>
          <t>Golfo San Jorge</t>
        </is>
      </c>
      <c r="C1663" t="inlineStr">
        <is>
          <t>YPF S.A.</t>
        </is>
      </c>
      <c r="D1663" t="inlineStr">
        <is>
          <t>convencional</t>
        </is>
      </c>
      <c r="E1663" t="inlineStr">
        <is>
          <t>2012-06</t>
        </is>
      </c>
      <c r="F1663" t="n">
        <v>91743.39999999999</v>
      </c>
      <c r="G1663" t="n">
        <v>258330.1</v>
      </c>
      <c r="H1663" t="n">
        <v>259876</v>
      </c>
      <c r="I1663">
        <f>DAY(EOMONTH(DATE(VALUE(LEFT(E1663,4)),VALUE(RIGHT(E1663,2)),1),0))</f>
        <v/>
      </c>
      <c r="J1663">
        <f>VALUE(LEFT(E1663,4))*12+VALUE(RIGHT(E1663,2))-1</f>
        <v/>
      </c>
    </row>
    <row r="1664">
      <c r="A1664" t="inlineStr">
        <is>
          <t>Manantiales Behr</t>
        </is>
      </c>
      <c r="B1664" t="inlineStr">
        <is>
          <t>Golfo San Jorge</t>
        </is>
      </c>
      <c r="C1664" t="inlineStr">
        <is>
          <t>YPF S.A.</t>
        </is>
      </c>
      <c r="D1664" t="inlineStr">
        <is>
          <t>convencional</t>
        </is>
      </c>
      <c r="E1664" t="inlineStr">
        <is>
          <t>2012-07</t>
        </is>
      </c>
      <c r="F1664" t="n">
        <v>89298.2</v>
      </c>
      <c r="G1664" t="n">
        <v>240216.6</v>
      </c>
      <c r="H1664" t="n">
        <v>241790</v>
      </c>
      <c r="I1664">
        <f>DAY(EOMONTH(DATE(VALUE(LEFT(E1664,4)),VALUE(RIGHT(E1664,2)),1),0))</f>
        <v/>
      </c>
      <c r="J1664">
        <f>VALUE(LEFT(E1664,4))*12+VALUE(RIGHT(E1664,2))-1</f>
        <v/>
      </c>
    </row>
    <row r="1665">
      <c r="A1665" t="inlineStr">
        <is>
          <t>Manantiales Behr</t>
        </is>
      </c>
      <c r="B1665" t="inlineStr">
        <is>
          <t>Golfo San Jorge</t>
        </is>
      </c>
      <c r="C1665" t="inlineStr">
        <is>
          <t>YPF S.A.</t>
        </is>
      </c>
      <c r="D1665" t="inlineStr">
        <is>
          <t>convencional</t>
        </is>
      </c>
      <c r="E1665" t="inlineStr">
        <is>
          <t>2012-08</t>
        </is>
      </c>
      <c r="F1665" t="n">
        <v>92061.2</v>
      </c>
      <c r="G1665" t="n">
        <v>246188.7</v>
      </c>
      <c r="H1665" t="n">
        <v>248098</v>
      </c>
      <c r="I1665">
        <f>DAY(EOMONTH(DATE(VALUE(LEFT(E1665,4)),VALUE(RIGHT(E1665,2)),1),0))</f>
        <v/>
      </c>
      <c r="J1665">
        <f>VALUE(LEFT(E1665,4))*12+VALUE(RIGHT(E1665,2))-1</f>
        <v/>
      </c>
    </row>
    <row r="1666">
      <c r="A1666" t="inlineStr">
        <is>
          <t>Manantiales Behr</t>
        </is>
      </c>
      <c r="B1666" t="inlineStr">
        <is>
          <t>Golfo San Jorge</t>
        </is>
      </c>
      <c r="C1666" t="inlineStr">
        <is>
          <t>YPF S.A.</t>
        </is>
      </c>
      <c r="D1666" t="inlineStr">
        <is>
          <t>convencional</t>
        </is>
      </c>
      <c r="E1666" t="inlineStr">
        <is>
          <t>2012-09</t>
        </is>
      </c>
      <c r="F1666" t="n">
        <v>90196</v>
      </c>
      <c r="G1666" t="n">
        <v>260146.3</v>
      </c>
      <c r="H1666" t="n">
        <v>263202</v>
      </c>
      <c r="I1666">
        <f>DAY(EOMONTH(DATE(VALUE(LEFT(E1666,4)),VALUE(RIGHT(E1666,2)),1),0))</f>
        <v/>
      </c>
      <c r="J1666">
        <f>VALUE(LEFT(E1666,4))*12+VALUE(RIGHT(E1666,2))-1</f>
        <v/>
      </c>
    </row>
    <row r="1667">
      <c r="A1667" t="inlineStr">
        <is>
          <t>Manantiales Behr</t>
        </is>
      </c>
      <c r="B1667" t="inlineStr">
        <is>
          <t>Golfo San Jorge</t>
        </is>
      </c>
      <c r="C1667" t="inlineStr">
        <is>
          <t>YPF S.A.</t>
        </is>
      </c>
      <c r="D1667" t="inlineStr">
        <is>
          <t>convencional</t>
        </is>
      </c>
      <c r="E1667" t="inlineStr">
        <is>
          <t>2012-10</t>
        </is>
      </c>
      <c r="F1667" t="n">
        <v>90624.5</v>
      </c>
      <c r="G1667" t="n">
        <v>265103.2</v>
      </c>
      <c r="H1667" t="n">
        <v>269704.8</v>
      </c>
      <c r="I1667">
        <f>DAY(EOMONTH(DATE(VALUE(LEFT(E1667,4)),VALUE(RIGHT(E1667,2)),1),0))</f>
        <v/>
      </c>
      <c r="J1667">
        <f>VALUE(LEFT(E1667,4))*12+VALUE(RIGHT(E1667,2))-1</f>
        <v/>
      </c>
    </row>
    <row r="1668">
      <c r="A1668" t="inlineStr">
        <is>
          <t>Manantiales Behr</t>
        </is>
      </c>
      <c r="B1668" t="inlineStr">
        <is>
          <t>Golfo San Jorge</t>
        </is>
      </c>
      <c r="C1668" t="inlineStr">
        <is>
          <t>YPF S.A.</t>
        </is>
      </c>
      <c r="D1668" t="inlineStr">
        <is>
          <t>convencional</t>
        </is>
      </c>
      <c r="E1668" t="inlineStr">
        <is>
          <t>2012-11</t>
        </is>
      </c>
      <c r="F1668" t="n">
        <v>87148.3</v>
      </c>
      <c r="G1668" t="n">
        <v>259103.1</v>
      </c>
      <c r="H1668" t="n">
        <v>261702</v>
      </c>
      <c r="I1668">
        <f>DAY(EOMONTH(DATE(VALUE(LEFT(E1668,4)),VALUE(RIGHT(E1668,2)),1),0))</f>
        <v/>
      </c>
      <c r="J1668">
        <f>VALUE(LEFT(E1668,4))*12+VALUE(RIGHT(E1668,2))-1</f>
        <v/>
      </c>
    </row>
    <row r="1669">
      <c r="A1669" t="inlineStr">
        <is>
          <t>Manantiales Behr</t>
        </is>
      </c>
      <c r="B1669" t="inlineStr">
        <is>
          <t>Golfo San Jorge</t>
        </is>
      </c>
      <c r="C1669" t="inlineStr">
        <is>
          <t>YPF S.A.</t>
        </is>
      </c>
      <c r="D1669" t="inlineStr">
        <is>
          <t>convencional</t>
        </is>
      </c>
      <c r="E1669" t="inlineStr">
        <is>
          <t>2012-12</t>
        </is>
      </c>
      <c r="F1669" t="n">
        <v>89439.89999999999</v>
      </c>
      <c r="G1669" t="n">
        <v>280334.6</v>
      </c>
      <c r="H1669" t="n">
        <v>284347</v>
      </c>
      <c r="I1669">
        <f>DAY(EOMONTH(DATE(VALUE(LEFT(E1669,4)),VALUE(RIGHT(E1669,2)),1),0))</f>
        <v/>
      </c>
      <c r="J1669">
        <f>VALUE(LEFT(E1669,4))*12+VALUE(RIGHT(E1669,2))-1</f>
        <v/>
      </c>
    </row>
    <row r="1670">
      <c r="A1670" t="inlineStr">
        <is>
          <t>Manantiales Behr</t>
        </is>
      </c>
      <c r="B1670" t="inlineStr">
        <is>
          <t>Golfo San Jorge</t>
        </is>
      </c>
      <c r="C1670" t="inlineStr">
        <is>
          <t>YPF S.A.</t>
        </is>
      </c>
      <c r="D1670" t="inlineStr">
        <is>
          <t>convencional</t>
        </is>
      </c>
      <c r="E1670" t="inlineStr">
        <is>
          <t>2013-01</t>
        </is>
      </c>
      <c r="F1670" t="n">
        <v>88265.2</v>
      </c>
      <c r="G1670" t="n">
        <v>301220.3</v>
      </c>
      <c r="H1670" t="n">
        <v>303918.8</v>
      </c>
      <c r="I1670">
        <f>DAY(EOMONTH(DATE(VALUE(LEFT(E1670,4)),VALUE(RIGHT(E1670,2)),1),0))</f>
        <v/>
      </c>
      <c r="J1670">
        <f>VALUE(LEFT(E1670,4))*12+VALUE(RIGHT(E1670,2))-1</f>
        <v/>
      </c>
    </row>
    <row r="1671">
      <c r="A1671" t="inlineStr">
        <is>
          <t>Manantiales Behr</t>
        </is>
      </c>
      <c r="B1671" t="inlineStr">
        <is>
          <t>Golfo San Jorge</t>
        </is>
      </c>
      <c r="C1671" t="inlineStr">
        <is>
          <t>YPF S.A.</t>
        </is>
      </c>
      <c r="D1671" t="inlineStr">
        <is>
          <t>convencional</t>
        </is>
      </c>
      <c r="E1671" t="inlineStr">
        <is>
          <t>2013-02</t>
        </is>
      </c>
      <c r="F1671" t="n">
        <v>80382.2</v>
      </c>
      <c r="G1671" t="n">
        <v>284725.3</v>
      </c>
      <c r="H1671" t="n">
        <v>289014</v>
      </c>
      <c r="I1671">
        <f>DAY(EOMONTH(DATE(VALUE(LEFT(E1671,4)),VALUE(RIGHT(E1671,2)),1),0))</f>
        <v/>
      </c>
      <c r="J1671">
        <f>VALUE(LEFT(E1671,4))*12+VALUE(RIGHT(E1671,2))-1</f>
        <v/>
      </c>
    </row>
    <row r="1672">
      <c r="A1672" t="inlineStr">
        <is>
          <t>Manantiales Behr</t>
        </is>
      </c>
      <c r="B1672" t="inlineStr">
        <is>
          <t>Golfo San Jorge</t>
        </is>
      </c>
      <c r="C1672" t="inlineStr">
        <is>
          <t>YPF S.A.</t>
        </is>
      </c>
      <c r="D1672" t="inlineStr">
        <is>
          <t>convencional</t>
        </is>
      </c>
      <c r="E1672" t="inlineStr">
        <is>
          <t>2013-03</t>
        </is>
      </c>
      <c r="F1672" t="n">
        <v>87870</v>
      </c>
      <c r="G1672" t="n">
        <v>297656.8</v>
      </c>
      <c r="H1672" t="n">
        <v>301390</v>
      </c>
      <c r="I1672">
        <f>DAY(EOMONTH(DATE(VALUE(LEFT(E1672,4)),VALUE(RIGHT(E1672,2)),1),0))</f>
        <v/>
      </c>
      <c r="J1672">
        <f>VALUE(LEFT(E1672,4))*12+VALUE(RIGHT(E1672,2))-1</f>
        <v/>
      </c>
    </row>
    <row r="1673">
      <c r="A1673" t="inlineStr">
        <is>
          <t>Manantiales Behr</t>
        </is>
      </c>
      <c r="B1673" t="inlineStr">
        <is>
          <t>Golfo San Jorge</t>
        </is>
      </c>
      <c r="C1673" t="inlineStr">
        <is>
          <t>YPF S.A.</t>
        </is>
      </c>
      <c r="D1673" t="inlineStr">
        <is>
          <t>convencional</t>
        </is>
      </c>
      <c r="E1673" t="inlineStr">
        <is>
          <t>2013-04</t>
        </is>
      </c>
      <c r="F1673" t="n">
        <v>87424.89999999999</v>
      </c>
      <c r="G1673" t="n">
        <v>300354.8</v>
      </c>
      <c r="H1673" t="n">
        <v>301243</v>
      </c>
      <c r="I1673">
        <f>DAY(EOMONTH(DATE(VALUE(LEFT(E1673,4)),VALUE(RIGHT(E1673,2)),1),0))</f>
        <v/>
      </c>
      <c r="J1673">
        <f>VALUE(LEFT(E1673,4))*12+VALUE(RIGHT(E1673,2))-1</f>
        <v/>
      </c>
    </row>
    <row r="1674">
      <c r="A1674" t="inlineStr">
        <is>
          <t>Manantiales Behr</t>
        </is>
      </c>
      <c r="B1674" t="inlineStr">
        <is>
          <t>Golfo San Jorge</t>
        </is>
      </c>
      <c r="C1674" t="inlineStr">
        <is>
          <t>YPF S.A.</t>
        </is>
      </c>
      <c r="D1674" t="inlineStr">
        <is>
          <t>convencional</t>
        </is>
      </c>
      <c r="E1674" t="inlineStr">
        <is>
          <t>2013-05</t>
        </is>
      </c>
      <c r="F1674" t="n">
        <v>91167.60000000001</v>
      </c>
      <c r="G1674" t="n">
        <v>307670.8</v>
      </c>
      <c r="H1674" t="n">
        <v>311111</v>
      </c>
      <c r="I1674">
        <f>DAY(EOMONTH(DATE(VALUE(LEFT(E1674,4)),VALUE(RIGHT(E1674,2)),1),0))</f>
        <v/>
      </c>
      <c r="J1674">
        <f>VALUE(LEFT(E1674,4))*12+VALUE(RIGHT(E1674,2))-1</f>
        <v/>
      </c>
    </row>
    <row r="1675">
      <c r="A1675" t="inlineStr">
        <is>
          <t>Manantiales Behr</t>
        </is>
      </c>
      <c r="B1675" t="inlineStr">
        <is>
          <t>Golfo San Jorge</t>
        </is>
      </c>
      <c r="C1675" t="inlineStr">
        <is>
          <t>YPF S.A.</t>
        </is>
      </c>
      <c r="D1675" t="inlineStr">
        <is>
          <t>convencional</t>
        </is>
      </c>
      <c r="E1675" t="inlineStr">
        <is>
          <t>2013-06</t>
        </is>
      </c>
      <c r="F1675" t="n">
        <v>90059.8</v>
      </c>
      <c r="G1675" t="n">
        <v>286152.2</v>
      </c>
      <c r="H1675" t="n">
        <v>289850</v>
      </c>
      <c r="I1675">
        <f>DAY(EOMONTH(DATE(VALUE(LEFT(E1675,4)),VALUE(RIGHT(E1675,2)),1),0))</f>
        <v/>
      </c>
      <c r="J1675">
        <f>VALUE(LEFT(E1675,4))*12+VALUE(RIGHT(E1675,2))-1</f>
        <v/>
      </c>
    </row>
    <row r="1676">
      <c r="A1676" t="inlineStr">
        <is>
          <t>Manantiales Behr</t>
        </is>
      </c>
      <c r="B1676" t="inlineStr">
        <is>
          <t>Golfo San Jorge</t>
        </is>
      </c>
      <c r="C1676" t="inlineStr">
        <is>
          <t>YPF S.A.</t>
        </is>
      </c>
      <c r="D1676" t="inlineStr">
        <is>
          <t>convencional</t>
        </is>
      </c>
      <c r="E1676" t="inlineStr">
        <is>
          <t>2013-07</t>
        </is>
      </c>
      <c r="F1676" t="n">
        <v>93390.10000000001</v>
      </c>
      <c r="G1676" t="n">
        <v>289023.6</v>
      </c>
      <c r="H1676" t="n">
        <v>292570</v>
      </c>
      <c r="I1676">
        <f>DAY(EOMONTH(DATE(VALUE(LEFT(E1676,4)),VALUE(RIGHT(E1676,2)),1),0))</f>
        <v/>
      </c>
      <c r="J1676">
        <f>VALUE(LEFT(E1676,4))*12+VALUE(RIGHT(E1676,2))-1</f>
        <v/>
      </c>
    </row>
    <row r="1677">
      <c r="A1677" t="inlineStr">
        <is>
          <t>Manantiales Behr</t>
        </is>
      </c>
      <c r="B1677" t="inlineStr">
        <is>
          <t>Golfo San Jorge</t>
        </is>
      </c>
      <c r="C1677" t="inlineStr">
        <is>
          <t>YPF S.A.</t>
        </is>
      </c>
      <c r="D1677" t="inlineStr">
        <is>
          <t>convencional</t>
        </is>
      </c>
      <c r="E1677" t="inlineStr">
        <is>
          <t>2013-08</t>
        </is>
      </c>
      <c r="F1677" t="n">
        <v>93956.8</v>
      </c>
      <c r="G1677" t="n">
        <v>274133.7</v>
      </c>
      <c r="H1677" t="n">
        <v>277941</v>
      </c>
      <c r="I1677">
        <f>DAY(EOMONTH(DATE(VALUE(LEFT(E1677,4)),VALUE(RIGHT(E1677,2)),1),0))</f>
        <v/>
      </c>
      <c r="J1677">
        <f>VALUE(LEFT(E1677,4))*12+VALUE(RIGHT(E1677,2))-1</f>
        <v/>
      </c>
    </row>
    <row r="1678">
      <c r="A1678" t="inlineStr">
        <is>
          <t>Manantiales Behr</t>
        </is>
      </c>
      <c r="B1678" t="inlineStr">
        <is>
          <t>Golfo San Jorge</t>
        </is>
      </c>
      <c r="C1678" t="inlineStr">
        <is>
          <t>YPF S.A.</t>
        </is>
      </c>
      <c r="D1678" t="inlineStr">
        <is>
          <t>convencional</t>
        </is>
      </c>
      <c r="E1678" t="inlineStr">
        <is>
          <t>2013-09</t>
        </is>
      </c>
      <c r="F1678" t="n">
        <v>94277.8</v>
      </c>
      <c r="G1678" t="n">
        <v>289655.8</v>
      </c>
      <c r="H1678" t="n">
        <v>294596</v>
      </c>
      <c r="I1678">
        <f>DAY(EOMONTH(DATE(VALUE(LEFT(E1678,4)),VALUE(RIGHT(E1678,2)),1),0))</f>
        <v/>
      </c>
      <c r="J1678">
        <f>VALUE(LEFT(E1678,4))*12+VALUE(RIGHT(E1678,2))-1</f>
        <v/>
      </c>
    </row>
    <row r="1679">
      <c r="A1679" t="inlineStr">
        <is>
          <t>Manantiales Behr</t>
        </is>
      </c>
      <c r="B1679" t="inlineStr">
        <is>
          <t>Golfo San Jorge</t>
        </is>
      </c>
      <c r="C1679" t="inlineStr">
        <is>
          <t>YPF S.A.</t>
        </is>
      </c>
      <c r="D1679" t="inlineStr">
        <is>
          <t>convencional</t>
        </is>
      </c>
      <c r="E1679" t="inlineStr">
        <is>
          <t>2013-10</t>
        </is>
      </c>
      <c r="F1679" t="n">
        <v>97600.10000000001</v>
      </c>
      <c r="G1679" t="n">
        <v>303731.1</v>
      </c>
      <c r="H1679" t="n">
        <v>308572.2</v>
      </c>
      <c r="I1679">
        <f>DAY(EOMONTH(DATE(VALUE(LEFT(E1679,4)),VALUE(RIGHT(E1679,2)),1),0))</f>
        <v/>
      </c>
      <c r="J1679">
        <f>VALUE(LEFT(E1679,4))*12+VALUE(RIGHT(E1679,2))-1</f>
        <v/>
      </c>
    </row>
    <row r="1680">
      <c r="A1680" t="inlineStr">
        <is>
          <t>Manantiales Behr</t>
        </is>
      </c>
      <c r="B1680" t="inlineStr">
        <is>
          <t>Golfo San Jorge</t>
        </is>
      </c>
      <c r="C1680" t="inlineStr">
        <is>
          <t>YPF S.A.</t>
        </is>
      </c>
      <c r="D1680" t="inlineStr">
        <is>
          <t>convencional</t>
        </is>
      </c>
      <c r="E1680" t="inlineStr">
        <is>
          <t>2013-11</t>
        </is>
      </c>
      <c r="F1680" t="n">
        <v>96637.3</v>
      </c>
      <c r="G1680" t="n">
        <v>305209.6</v>
      </c>
      <c r="H1680" t="n">
        <v>311796</v>
      </c>
      <c r="I1680">
        <f>DAY(EOMONTH(DATE(VALUE(LEFT(E1680,4)),VALUE(RIGHT(E1680,2)),1),0))</f>
        <v/>
      </c>
      <c r="J1680">
        <f>VALUE(LEFT(E1680,4))*12+VALUE(RIGHT(E1680,2))-1</f>
        <v/>
      </c>
    </row>
    <row r="1681">
      <c r="A1681" t="inlineStr">
        <is>
          <t>Manantiales Behr</t>
        </is>
      </c>
      <c r="B1681" t="inlineStr">
        <is>
          <t>Golfo San Jorge</t>
        </is>
      </c>
      <c r="C1681" t="inlineStr">
        <is>
          <t>YPF S.A.</t>
        </is>
      </c>
      <c r="D1681" t="inlineStr">
        <is>
          <t>convencional</t>
        </is>
      </c>
      <c r="E1681" t="inlineStr">
        <is>
          <t>2013-12</t>
        </is>
      </c>
      <c r="F1681" t="n">
        <v>97745.8</v>
      </c>
      <c r="G1681" t="n">
        <v>336234.7</v>
      </c>
      <c r="H1681" t="n">
        <v>350835</v>
      </c>
      <c r="I1681">
        <f>DAY(EOMONTH(DATE(VALUE(LEFT(E1681,4)),VALUE(RIGHT(E1681,2)),1),0))</f>
        <v/>
      </c>
      <c r="J1681">
        <f>VALUE(LEFT(E1681,4))*12+VALUE(RIGHT(E1681,2))-1</f>
        <v/>
      </c>
    </row>
    <row r="1682">
      <c r="A1682" t="inlineStr">
        <is>
          <t>Manantiales Behr</t>
        </is>
      </c>
      <c r="B1682" t="inlineStr">
        <is>
          <t>Golfo San Jorge</t>
        </is>
      </c>
      <c r="C1682" t="inlineStr">
        <is>
          <t>YPF S.A.</t>
        </is>
      </c>
      <c r="D1682" t="inlineStr">
        <is>
          <t>convencional</t>
        </is>
      </c>
      <c r="E1682" t="inlineStr">
        <is>
          <t>2014-01</t>
        </is>
      </c>
      <c r="F1682" t="n">
        <v>97977</v>
      </c>
      <c r="G1682" t="n">
        <v>353106.7</v>
      </c>
      <c r="H1682" t="n">
        <v>367696</v>
      </c>
      <c r="I1682">
        <f>DAY(EOMONTH(DATE(VALUE(LEFT(E1682,4)),VALUE(RIGHT(E1682,2)),1),0))</f>
        <v/>
      </c>
      <c r="J1682">
        <f>VALUE(LEFT(E1682,4))*12+VALUE(RIGHT(E1682,2))-1</f>
        <v/>
      </c>
    </row>
    <row r="1683">
      <c r="A1683" t="inlineStr">
        <is>
          <t>Manantiales Behr</t>
        </is>
      </c>
      <c r="B1683" t="inlineStr">
        <is>
          <t>Golfo San Jorge</t>
        </is>
      </c>
      <c r="C1683" t="inlineStr">
        <is>
          <t>YPF S.A.</t>
        </is>
      </c>
      <c r="D1683" t="inlineStr">
        <is>
          <t>convencional</t>
        </is>
      </c>
      <c r="E1683" t="inlineStr">
        <is>
          <t>2014-02</t>
        </is>
      </c>
      <c r="F1683" t="n">
        <v>89548.3</v>
      </c>
      <c r="G1683" t="n">
        <v>316364</v>
      </c>
      <c r="H1683" t="n">
        <v>328871</v>
      </c>
      <c r="I1683">
        <f>DAY(EOMONTH(DATE(VALUE(LEFT(E1683,4)),VALUE(RIGHT(E1683,2)),1),0))</f>
        <v/>
      </c>
      <c r="J1683">
        <f>VALUE(LEFT(E1683,4))*12+VALUE(RIGHT(E1683,2))-1</f>
        <v/>
      </c>
    </row>
    <row r="1684">
      <c r="A1684" t="inlineStr">
        <is>
          <t>Manantiales Behr</t>
        </is>
      </c>
      <c r="B1684" t="inlineStr">
        <is>
          <t>Golfo San Jorge</t>
        </is>
      </c>
      <c r="C1684" t="inlineStr">
        <is>
          <t>YPF S.A.</t>
        </is>
      </c>
      <c r="D1684" t="inlineStr">
        <is>
          <t>convencional</t>
        </is>
      </c>
      <c r="E1684" t="inlineStr">
        <is>
          <t>2014-03</t>
        </is>
      </c>
      <c r="F1684" t="n">
        <v>100261.8</v>
      </c>
      <c r="G1684" t="n">
        <v>366314.5</v>
      </c>
      <c r="H1684" t="n">
        <v>374979</v>
      </c>
      <c r="I1684">
        <f>DAY(EOMONTH(DATE(VALUE(LEFT(E1684,4)),VALUE(RIGHT(E1684,2)),1),0))</f>
        <v/>
      </c>
      <c r="J1684">
        <f>VALUE(LEFT(E1684,4))*12+VALUE(RIGHT(E1684,2))-1</f>
        <v/>
      </c>
    </row>
    <row r="1685">
      <c r="A1685" t="inlineStr">
        <is>
          <t>Manantiales Behr</t>
        </is>
      </c>
      <c r="B1685" t="inlineStr">
        <is>
          <t>Golfo San Jorge</t>
        </is>
      </c>
      <c r="C1685" t="inlineStr">
        <is>
          <t>YPF S.A.</t>
        </is>
      </c>
      <c r="D1685" t="inlineStr">
        <is>
          <t>convencional</t>
        </is>
      </c>
      <c r="E1685" t="inlineStr">
        <is>
          <t>2014-04</t>
        </is>
      </c>
      <c r="F1685" t="n">
        <v>96914.39999999999</v>
      </c>
      <c r="G1685" t="n">
        <v>358253.7</v>
      </c>
      <c r="H1685" t="n">
        <v>363430</v>
      </c>
      <c r="I1685">
        <f>DAY(EOMONTH(DATE(VALUE(LEFT(E1685,4)),VALUE(RIGHT(E1685,2)),1),0))</f>
        <v/>
      </c>
      <c r="J1685">
        <f>VALUE(LEFT(E1685,4))*12+VALUE(RIGHT(E1685,2))-1</f>
        <v/>
      </c>
    </row>
    <row r="1686">
      <c r="A1686" t="inlineStr">
        <is>
          <t>Manantiales Behr</t>
        </is>
      </c>
      <c r="B1686" t="inlineStr">
        <is>
          <t>Golfo San Jorge</t>
        </is>
      </c>
      <c r="C1686" t="inlineStr">
        <is>
          <t>YPF S.A.</t>
        </is>
      </c>
      <c r="D1686" t="inlineStr">
        <is>
          <t>convencional</t>
        </is>
      </c>
      <c r="E1686" t="inlineStr">
        <is>
          <t>2014-05</t>
        </is>
      </c>
      <c r="F1686" t="n">
        <v>101630.1</v>
      </c>
      <c r="G1686" t="n">
        <v>399615.6</v>
      </c>
      <c r="H1686" t="n">
        <v>402712</v>
      </c>
      <c r="I1686">
        <f>DAY(EOMONTH(DATE(VALUE(LEFT(E1686,4)),VALUE(RIGHT(E1686,2)),1),0))</f>
        <v/>
      </c>
      <c r="J1686">
        <f>VALUE(LEFT(E1686,4))*12+VALUE(RIGHT(E1686,2))-1</f>
        <v/>
      </c>
    </row>
    <row r="1687">
      <c r="A1687" t="inlineStr">
        <is>
          <t>Manantiales Behr</t>
        </is>
      </c>
      <c r="B1687" t="inlineStr">
        <is>
          <t>Golfo San Jorge</t>
        </is>
      </c>
      <c r="C1687" t="inlineStr">
        <is>
          <t>YPF S.A.</t>
        </is>
      </c>
      <c r="D1687" t="inlineStr">
        <is>
          <t>convencional</t>
        </is>
      </c>
      <c r="E1687" t="inlineStr">
        <is>
          <t>2014-06</t>
        </is>
      </c>
      <c r="F1687" t="n">
        <v>96920.3</v>
      </c>
      <c r="G1687" t="n">
        <v>386053</v>
      </c>
      <c r="H1687" t="n">
        <v>389088</v>
      </c>
      <c r="I1687">
        <f>DAY(EOMONTH(DATE(VALUE(LEFT(E1687,4)),VALUE(RIGHT(E1687,2)),1),0))</f>
        <v/>
      </c>
      <c r="J1687">
        <f>VALUE(LEFT(E1687,4))*12+VALUE(RIGHT(E1687,2))-1</f>
        <v/>
      </c>
    </row>
    <row r="1688">
      <c r="A1688" t="inlineStr">
        <is>
          <t>Manantiales Behr</t>
        </is>
      </c>
      <c r="B1688" t="inlineStr">
        <is>
          <t>Golfo San Jorge</t>
        </is>
      </c>
      <c r="C1688" t="inlineStr">
        <is>
          <t>YPF S.A.</t>
        </is>
      </c>
      <c r="D1688" t="inlineStr">
        <is>
          <t>convencional</t>
        </is>
      </c>
      <c r="E1688" t="inlineStr">
        <is>
          <t>2014-07</t>
        </is>
      </c>
      <c r="F1688" t="n">
        <v>101505.6</v>
      </c>
      <c r="G1688" t="n">
        <v>415380.6</v>
      </c>
      <c r="H1688" t="n">
        <v>420081</v>
      </c>
      <c r="I1688">
        <f>DAY(EOMONTH(DATE(VALUE(LEFT(E1688,4)),VALUE(RIGHT(E1688,2)),1),0))</f>
        <v/>
      </c>
      <c r="J1688">
        <f>VALUE(LEFT(E1688,4))*12+VALUE(RIGHT(E1688,2))-1</f>
        <v/>
      </c>
    </row>
    <row r="1689">
      <c r="A1689" t="inlineStr">
        <is>
          <t>Manantiales Behr</t>
        </is>
      </c>
      <c r="B1689" t="inlineStr">
        <is>
          <t>Golfo San Jorge</t>
        </is>
      </c>
      <c r="C1689" t="inlineStr">
        <is>
          <t>YPF S.A.</t>
        </is>
      </c>
      <c r="D1689" t="inlineStr">
        <is>
          <t>convencional</t>
        </is>
      </c>
      <c r="E1689" t="inlineStr">
        <is>
          <t>2014-08</t>
        </is>
      </c>
      <c r="F1689" t="n">
        <v>100088.6</v>
      </c>
      <c r="G1689" t="n">
        <v>438527.6</v>
      </c>
      <c r="H1689" t="n">
        <v>442384</v>
      </c>
      <c r="I1689">
        <f>DAY(EOMONTH(DATE(VALUE(LEFT(E1689,4)),VALUE(RIGHT(E1689,2)),1),0))</f>
        <v/>
      </c>
      <c r="J1689">
        <f>VALUE(LEFT(E1689,4))*12+VALUE(RIGHT(E1689,2))-1</f>
        <v/>
      </c>
    </row>
    <row r="1690">
      <c r="A1690" t="inlineStr">
        <is>
          <t>Manantiales Behr</t>
        </is>
      </c>
      <c r="B1690" t="inlineStr">
        <is>
          <t>Golfo San Jorge</t>
        </is>
      </c>
      <c r="C1690" t="inlineStr">
        <is>
          <t>YPF S.A.</t>
        </is>
      </c>
      <c r="D1690" t="inlineStr">
        <is>
          <t>convencional</t>
        </is>
      </c>
      <c r="E1690" t="inlineStr">
        <is>
          <t>2014-09</t>
        </is>
      </c>
      <c r="F1690" t="n">
        <v>94701.10000000001</v>
      </c>
      <c r="G1690" t="n">
        <v>435713.6</v>
      </c>
      <c r="H1690" t="n">
        <v>438882</v>
      </c>
      <c r="I1690">
        <f>DAY(EOMONTH(DATE(VALUE(LEFT(E1690,4)),VALUE(RIGHT(E1690,2)),1),0))</f>
        <v/>
      </c>
      <c r="J1690">
        <f>VALUE(LEFT(E1690,4))*12+VALUE(RIGHT(E1690,2))-1</f>
        <v/>
      </c>
    </row>
    <row r="1691">
      <c r="A1691" t="inlineStr">
        <is>
          <t>Manantiales Behr</t>
        </is>
      </c>
      <c r="B1691" t="inlineStr">
        <is>
          <t>Golfo San Jorge</t>
        </is>
      </c>
      <c r="C1691" t="inlineStr">
        <is>
          <t>YPF S.A.</t>
        </is>
      </c>
      <c r="D1691" t="inlineStr">
        <is>
          <t>convencional</t>
        </is>
      </c>
      <c r="E1691" t="inlineStr">
        <is>
          <t>2014-10</t>
        </is>
      </c>
      <c r="F1691" t="n">
        <v>100564.9</v>
      </c>
      <c r="G1691" t="n">
        <v>422746.2</v>
      </c>
      <c r="H1691" t="n">
        <v>424847</v>
      </c>
      <c r="I1691">
        <f>DAY(EOMONTH(DATE(VALUE(LEFT(E1691,4)),VALUE(RIGHT(E1691,2)),1),0))</f>
        <v/>
      </c>
      <c r="J1691">
        <f>VALUE(LEFT(E1691,4))*12+VALUE(RIGHT(E1691,2))-1</f>
        <v/>
      </c>
    </row>
    <row r="1692">
      <c r="A1692" t="inlineStr">
        <is>
          <t>Manantiales Behr</t>
        </is>
      </c>
      <c r="B1692" t="inlineStr">
        <is>
          <t>Golfo San Jorge</t>
        </is>
      </c>
      <c r="C1692" t="inlineStr">
        <is>
          <t>YPF S.A.</t>
        </is>
      </c>
      <c r="D1692" t="inlineStr">
        <is>
          <t>convencional</t>
        </is>
      </c>
      <c r="E1692" t="inlineStr">
        <is>
          <t>2014-11</t>
        </is>
      </c>
      <c r="F1692" t="n">
        <v>98068.10000000001</v>
      </c>
      <c r="G1692" t="n">
        <v>416769.4</v>
      </c>
      <c r="H1692" t="n">
        <v>418764</v>
      </c>
      <c r="I1692">
        <f>DAY(EOMONTH(DATE(VALUE(LEFT(E1692,4)),VALUE(RIGHT(E1692,2)),1),0))</f>
        <v/>
      </c>
      <c r="J1692">
        <f>VALUE(LEFT(E1692,4))*12+VALUE(RIGHT(E1692,2))-1</f>
        <v/>
      </c>
    </row>
    <row r="1693">
      <c r="A1693" t="inlineStr">
        <is>
          <t>Manantiales Behr</t>
        </is>
      </c>
      <c r="B1693" t="inlineStr">
        <is>
          <t>Golfo San Jorge</t>
        </is>
      </c>
      <c r="C1693" t="inlineStr">
        <is>
          <t>YPF S.A.</t>
        </is>
      </c>
      <c r="D1693" t="inlineStr">
        <is>
          <t>convencional</t>
        </is>
      </c>
      <c r="E1693" t="inlineStr">
        <is>
          <t>2014-12</t>
        </is>
      </c>
      <c r="F1693" t="n">
        <v>97929.2</v>
      </c>
      <c r="G1693" t="n">
        <v>442686.5</v>
      </c>
      <c r="H1693" t="n">
        <v>448337</v>
      </c>
      <c r="I1693">
        <f>DAY(EOMONTH(DATE(VALUE(LEFT(E1693,4)),VALUE(RIGHT(E1693,2)),1),0))</f>
        <v/>
      </c>
      <c r="J1693">
        <f>VALUE(LEFT(E1693,4))*12+VALUE(RIGHT(E1693,2))-1</f>
        <v/>
      </c>
    </row>
    <row r="1694">
      <c r="A1694" t="inlineStr">
        <is>
          <t>Manantiales Behr</t>
        </is>
      </c>
      <c r="B1694" t="inlineStr">
        <is>
          <t>Golfo San Jorge</t>
        </is>
      </c>
      <c r="C1694" t="inlineStr">
        <is>
          <t>YPF S.A.</t>
        </is>
      </c>
      <c r="D1694" t="inlineStr">
        <is>
          <t>convencional</t>
        </is>
      </c>
      <c r="E1694" t="inlineStr">
        <is>
          <t>2015-01</t>
        </is>
      </c>
      <c r="F1694" t="n">
        <v>97301.8</v>
      </c>
      <c r="G1694" t="n">
        <v>440072.6</v>
      </c>
      <c r="H1694" t="n">
        <v>444781</v>
      </c>
      <c r="I1694">
        <f>DAY(EOMONTH(DATE(VALUE(LEFT(E1694,4)),VALUE(RIGHT(E1694,2)),1),0))</f>
        <v/>
      </c>
      <c r="J1694">
        <f>VALUE(LEFT(E1694,4))*12+VALUE(RIGHT(E1694,2))-1</f>
        <v/>
      </c>
    </row>
    <row r="1695">
      <c r="A1695" t="inlineStr">
        <is>
          <t>Manantiales Behr</t>
        </is>
      </c>
      <c r="B1695" t="inlineStr">
        <is>
          <t>Golfo San Jorge</t>
        </is>
      </c>
      <c r="C1695" t="inlineStr">
        <is>
          <t>YPF S.A.</t>
        </is>
      </c>
      <c r="D1695" t="inlineStr">
        <is>
          <t>convencional</t>
        </is>
      </c>
      <c r="E1695" t="inlineStr">
        <is>
          <t>2015-02</t>
        </is>
      </c>
      <c r="F1695" t="n">
        <v>89573.89999999999</v>
      </c>
      <c r="G1695" t="n">
        <v>405633.5</v>
      </c>
      <c r="H1695" t="n">
        <v>411521</v>
      </c>
      <c r="I1695">
        <f>DAY(EOMONTH(DATE(VALUE(LEFT(E1695,4)),VALUE(RIGHT(E1695,2)),1),0))</f>
        <v/>
      </c>
      <c r="J1695">
        <f>VALUE(LEFT(E1695,4))*12+VALUE(RIGHT(E1695,2))-1</f>
        <v/>
      </c>
    </row>
    <row r="1696">
      <c r="A1696" t="inlineStr">
        <is>
          <t>Manantiales Behr</t>
        </is>
      </c>
      <c r="B1696" t="inlineStr">
        <is>
          <t>Golfo San Jorge</t>
        </is>
      </c>
      <c r="C1696" t="inlineStr">
        <is>
          <t>YPF S.A.</t>
        </is>
      </c>
      <c r="D1696" t="inlineStr">
        <is>
          <t>convencional</t>
        </is>
      </c>
      <c r="E1696" t="inlineStr">
        <is>
          <t>2015-03</t>
        </is>
      </c>
      <c r="F1696" t="n">
        <v>100097.2</v>
      </c>
      <c r="G1696" t="n">
        <v>462226.5</v>
      </c>
      <c r="H1696" t="n">
        <v>469442</v>
      </c>
      <c r="I1696">
        <f>DAY(EOMONTH(DATE(VALUE(LEFT(E1696,4)),VALUE(RIGHT(E1696,2)),1),0))</f>
        <v/>
      </c>
      <c r="J1696">
        <f>VALUE(LEFT(E1696,4))*12+VALUE(RIGHT(E1696,2))-1</f>
        <v/>
      </c>
    </row>
    <row r="1697">
      <c r="A1697" t="inlineStr">
        <is>
          <t>Manantiales Behr</t>
        </is>
      </c>
      <c r="B1697" t="inlineStr">
        <is>
          <t>Golfo San Jorge</t>
        </is>
      </c>
      <c r="C1697" t="inlineStr">
        <is>
          <t>YPF S.A.</t>
        </is>
      </c>
      <c r="D1697" t="inlineStr">
        <is>
          <t>convencional</t>
        </is>
      </c>
      <c r="E1697" t="inlineStr">
        <is>
          <t>2015-04</t>
        </is>
      </c>
      <c r="F1697" t="n">
        <v>95587.39999999999</v>
      </c>
      <c r="G1697" t="n">
        <v>448432.5</v>
      </c>
      <c r="H1697" t="n">
        <v>453934</v>
      </c>
      <c r="I1697">
        <f>DAY(EOMONTH(DATE(VALUE(LEFT(E1697,4)),VALUE(RIGHT(E1697,2)),1),0))</f>
        <v/>
      </c>
      <c r="J1697">
        <f>VALUE(LEFT(E1697,4))*12+VALUE(RIGHT(E1697,2))-1</f>
        <v/>
      </c>
    </row>
    <row r="1698">
      <c r="A1698" t="inlineStr">
        <is>
          <t>Manantiales Behr</t>
        </is>
      </c>
      <c r="B1698" t="inlineStr">
        <is>
          <t>Golfo San Jorge</t>
        </is>
      </c>
      <c r="C1698" t="inlineStr">
        <is>
          <t>YPF S.A.</t>
        </is>
      </c>
      <c r="D1698" t="inlineStr">
        <is>
          <t>convencional</t>
        </is>
      </c>
      <c r="E1698" t="inlineStr">
        <is>
          <t>2015-05</t>
        </is>
      </c>
      <c r="F1698" t="n">
        <v>101860.3</v>
      </c>
      <c r="G1698" t="n">
        <v>486819.6</v>
      </c>
      <c r="H1698" t="n">
        <v>493862.8</v>
      </c>
      <c r="I1698">
        <f>DAY(EOMONTH(DATE(VALUE(LEFT(E1698,4)),VALUE(RIGHT(E1698,2)),1),0))</f>
        <v/>
      </c>
      <c r="J1698">
        <f>VALUE(LEFT(E1698,4))*12+VALUE(RIGHT(E1698,2))-1</f>
        <v/>
      </c>
    </row>
    <row r="1699">
      <c r="A1699" t="inlineStr">
        <is>
          <t>Manantiales Behr</t>
        </is>
      </c>
      <c r="B1699" t="inlineStr">
        <is>
          <t>Golfo San Jorge</t>
        </is>
      </c>
      <c r="C1699" t="inlineStr">
        <is>
          <t>YPF S.A.</t>
        </is>
      </c>
      <c r="D1699" t="inlineStr">
        <is>
          <t>convencional</t>
        </is>
      </c>
      <c r="E1699" t="inlineStr">
        <is>
          <t>2015-06</t>
        </is>
      </c>
      <c r="F1699" t="n">
        <v>96839.60000000001</v>
      </c>
      <c r="G1699" t="n">
        <v>479388.2</v>
      </c>
      <c r="H1699" t="n">
        <v>482439.9</v>
      </c>
      <c r="I1699">
        <f>DAY(EOMONTH(DATE(VALUE(LEFT(E1699,4)),VALUE(RIGHT(E1699,2)),1),0))</f>
        <v/>
      </c>
      <c r="J1699">
        <f>VALUE(LEFT(E1699,4))*12+VALUE(RIGHT(E1699,2))-1</f>
        <v/>
      </c>
    </row>
    <row r="1700">
      <c r="A1700" t="inlineStr">
        <is>
          <t>Manantiales Behr</t>
        </is>
      </c>
      <c r="B1700" t="inlineStr">
        <is>
          <t>Golfo San Jorge</t>
        </is>
      </c>
      <c r="C1700" t="inlineStr">
        <is>
          <t>YPF S.A.</t>
        </is>
      </c>
      <c r="D1700" t="inlineStr">
        <is>
          <t>convencional</t>
        </is>
      </c>
      <c r="E1700" t="inlineStr">
        <is>
          <t>2015-07</t>
        </is>
      </c>
      <c r="F1700" t="n">
        <v>100364</v>
      </c>
      <c r="G1700" t="n">
        <v>489288</v>
      </c>
      <c r="H1700" t="n">
        <v>494893.5</v>
      </c>
      <c r="I1700">
        <f>DAY(EOMONTH(DATE(VALUE(LEFT(E1700,4)),VALUE(RIGHT(E1700,2)),1),0))</f>
        <v/>
      </c>
      <c r="J1700">
        <f>VALUE(LEFT(E1700,4))*12+VALUE(RIGHT(E1700,2))-1</f>
        <v/>
      </c>
    </row>
    <row r="1701">
      <c r="A1701" t="inlineStr">
        <is>
          <t>Manantiales Behr</t>
        </is>
      </c>
      <c r="B1701" t="inlineStr">
        <is>
          <t>Golfo San Jorge</t>
        </is>
      </c>
      <c r="C1701" t="inlineStr">
        <is>
          <t>YPF S.A.</t>
        </is>
      </c>
      <c r="D1701" t="inlineStr">
        <is>
          <t>convencional</t>
        </is>
      </c>
      <c r="E1701" t="inlineStr">
        <is>
          <t>2015-08</t>
        </is>
      </c>
      <c r="F1701" t="n">
        <v>100834.9</v>
      </c>
      <c r="G1701" t="n">
        <v>470952.2</v>
      </c>
      <c r="H1701" t="n">
        <v>476272.2</v>
      </c>
      <c r="I1701">
        <f>DAY(EOMONTH(DATE(VALUE(LEFT(E1701,4)),VALUE(RIGHT(E1701,2)),1),0))</f>
        <v/>
      </c>
      <c r="J1701">
        <f>VALUE(LEFT(E1701,4))*12+VALUE(RIGHT(E1701,2))-1</f>
        <v/>
      </c>
    </row>
    <row r="1702">
      <c r="A1702" t="inlineStr">
        <is>
          <t>Manantiales Behr</t>
        </is>
      </c>
      <c r="B1702" t="inlineStr">
        <is>
          <t>Golfo San Jorge</t>
        </is>
      </c>
      <c r="C1702" t="inlineStr">
        <is>
          <t>YPF S.A.</t>
        </is>
      </c>
      <c r="D1702" t="inlineStr">
        <is>
          <t>convencional</t>
        </is>
      </c>
      <c r="E1702" t="inlineStr">
        <is>
          <t>2015-09</t>
        </is>
      </c>
      <c r="F1702" t="n">
        <v>97835.39999999999</v>
      </c>
      <c r="G1702" t="n">
        <v>473304</v>
      </c>
      <c r="H1702" t="n">
        <v>478976</v>
      </c>
      <c r="I1702">
        <f>DAY(EOMONTH(DATE(VALUE(LEFT(E1702,4)),VALUE(RIGHT(E1702,2)),1),0))</f>
        <v/>
      </c>
      <c r="J1702">
        <f>VALUE(LEFT(E1702,4))*12+VALUE(RIGHT(E1702,2))-1</f>
        <v/>
      </c>
    </row>
    <row r="1703">
      <c r="A1703" t="inlineStr">
        <is>
          <t>Manantiales Behr</t>
        </is>
      </c>
      <c r="B1703" t="inlineStr">
        <is>
          <t>Golfo San Jorge</t>
        </is>
      </c>
      <c r="C1703" t="inlineStr">
        <is>
          <t>YPF S.A.</t>
        </is>
      </c>
      <c r="D1703" t="inlineStr">
        <is>
          <t>convencional</t>
        </is>
      </c>
      <c r="E1703" t="inlineStr">
        <is>
          <t>2015-10</t>
        </is>
      </c>
      <c r="F1703" t="n">
        <v>100157</v>
      </c>
      <c r="G1703" t="n">
        <v>492739.4</v>
      </c>
      <c r="H1703" t="n">
        <v>504182</v>
      </c>
      <c r="I1703">
        <f>DAY(EOMONTH(DATE(VALUE(LEFT(E1703,4)),VALUE(RIGHT(E1703,2)),1),0))</f>
        <v/>
      </c>
      <c r="J1703">
        <f>VALUE(LEFT(E1703,4))*12+VALUE(RIGHT(E1703,2))-1</f>
        <v/>
      </c>
    </row>
    <row r="1704">
      <c r="A1704" t="inlineStr">
        <is>
          <t>Manantiales Behr</t>
        </is>
      </c>
      <c r="B1704" t="inlineStr">
        <is>
          <t>Golfo San Jorge</t>
        </is>
      </c>
      <c r="C1704" t="inlineStr">
        <is>
          <t>YPF S.A.</t>
        </is>
      </c>
      <c r="D1704" t="inlineStr">
        <is>
          <t>convencional</t>
        </is>
      </c>
      <c r="E1704" t="inlineStr">
        <is>
          <t>2015-11</t>
        </is>
      </c>
      <c r="F1704" t="n">
        <v>95913.3</v>
      </c>
      <c r="G1704" t="n">
        <v>464134.5</v>
      </c>
      <c r="H1704" t="n">
        <v>475329</v>
      </c>
      <c r="I1704">
        <f>DAY(EOMONTH(DATE(VALUE(LEFT(E1704,4)),VALUE(RIGHT(E1704,2)),1),0))</f>
        <v/>
      </c>
      <c r="J1704">
        <f>VALUE(LEFT(E1704,4))*12+VALUE(RIGHT(E1704,2))-1</f>
        <v/>
      </c>
    </row>
    <row r="1705">
      <c r="A1705" t="inlineStr">
        <is>
          <t>Manantiales Behr</t>
        </is>
      </c>
      <c r="B1705" t="inlineStr">
        <is>
          <t>Golfo San Jorge</t>
        </is>
      </c>
      <c r="C1705" t="inlineStr">
        <is>
          <t>YPF S.A.</t>
        </is>
      </c>
      <c r="D1705" t="inlineStr">
        <is>
          <t>convencional</t>
        </is>
      </c>
      <c r="E1705" t="inlineStr">
        <is>
          <t>2015-12</t>
        </is>
      </c>
      <c r="F1705" t="n">
        <v>98173.2</v>
      </c>
      <c r="G1705" t="n">
        <v>488490.1</v>
      </c>
      <c r="H1705" t="n">
        <v>496968</v>
      </c>
      <c r="I1705">
        <f>DAY(EOMONTH(DATE(VALUE(LEFT(E1705,4)),VALUE(RIGHT(E1705,2)),1),0))</f>
        <v/>
      </c>
      <c r="J1705">
        <f>VALUE(LEFT(E1705,4))*12+VALUE(RIGHT(E1705,2))-1</f>
        <v/>
      </c>
    </row>
    <row r="1706">
      <c r="A1706" t="inlineStr">
        <is>
          <t>Manantiales Behr</t>
        </is>
      </c>
      <c r="B1706" t="inlineStr">
        <is>
          <t>Golfo San Jorge</t>
        </is>
      </c>
      <c r="C1706" t="inlineStr">
        <is>
          <t>YPF S.A.</t>
        </is>
      </c>
      <c r="D1706" t="inlineStr">
        <is>
          <t>convencional</t>
        </is>
      </c>
      <c r="E1706" t="inlineStr">
        <is>
          <t>2016-01</t>
        </is>
      </c>
      <c r="F1706" t="n">
        <v>97520.3</v>
      </c>
      <c r="G1706" t="n">
        <v>488614.8</v>
      </c>
      <c r="H1706" t="n">
        <v>494548</v>
      </c>
      <c r="I1706">
        <f>DAY(EOMONTH(DATE(VALUE(LEFT(E1706,4)),VALUE(RIGHT(E1706,2)),1),0))</f>
        <v/>
      </c>
      <c r="J1706">
        <f>VALUE(LEFT(E1706,4))*12+VALUE(RIGHT(E1706,2))-1</f>
        <v/>
      </c>
    </row>
    <row r="1707">
      <c r="A1707" t="inlineStr">
        <is>
          <t>Manantiales Behr</t>
        </is>
      </c>
      <c r="B1707" t="inlineStr">
        <is>
          <t>Golfo San Jorge</t>
        </is>
      </c>
      <c r="C1707" t="inlineStr">
        <is>
          <t>YPF S.A.</t>
        </is>
      </c>
      <c r="D1707" t="inlineStr">
        <is>
          <t>convencional</t>
        </is>
      </c>
      <c r="E1707" t="inlineStr">
        <is>
          <t>2016-02</t>
        </is>
      </c>
      <c r="F1707" t="n">
        <v>93827.89999999999</v>
      </c>
      <c r="G1707" t="n">
        <v>462979.6</v>
      </c>
      <c r="H1707" t="n">
        <v>467600.8</v>
      </c>
      <c r="I1707">
        <f>DAY(EOMONTH(DATE(VALUE(LEFT(E1707,4)),VALUE(RIGHT(E1707,2)),1),0))</f>
        <v/>
      </c>
      <c r="J1707">
        <f>VALUE(LEFT(E1707,4))*12+VALUE(RIGHT(E1707,2))-1</f>
        <v/>
      </c>
    </row>
    <row r="1708">
      <c r="A1708" t="inlineStr">
        <is>
          <t>Manantiales Behr</t>
        </is>
      </c>
      <c r="B1708" t="inlineStr">
        <is>
          <t>Golfo San Jorge</t>
        </is>
      </c>
      <c r="C1708" t="inlineStr">
        <is>
          <t>YPF S.A.</t>
        </is>
      </c>
      <c r="D1708" t="inlineStr">
        <is>
          <t>convencional</t>
        </is>
      </c>
      <c r="E1708" t="inlineStr">
        <is>
          <t>2016-03</t>
        </is>
      </c>
      <c r="F1708" t="n">
        <v>101919.6</v>
      </c>
      <c r="G1708" t="n">
        <v>520729.2</v>
      </c>
      <c r="H1708" t="n">
        <v>529109</v>
      </c>
      <c r="I1708">
        <f>DAY(EOMONTH(DATE(VALUE(LEFT(E1708,4)),VALUE(RIGHT(E1708,2)),1),0))</f>
        <v/>
      </c>
      <c r="J1708">
        <f>VALUE(LEFT(E1708,4))*12+VALUE(RIGHT(E1708,2))-1</f>
        <v/>
      </c>
    </row>
    <row r="1709">
      <c r="A1709" t="inlineStr">
        <is>
          <t>Manantiales Behr</t>
        </is>
      </c>
      <c r="B1709" t="inlineStr">
        <is>
          <t>Golfo San Jorge</t>
        </is>
      </c>
      <c r="C1709" t="inlineStr">
        <is>
          <t>YPF S.A.</t>
        </is>
      </c>
      <c r="D1709" t="inlineStr">
        <is>
          <t>convencional</t>
        </is>
      </c>
      <c r="E1709" t="inlineStr">
        <is>
          <t>2016-04</t>
        </is>
      </c>
      <c r="F1709" t="n">
        <v>98162.89999999999</v>
      </c>
      <c r="G1709" t="n">
        <v>509240.6</v>
      </c>
      <c r="H1709" t="n">
        <v>515701.9</v>
      </c>
      <c r="I1709">
        <f>DAY(EOMONTH(DATE(VALUE(LEFT(E1709,4)),VALUE(RIGHT(E1709,2)),1),0))</f>
        <v/>
      </c>
      <c r="J1709">
        <f>VALUE(LEFT(E1709,4))*12+VALUE(RIGHT(E1709,2))-1</f>
        <v/>
      </c>
    </row>
    <row r="1710">
      <c r="A1710" t="inlineStr">
        <is>
          <t>Manantiales Behr</t>
        </is>
      </c>
      <c r="B1710" t="inlineStr">
        <is>
          <t>Golfo San Jorge</t>
        </is>
      </c>
      <c r="C1710" t="inlineStr">
        <is>
          <t>YPF S.A.</t>
        </is>
      </c>
      <c r="D1710" t="inlineStr">
        <is>
          <t>convencional</t>
        </is>
      </c>
      <c r="E1710" t="inlineStr">
        <is>
          <t>2016-05</t>
        </is>
      </c>
      <c r="F1710" t="n">
        <v>90996.89999999999</v>
      </c>
      <c r="G1710" t="n">
        <v>461198.9</v>
      </c>
      <c r="H1710" t="n">
        <v>470327.4</v>
      </c>
      <c r="I1710">
        <f>DAY(EOMONTH(DATE(VALUE(LEFT(E1710,4)),VALUE(RIGHT(E1710,2)),1),0))</f>
        <v/>
      </c>
      <c r="J1710">
        <f>VALUE(LEFT(E1710,4))*12+VALUE(RIGHT(E1710,2))-1</f>
        <v/>
      </c>
    </row>
    <row r="1711">
      <c r="A1711" t="inlineStr">
        <is>
          <t>Manantiales Behr</t>
        </is>
      </c>
      <c r="B1711" t="inlineStr">
        <is>
          <t>Golfo San Jorge</t>
        </is>
      </c>
      <c r="C1711" t="inlineStr">
        <is>
          <t>YPF S.A.</t>
        </is>
      </c>
      <c r="D1711" t="inlineStr">
        <is>
          <t>convencional</t>
        </is>
      </c>
      <c r="E1711" t="inlineStr">
        <is>
          <t>2016-06</t>
        </is>
      </c>
      <c r="F1711" t="n">
        <v>98124.89999999999</v>
      </c>
      <c r="G1711" t="n">
        <v>495338.8</v>
      </c>
      <c r="H1711" t="n">
        <v>503394.9</v>
      </c>
      <c r="I1711">
        <f>DAY(EOMONTH(DATE(VALUE(LEFT(E1711,4)),VALUE(RIGHT(E1711,2)),1),0))</f>
        <v/>
      </c>
      <c r="J1711">
        <f>VALUE(LEFT(E1711,4))*12+VALUE(RIGHT(E1711,2))-1</f>
        <v/>
      </c>
    </row>
    <row r="1712">
      <c r="A1712" t="inlineStr">
        <is>
          <t>Manantiales Behr</t>
        </is>
      </c>
      <c r="B1712" t="inlineStr">
        <is>
          <t>Golfo San Jorge</t>
        </is>
      </c>
      <c r="C1712" t="inlineStr">
        <is>
          <t>YPF S.A.</t>
        </is>
      </c>
      <c r="D1712" t="inlineStr">
        <is>
          <t>convencional</t>
        </is>
      </c>
      <c r="E1712" t="inlineStr">
        <is>
          <t>2016-07</t>
        </is>
      </c>
      <c r="F1712" t="n">
        <v>100710.6</v>
      </c>
      <c r="G1712" t="n">
        <v>524622.8</v>
      </c>
      <c r="H1712" t="n">
        <v>533874.8</v>
      </c>
      <c r="I1712">
        <f>DAY(EOMONTH(DATE(VALUE(LEFT(E1712,4)),VALUE(RIGHT(E1712,2)),1),0))</f>
        <v/>
      </c>
      <c r="J1712">
        <f>VALUE(LEFT(E1712,4))*12+VALUE(RIGHT(E1712,2))-1</f>
        <v/>
      </c>
    </row>
    <row r="1713">
      <c r="A1713" t="inlineStr">
        <is>
          <t>Manantiales Behr</t>
        </is>
      </c>
      <c r="B1713" t="inlineStr">
        <is>
          <t>Golfo San Jorge</t>
        </is>
      </c>
      <c r="C1713" t="inlineStr">
        <is>
          <t>YPF S.A.</t>
        </is>
      </c>
      <c r="D1713" t="inlineStr">
        <is>
          <t>convencional</t>
        </is>
      </c>
      <c r="E1713" t="inlineStr">
        <is>
          <t>2016-08</t>
        </is>
      </c>
      <c r="F1713" t="n">
        <v>103702.6</v>
      </c>
      <c r="G1713" t="n">
        <v>540952.5</v>
      </c>
      <c r="H1713" t="n">
        <v>546605.8</v>
      </c>
      <c r="I1713">
        <f>DAY(EOMONTH(DATE(VALUE(LEFT(E1713,4)),VALUE(RIGHT(E1713,2)),1),0))</f>
        <v/>
      </c>
      <c r="J1713">
        <f>VALUE(LEFT(E1713,4))*12+VALUE(RIGHT(E1713,2))-1</f>
        <v/>
      </c>
    </row>
    <row r="1714">
      <c r="A1714" t="inlineStr">
        <is>
          <t>Manantiales Behr</t>
        </is>
      </c>
      <c r="B1714" t="inlineStr">
        <is>
          <t>Golfo San Jorge</t>
        </is>
      </c>
      <c r="C1714" t="inlineStr">
        <is>
          <t>YPF S.A.</t>
        </is>
      </c>
      <c r="D1714" t="inlineStr">
        <is>
          <t>convencional</t>
        </is>
      </c>
      <c r="E1714" t="inlineStr">
        <is>
          <t>2016-09</t>
        </is>
      </c>
      <c r="F1714" t="n">
        <v>96289.10000000001</v>
      </c>
      <c r="G1714" t="n">
        <v>520039.9</v>
      </c>
      <c r="H1714" t="n">
        <v>526915.5</v>
      </c>
      <c r="I1714">
        <f>DAY(EOMONTH(DATE(VALUE(LEFT(E1714,4)),VALUE(RIGHT(E1714,2)),1),0))</f>
        <v/>
      </c>
      <c r="J1714">
        <f>VALUE(LEFT(E1714,4))*12+VALUE(RIGHT(E1714,2))-1</f>
        <v/>
      </c>
    </row>
    <row r="1715">
      <c r="A1715" t="inlineStr">
        <is>
          <t>Manantiales Behr</t>
        </is>
      </c>
      <c r="B1715" t="inlineStr">
        <is>
          <t>Golfo San Jorge</t>
        </is>
      </c>
      <c r="C1715" t="inlineStr">
        <is>
          <t>YPF S.A.</t>
        </is>
      </c>
      <c r="D1715" t="inlineStr">
        <is>
          <t>convencional</t>
        </is>
      </c>
      <c r="E1715" t="inlineStr">
        <is>
          <t>2016-10</t>
        </is>
      </c>
      <c r="F1715" t="n">
        <v>100100.6</v>
      </c>
      <c r="G1715" t="n">
        <v>540762.4</v>
      </c>
      <c r="H1715" t="n">
        <v>547312.3</v>
      </c>
      <c r="I1715">
        <f>DAY(EOMONTH(DATE(VALUE(LEFT(E1715,4)),VALUE(RIGHT(E1715,2)),1),0))</f>
        <v/>
      </c>
      <c r="J1715">
        <f>VALUE(LEFT(E1715,4))*12+VALUE(RIGHT(E1715,2))-1</f>
        <v/>
      </c>
    </row>
    <row r="1716">
      <c r="A1716" t="inlineStr">
        <is>
          <t>Manantiales Behr</t>
        </is>
      </c>
      <c r="B1716" t="inlineStr">
        <is>
          <t>Golfo San Jorge</t>
        </is>
      </c>
      <c r="C1716" t="inlineStr">
        <is>
          <t>YPF S.A.</t>
        </is>
      </c>
      <c r="D1716" t="inlineStr">
        <is>
          <t>convencional</t>
        </is>
      </c>
      <c r="E1716" t="inlineStr">
        <is>
          <t>2016-11</t>
        </is>
      </c>
      <c r="F1716" t="n">
        <v>94748.2</v>
      </c>
      <c r="G1716" t="n">
        <v>500430.9</v>
      </c>
      <c r="H1716" t="n">
        <v>499031.2</v>
      </c>
      <c r="I1716">
        <f>DAY(EOMONTH(DATE(VALUE(LEFT(E1716,4)),VALUE(RIGHT(E1716,2)),1),0))</f>
        <v/>
      </c>
      <c r="J1716">
        <f>VALUE(LEFT(E1716,4))*12+VALUE(RIGHT(E1716,2))-1</f>
        <v/>
      </c>
    </row>
    <row r="1717">
      <c r="A1717" t="inlineStr">
        <is>
          <t>Manantiales Behr</t>
        </is>
      </c>
      <c r="B1717" t="inlineStr">
        <is>
          <t>Golfo San Jorge</t>
        </is>
      </c>
      <c r="C1717" t="inlineStr">
        <is>
          <t>YPF S.A.</t>
        </is>
      </c>
      <c r="D1717" t="inlineStr">
        <is>
          <t>convencional</t>
        </is>
      </c>
      <c r="E1717" t="inlineStr">
        <is>
          <t>2016-12</t>
        </is>
      </c>
      <c r="F1717" t="n">
        <v>96562.3</v>
      </c>
      <c r="G1717" t="n">
        <v>507687.6</v>
      </c>
      <c r="H1717" t="n">
        <v>514255</v>
      </c>
      <c r="I1717">
        <f>DAY(EOMONTH(DATE(VALUE(LEFT(E1717,4)),VALUE(RIGHT(E1717,2)),1),0))</f>
        <v/>
      </c>
      <c r="J1717">
        <f>VALUE(LEFT(E1717,4))*12+VALUE(RIGHT(E1717,2))-1</f>
        <v/>
      </c>
    </row>
    <row r="1718">
      <c r="A1718" t="inlineStr">
        <is>
          <t>Manantiales Behr</t>
        </is>
      </c>
      <c r="B1718" t="inlineStr">
        <is>
          <t>Golfo San Jorge</t>
        </is>
      </c>
      <c r="C1718" t="inlineStr">
        <is>
          <t>YPF S.A.</t>
        </is>
      </c>
      <c r="D1718" t="inlineStr">
        <is>
          <t>convencional</t>
        </is>
      </c>
      <c r="E1718" t="inlineStr">
        <is>
          <t>2017-01</t>
        </is>
      </c>
      <c r="F1718" t="n">
        <v>98470.7</v>
      </c>
      <c r="G1718" t="n">
        <v>519035</v>
      </c>
      <c r="H1718" t="n">
        <v>525919</v>
      </c>
      <c r="I1718">
        <f>DAY(EOMONTH(DATE(VALUE(LEFT(E1718,4)),VALUE(RIGHT(E1718,2)),1),0))</f>
        <v/>
      </c>
      <c r="J1718">
        <f>VALUE(LEFT(E1718,4))*12+VALUE(RIGHT(E1718,2))-1</f>
        <v/>
      </c>
    </row>
    <row r="1719">
      <c r="A1719" t="inlineStr">
        <is>
          <t>Manantiales Behr</t>
        </is>
      </c>
      <c r="B1719" t="inlineStr">
        <is>
          <t>Golfo San Jorge</t>
        </is>
      </c>
      <c r="C1719" t="inlineStr">
        <is>
          <t>YPF S.A.</t>
        </is>
      </c>
      <c r="D1719" t="inlineStr">
        <is>
          <t>convencional</t>
        </is>
      </c>
      <c r="E1719" t="inlineStr">
        <is>
          <t>2017-02</t>
        </is>
      </c>
      <c r="F1719" t="n">
        <v>88773.2</v>
      </c>
      <c r="G1719" t="n">
        <v>468487</v>
      </c>
      <c r="H1719" t="n">
        <v>477575</v>
      </c>
      <c r="I1719">
        <f>DAY(EOMONTH(DATE(VALUE(LEFT(E1719,4)),VALUE(RIGHT(E1719,2)),1),0))</f>
        <v/>
      </c>
      <c r="J1719">
        <f>VALUE(LEFT(E1719,4))*12+VALUE(RIGHT(E1719,2))-1</f>
        <v/>
      </c>
    </row>
    <row r="1720">
      <c r="A1720" t="inlineStr">
        <is>
          <t>Manantiales Behr</t>
        </is>
      </c>
      <c r="B1720" t="inlineStr">
        <is>
          <t>Golfo San Jorge</t>
        </is>
      </c>
      <c r="C1720" t="inlineStr">
        <is>
          <t>YPF S.A.</t>
        </is>
      </c>
      <c r="D1720" t="inlineStr">
        <is>
          <t>convencional</t>
        </is>
      </c>
      <c r="E1720" t="inlineStr">
        <is>
          <t>2017-03</t>
        </is>
      </c>
      <c r="F1720" t="n">
        <v>96193.7</v>
      </c>
      <c r="G1720" t="n">
        <v>515975.9</v>
      </c>
      <c r="H1720" t="n">
        <v>525568.2</v>
      </c>
      <c r="I1720">
        <f>DAY(EOMONTH(DATE(VALUE(LEFT(E1720,4)),VALUE(RIGHT(E1720,2)),1),0))</f>
        <v/>
      </c>
      <c r="J1720">
        <f>VALUE(LEFT(E1720,4))*12+VALUE(RIGHT(E1720,2))-1</f>
        <v/>
      </c>
    </row>
    <row r="1721">
      <c r="A1721" t="inlineStr">
        <is>
          <t>Manantiales Behr</t>
        </is>
      </c>
      <c r="B1721" t="inlineStr">
        <is>
          <t>Golfo San Jorge</t>
        </is>
      </c>
      <c r="C1721" t="inlineStr">
        <is>
          <t>YPF S.A.</t>
        </is>
      </c>
      <c r="D1721" t="inlineStr">
        <is>
          <t>convencional</t>
        </is>
      </c>
      <c r="E1721" t="inlineStr">
        <is>
          <t>2017-04</t>
        </is>
      </c>
      <c r="F1721" t="n">
        <v>82847.60000000001</v>
      </c>
      <c r="G1721" t="n">
        <v>445828.1</v>
      </c>
      <c r="H1721" t="n">
        <v>453243</v>
      </c>
      <c r="I1721">
        <f>DAY(EOMONTH(DATE(VALUE(LEFT(E1721,4)),VALUE(RIGHT(E1721,2)),1),0))</f>
        <v/>
      </c>
      <c r="J1721">
        <f>VALUE(LEFT(E1721,4))*12+VALUE(RIGHT(E1721,2))-1</f>
        <v/>
      </c>
    </row>
    <row r="1722">
      <c r="A1722" t="inlineStr">
        <is>
          <t>Manantiales Behr</t>
        </is>
      </c>
      <c r="B1722" t="inlineStr">
        <is>
          <t>Golfo San Jorge</t>
        </is>
      </c>
      <c r="C1722" t="inlineStr">
        <is>
          <t>YPF S.A.</t>
        </is>
      </c>
      <c r="D1722" t="inlineStr">
        <is>
          <t>convencional</t>
        </is>
      </c>
      <c r="E1722" t="inlineStr">
        <is>
          <t>2017-05</t>
        </is>
      </c>
      <c r="F1722" t="n">
        <v>94307.60000000001</v>
      </c>
      <c r="G1722" t="n">
        <v>501655.5</v>
      </c>
      <c r="H1722" t="n">
        <v>506096.7</v>
      </c>
      <c r="I1722">
        <f>DAY(EOMONTH(DATE(VALUE(LEFT(E1722,4)),VALUE(RIGHT(E1722,2)),1),0))</f>
        <v/>
      </c>
      <c r="J1722">
        <f>VALUE(LEFT(E1722,4))*12+VALUE(RIGHT(E1722,2))-1</f>
        <v/>
      </c>
    </row>
    <row r="1723">
      <c r="A1723" t="inlineStr">
        <is>
          <t>Manantiales Behr</t>
        </is>
      </c>
      <c r="B1723" t="inlineStr">
        <is>
          <t>Golfo San Jorge</t>
        </is>
      </c>
      <c r="C1723" t="inlineStr">
        <is>
          <t>YPF S.A.</t>
        </is>
      </c>
      <c r="D1723" t="inlineStr">
        <is>
          <t>convencional</t>
        </is>
      </c>
      <c r="E1723" t="inlineStr">
        <is>
          <t>2017-06</t>
        </is>
      </c>
      <c r="F1723" t="n">
        <v>62579.6</v>
      </c>
      <c r="G1723" t="n">
        <v>334045.6</v>
      </c>
      <c r="H1723" t="n">
        <v>336238.7</v>
      </c>
      <c r="I1723">
        <f>DAY(EOMONTH(DATE(VALUE(LEFT(E1723,4)),VALUE(RIGHT(E1723,2)),1),0))</f>
        <v/>
      </c>
      <c r="J1723">
        <f>VALUE(LEFT(E1723,4))*12+VALUE(RIGHT(E1723,2))-1</f>
        <v/>
      </c>
    </row>
    <row r="1724">
      <c r="A1724" t="inlineStr">
        <is>
          <t>Manantiales Behr</t>
        </is>
      </c>
      <c r="B1724" t="inlineStr">
        <is>
          <t>Golfo San Jorge</t>
        </is>
      </c>
      <c r="C1724" t="inlineStr">
        <is>
          <t>YPF S.A.</t>
        </is>
      </c>
      <c r="D1724" t="inlineStr">
        <is>
          <t>convencional</t>
        </is>
      </c>
      <c r="E1724" t="inlineStr">
        <is>
          <t>2017-07</t>
        </is>
      </c>
      <c r="F1724" t="n">
        <v>79552</v>
      </c>
      <c r="G1724" t="n">
        <v>406623.1</v>
      </c>
      <c r="H1724" t="n">
        <v>415951</v>
      </c>
      <c r="I1724">
        <f>DAY(EOMONTH(DATE(VALUE(LEFT(E1724,4)),VALUE(RIGHT(E1724,2)),1),0))</f>
        <v/>
      </c>
      <c r="J1724">
        <f>VALUE(LEFT(E1724,4))*12+VALUE(RIGHT(E1724,2))-1</f>
        <v/>
      </c>
    </row>
    <row r="1725">
      <c r="A1725" t="inlineStr">
        <is>
          <t>Manantiales Behr</t>
        </is>
      </c>
      <c r="B1725" t="inlineStr">
        <is>
          <t>Golfo San Jorge</t>
        </is>
      </c>
      <c r="C1725" t="inlineStr">
        <is>
          <t>YPF S.A.</t>
        </is>
      </c>
      <c r="D1725" t="inlineStr">
        <is>
          <t>convencional</t>
        </is>
      </c>
      <c r="E1725" t="inlineStr">
        <is>
          <t>2017-08</t>
        </is>
      </c>
      <c r="F1725" t="n">
        <v>88968.39999999999</v>
      </c>
      <c r="G1725" t="n">
        <v>469154.7</v>
      </c>
      <c r="H1725" t="n">
        <v>468113</v>
      </c>
      <c r="I1725">
        <f>DAY(EOMONTH(DATE(VALUE(LEFT(E1725,4)),VALUE(RIGHT(E1725,2)),1),0))</f>
        <v/>
      </c>
      <c r="J1725">
        <f>VALUE(LEFT(E1725,4))*12+VALUE(RIGHT(E1725,2))-1</f>
        <v/>
      </c>
    </row>
    <row r="1726">
      <c r="A1726" t="inlineStr">
        <is>
          <t>Manantiales Behr</t>
        </is>
      </c>
      <c r="B1726" t="inlineStr">
        <is>
          <t>Golfo San Jorge</t>
        </is>
      </c>
      <c r="C1726" t="inlineStr">
        <is>
          <t>YPF S.A.</t>
        </is>
      </c>
      <c r="D1726" t="inlineStr">
        <is>
          <t>convencional</t>
        </is>
      </c>
      <c r="E1726" t="inlineStr">
        <is>
          <t>2017-09</t>
        </is>
      </c>
      <c r="F1726" t="n">
        <v>89405.2</v>
      </c>
      <c r="G1726" t="n">
        <v>471271.3</v>
      </c>
      <c r="H1726" t="n">
        <v>471200</v>
      </c>
      <c r="I1726">
        <f>DAY(EOMONTH(DATE(VALUE(LEFT(E1726,4)),VALUE(RIGHT(E1726,2)),1),0))</f>
        <v/>
      </c>
      <c r="J1726">
        <f>VALUE(LEFT(E1726,4))*12+VALUE(RIGHT(E1726,2))-1</f>
        <v/>
      </c>
    </row>
    <row r="1727">
      <c r="A1727" t="inlineStr">
        <is>
          <t>Manantiales Behr</t>
        </is>
      </c>
      <c r="B1727" t="inlineStr">
        <is>
          <t>Golfo San Jorge</t>
        </is>
      </c>
      <c r="C1727" t="inlineStr">
        <is>
          <t>YPF S.A.</t>
        </is>
      </c>
      <c r="D1727" t="inlineStr">
        <is>
          <t>convencional</t>
        </is>
      </c>
      <c r="E1727" t="inlineStr">
        <is>
          <t>2017-10</t>
        </is>
      </c>
      <c r="F1727" t="n">
        <v>95221.3</v>
      </c>
      <c r="G1727" t="n">
        <v>493613.5</v>
      </c>
      <c r="H1727" t="n">
        <v>496883</v>
      </c>
      <c r="I1727">
        <f>DAY(EOMONTH(DATE(VALUE(LEFT(E1727,4)),VALUE(RIGHT(E1727,2)),1),0))</f>
        <v/>
      </c>
      <c r="J1727">
        <f>VALUE(LEFT(E1727,4))*12+VALUE(RIGHT(E1727,2))-1</f>
        <v/>
      </c>
    </row>
    <row r="1728">
      <c r="A1728" t="inlineStr">
        <is>
          <t>Manantiales Behr</t>
        </is>
      </c>
      <c r="B1728" t="inlineStr">
        <is>
          <t>Golfo San Jorge</t>
        </is>
      </c>
      <c r="C1728" t="inlineStr">
        <is>
          <t>YPF S.A.</t>
        </is>
      </c>
      <c r="D1728" t="inlineStr">
        <is>
          <t>convencional</t>
        </is>
      </c>
      <c r="E1728" t="inlineStr">
        <is>
          <t>2017-11</t>
        </is>
      </c>
      <c r="F1728" t="n">
        <v>94949.3</v>
      </c>
      <c r="G1728" t="n">
        <v>490024.1</v>
      </c>
      <c r="H1728" t="n">
        <v>483088.1</v>
      </c>
      <c r="I1728">
        <f>DAY(EOMONTH(DATE(VALUE(LEFT(E1728,4)),VALUE(RIGHT(E1728,2)),1),0))</f>
        <v/>
      </c>
      <c r="J1728">
        <f>VALUE(LEFT(E1728,4))*12+VALUE(RIGHT(E1728,2))-1</f>
        <v/>
      </c>
    </row>
    <row r="1729">
      <c r="A1729" t="inlineStr">
        <is>
          <t>Manantiales Behr</t>
        </is>
      </c>
      <c r="B1729" t="inlineStr">
        <is>
          <t>Golfo San Jorge</t>
        </is>
      </c>
      <c r="C1729" t="inlineStr">
        <is>
          <t>YPF S.A.</t>
        </is>
      </c>
      <c r="D1729" t="inlineStr">
        <is>
          <t>convencional</t>
        </is>
      </c>
      <c r="E1729" t="inlineStr">
        <is>
          <t>2017-12</t>
        </is>
      </c>
      <c r="F1729" t="n">
        <v>97535.2</v>
      </c>
      <c r="G1729" t="n">
        <v>502535.1</v>
      </c>
      <c r="H1729" t="n">
        <v>504436</v>
      </c>
      <c r="I1729">
        <f>DAY(EOMONTH(DATE(VALUE(LEFT(E1729,4)),VALUE(RIGHT(E1729,2)),1),0))</f>
        <v/>
      </c>
      <c r="J1729">
        <f>VALUE(LEFT(E1729,4))*12+VALUE(RIGHT(E1729,2))-1</f>
        <v/>
      </c>
    </row>
    <row r="1730">
      <c r="A1730" t="inlineStr">
        <is>
          <t>Manantiales Behr</t>
        </is>
      </c>
      <c r="B1730" t="inlineStr">
        <is>
          <t>Golfo San Jorge</t>
        </is>
      </c>
      <c r="C1730" t="inlineStr">
        <is>
          <t>YPF S.A.</t>
        </is>
      </c>
      <c r="D1730" t="inlineStr">
        <is>
          <t>convencional</t>
        </is>
      </c>
      <c r="E1730" t="inlineStr">
        <is>
          <t>2018-01</t>
        </is>
      </c>
      <c r="F1730" t="n">
        <v>98871.5</v>
      </c>
      <c r="G1730" t="n">
        <v>498640.2</v>
      </c>
      <c r="H1730" t="n">
        <v>492272.4</v>
      </c>
      <c r="I1730">
        <f>DAY(EOMONTH(DATE(VALUE(LEFT(E1730,4)),VALUE(RIGHT(E1730,2)),1),0))</f>
        <v/>
      </c>
      <c r="J1730">
        <f>VALUE(LEFT(E1730,4))*12+VALUE(RIGHT(E1730,2))-1</f>
        <v/>
      </c>
    </row>
    <row r="1731">
      <c r="A1731" t="inlineStr">
        <is>
          <t>Manantiales Behr</t>
        </is>
      </c>
      <c r="B1731" t="inlineStr">
        <is>
          <t>Golfo San Jorge</t>
        </is>
      </c>
      <c r="C1731" t="inlineStr">
        <is>
          <t>YPF S.A.</t>
        </is>
      </c>
      <c r="D1731" t="inlineStr">
        <is>
          <t>convencional</t>
        </is>
      </c>
      <c r="E1731" t="inlineStr">
        <is>
          <t>2018-02</t>
        </is>
      </c>
      <c r="F1731" t="n">
        <v>88954.39999999999</v>
      </c>
      <c r="G1731" t="n">
        <v>486690</v>
      </c>
      <c r="H1731" t="n">
        <v>476151</v>
      </c>
      <c r="I1731">
        <f>DAY(EOMONTH(DATE(VALUE(LEFT(E1731,4)),VALUE(RIGHT(E1731,2)),1),0))</f>
        <v/>
      </c>
      <c r="J1731">
        <f>VALUE(LEFT(E1731,4))*12+VALUE(RIGHT(E1731,2))-1</f>
        <v/>
      </c>
    </row>
    <row r="1732">
      <c r="A1732" t="inlineStr">
        <is>
          <t>Manantiales Behr</t>
        </is>
      </c>
      <c r="B1732" t="inlineStr">
        <is>
          <t>Golfo San Jorge</t>
        </is>
      </c>
      <c r="C1732" t="inlineStr">
        <is>
          <t>YPF S.A.</t>
        </is>
      </c>
      <c r="D1732" t="inlineStr">
        <is>
          <t>convencional</t>
        </is>
      </c>
      <c r="E1732" t="inlineStr">
        <is>
          <t>2018-03</t>
        </is>
      </c>
      <c r="F1732" t="n">
        <v>99780.2</v>
      </c>
      <c r="G1732" t="n">
        <v>572275.2</v>
      </c>
      <c r="H1732" t="n">
        <v>552002</v>
      </c>
      <c r="I1732">
        <f>DAY(EOMONTH(DATE(VALUE(LEFT(E1732,4)),VALUE(RIGHT(E1732,2)),1),0))</f>
        <v/>
      </c>
      <c r="J1732">
        <f>VALUE(LEFT(E1732,4))*12+VALUE(RIGHT(E1732,2))-1</f>
        <v/>
      </c>
    </row>
    <row r="1733">
      <c r="A1733" t="inlineStr">
        <is>
          <t>Manantiales Behr</t>
        </is>
      </c>
      <c r="B1733" t="inlineStr">
        <is>
          <t>Golfo San Jorge</t>
        </is>
      </c>
      <c r="C1733" t="inlineStr">
        <is>
          <t>YPF S.A.</t>
        </is>
      </c>
      <c r="D1733" t="inlineStr">
        <is>
          <t>convencional</t>
        </is>
      </c>
      <c r="E1733" t="inlineStr">
        <is>
          <t>2018-04</t>
        </is>
      </c>
      <c r="F1733" t="n">
        <v>95828.60000000001</v>
      </c>
      <c r="G1733" t="n">
        <v>533788</v>
      </c>
      <c r="H1733" t="n">
        <v>533691.7</v>
      </c>
      <c r="I1733">
        <f>DAY(EOMONTH(DATE(VALUE(LEFT(E1733,4)),VALUE(RIGHT(E1733,2)),1),0))</f>
        <v/>
      </c>
      <c r="J1733">
        <f>VALUE(LEFT(E1733,4))*12+VALUE(RIGHT(E1733,2))-1</f>
        <v/>
      </c>
    </row>
    <row r="1734">
      <c r="A1734" t="inlineStr">
        <is>
          <t>Manantiales Behr</t>
        </is>
      </c>
      <c r="B1734" t="inlineStr">
        <is>
          <t>Golfo San Jorge</t>
        </is>
      </c>
      <c r="C1734" t="inlineStr">
        <is>
          <t>YPF S.A.</t>
        </is>
      </c>
      <c r="D1734" t="inlineStr">
        <is>
          <t>convencional</t>
        </is>
      </c>
      <c r="E1734" t="inlineStr">
        <is>
          <t>2018-05</t>
        </is>
      </c>
      <c r="F1734" t="n">
        <v>99957.60000000001</v>
      </c>
      <c r="G1734" t="n">
        <v>556021.8</v>
      </c>
      <c r="H1734" t="n">
        <v>560768.1</v>
      </c>
      <c r="I1734">
        <f>DAY(EOMONTH(DATE(VALUE(LEFT(E1734,4)),VALUE(RIGHT(E1734,2)),1),0))</f>
        <v/>
      </c>
      <c r="J1734">
        <f>VALUE(LEFT(E1734,4))*12+VALUE(RIGHT(E1734,2))-1</f>
        <v/>
      </c>
    </row>
    <row r="1735">
      <c r="A1735" t="inlineStr">
        <is>
          <t>Manantiales Behr</t>
        </is>
      </c>
      <c r="B1735" t="inlineStr">
        <is>
          <t>Golfo San Jorge</t>
        </is>
      </c>
      <c r="C1735" t="inlineStr">
        <is>
          <t>YPF S.A.</t>
        </is>
      </c>
      <c r="D1735" t="inlineStr">
        <is>
          <t>convencional</t>
        </is>
      </c>
      <c r="E1735" t="inlineStr">
        <is>
          <t>2018-06</t>
        </is>
      </c>
      <c r="F1735" t="n">
        <v>97893.7</v>
      </c>
      <c r="G1735" t="n">
        <v>555219.8</v>
      </c>
      <c r="H1735" t="n">
        <v>562781.4</v>
      </c>
      <c r="I1735">
        <f>DAY(EOMONTH(DATE(VALUE(LEFT(E1735,4)),VALUE(RIGHT(E1735,2)),1),0))</f>
        <v/>
      </c>
      <c r="J1735">
        <f>VALUE(LEFT(E1735,4))*12+VALUE(RIGHT(E1735,2))-1</f>
        <v/>
      </c>
    </row>
    <row r="1736">
      <c r="A1736" t="inlineStr">
        <is>
          <t>Manantiales Behr</t>
        </is>
      </c>
      <c r="B1736" t="inlineStr">
        <is>
          <t>Golfo San Jorge</t>
        </is>
      </c>
      <c r="C1736" t="inlineStr">
        <is>
          <t>YPF S.A.</t>
        </is>
      </c>
      <c r="D1736" t="inlineStr">
        <is>
          <t>convencional</t>
        </is>
      </c>
      <c r="E1736" t="inlineStr">
        <is>
          <t>2018-07</t>
        </is>
      </c>
      <c r="F1736" t="n">
        <v>103990.8</v>
      </c>
      <c r="G1736" t="n">
        <v>590208</v>
      </c>
      <c r="H1736" t="n">
        <v>590256.6</v>
      </c>
      <c r="I1736">
        <f>DAY(EOMONTH(DATE(VALUE(LEFT(E1736,4)),VALUE(RIGHT(E1736,2)),1),0))</f>
        <v/>
      </c>
      <c r="J1736">
        <f>VALUE(LEFT(E1736,4))*12+VALUE(RIGHT(E1736,2))-1</f>
        <v/>
      </c>
    </row>
    <row r="1737">
      <c r="A1737" t="inlineStr">
        <is>
          <t>Manantiales Behr</t>
        </is>
      </c>
      <c r="B1737" t="inlineStr">
        <is>
          <t>Golfo San Jorge</t>
        </is>
      </c>
      <c r="C1737" t="inlineStr">
        <is>
          <t>YPF S.A.</t>
        </is>
      </c>
      <c r="D1737" t="inlineStr">
        <is>
          <t>convencional</t>
        </is>
      </c>
      <c r="E1737" t="inlineStr">
        <is>
          <t>2018-08</t>
        </is>
      </c>
      <c r="F1737" t="n">
        <v>101682.9</v>
      </c>
      <c r="G1737" t="n">
        <v>589898.8</v>
      </c>
      <c r="H1737" t="n">
        <v>589088.8</v>
      </c>
      <c r="I1737">
        <f>DAY(EOMONTH(DATE(VALUE(LEFT(E1737,4)),VALUE(RIGHT(E1737,2)),1),0))</f>
        <v/>
      </c>
      <c r="J1737">
        <f>VALUE(LEFT(E1737,4))*12+VALUE(RIGHT(E1737,2))-1</f>
        <v/>
      </c>
    </row>
    <row r="1738">
      <c r="A1738" t="inlineStr">
        <is>
          <t>Manantiales Behr</t>
        </is>
      </c>
      <c r="B1738" t="inlineStr">
        <is>
          <t>Golfo San Jorge</t>
        </is>
      </c>
      <c r="C1738" t="inlineStr">
        <is>
          <t>YPF S.A.</t>
        </is>
      </c>
      <c r="D1738" t="inlineStr">
        <is>
          <t>convencional</t>
        </is>
      </c>
      <c r="E1738" t="inlineStr">
        <is>
          <t>2018-09</t>
        </is>
      </c>
      <c r="F1738" t="n">
        <v>100410.9</v>
      </c>
      <c r="G1738" t="n">
        <v>574437.7</v>
      </c>
      <c r="H1738" t="n">
        <v>573782.4</v>
      </c>
      <c r="I1738">
        <f>DAY(EOMONTH(DATE(VALUE(LEFT(E1738,4)),VALUE(RIGHT(E1738,2)),1),0))</f>
        <v/>
      </c>
      <c r="J1738">
        <f>VALUE(LEFT(E1738,4))*12+VALUE(RIGHT(E1738,2))-1</f>
        <v/>
      </c>
    </row>
    <row r="1739">
      <c r="A1739" t="inlineStr">
        <is>
          <t>Manantiales Behr</t>
        </is>
      </c>
      <c r="B1739" t="inlineStr">
        <is>
          <t>Golfo San Jorge</t>
        </is>
      </c>
      <c r="C1739" t="inlineStr">
        <is>
          <t>YPF S.A.</t>
        </is>
      </c>
      <c r="D1739" t="inlineStr">
        <is>
          <t>convencional</t>
        </is>
      </c>
      <c r="E1739" t="inlineStr">
        <is>
          <t>2018-10</t>
        </is>
      </c>
      <c r="F1739" t="n">
        <v>103357.9</v>
      </c>
      <c r="G1739" t="n">
        <v>572803.7</v>
      </c>
      <c r="H1739" t="n">
        <v>573615.3</v>
      </c>
      <c r="I1739">
        <f>DAY(EOMONTH(DATE(VALUE(LEFT(E1739,4)),VALUE(RIGHT(E1739,2)),1),0))</f>
        <v/>
      </c>
      <c r="J1739">
        <f>VALUE(LEFT(E1739,4))*12+VALUE(RIGHT(E1739,2))-1</f>
        <v/>
      </c>
    </row>
    <row r="1740">
      <c r="A1740" t="inlineStr">
        <is>
          <t>Manantiales Behr</t>
        </is>
      </c>
      <c r="B1740" t="inlineStr">
        <is>
          <t>Golfo San Jorge</t>
        </is>
      </c>
      <c r="C1740" t="inlineStr">
        <is>
          <t>YPF S.A.</t>
        </is>
      </c>
      <c r="D1740" t="inlineStr">
        <is>
          <t>convencional</t>
        </is>
      </c>
      <c r="E1740" t="inlineStr">
        <is>
          <t>2018-11</t>
        </is>
      </c>
      <c r="F1740" t="n">
        <v>97946.60000000001</v>
      </c>
      <c r="G1740" t="n">
        <v>565451.8</v>
      </c>
      <c r="H1740" t="n">
        <v>567037.1</v>
      </c>
      <c r="I1740">
        <f>DAY(EOMONTH(DATE(VALUE(LEFT(E1740,4)),VALUE(RIGHT(E1740,2)),1),0))</f>
        <v/>
      </c>
      <c r="J1740">
        <f>VALUE(LEFT(E1740,4))*12+VALUE(RIGHT(E1740,2))-1</f>
        <v/>
      </c>
    </row>
    <row r="1741">
      <c r="A1741" t="inlineStr">
        <is>
          <t>Manantiales Behr</t>
        </is>
      </c>
      <c r="B1741" t="inlineStr">
        <is>
          <t>Golfo San Jorge</t>
        </is>
      </c>
      <c r="C1741" t="inlineStr">
        <is>
          <t>YPF S.A.</t>
        </is>
      </c>
      <c r="D1741" t="inlineStr">
        <is>
          <t>convencional</t>
        </is>
      </c>
      <c r="E1741" t="inlineStr">
        <is>
          <t>2018-12</t>
        </is>
      </c>
      <c r="F1741" t="n">
        <v>99677.10000000001</v>
      </c>
      <c r="G1741" t="n">
        <v>576781.5</v>
      </c>
      <c r="H1741" t="n">
        <v>572308.6</v>
      </c>
      <c r="I1741">
        <f>DAY(EOMONTH(DATE(VALUE(LEFT(E1741,4)),VALUE(RIGHT(E1741,2)),1),0))</f>
        <v/>
      </c>
      <c r="J1741">
        <f>VALUE(LEFT(E1741,4))*12+VALUE(RIGHT(E1741,2))-1</f>
        <v/>
      </c>
    </row>
    <row r="1742">
      <c r="A1742" t="inlineStr">
        <is>
          <t>Manantiales Behr</t>
        </is>
      </c>
      <c r="B1742" t="inlineStr">
        <is>
          <t>Golfo San Jorge</t>
        </is>
      </c>
      <c r="C1742" t="inlineStr">
        <is>
          <t>YPF S.A.</t>
        </is>
      </c>
      <c r="D1742" t="inlineStr">
        <is>
          <t>convencional</t>
        </is>
      </c>
      <c r="E1742" t="inlineStr">
        <is>
          <t>2019-01</t>
        </is>
      </c>
      <c r="F1742" t="n">
        <v>99060.5</v>
      </c>
      <c r="G1742" t="n">
        <v>611590.1</v>
      </c>
      <c r="H1742" t="n">
        <v>615326.6</v>
      </c>
      <c r="I1742">
        <f>DAY(EOMONTH(DATE(VALUE(LEFT(E1742,4)),VALUE(RIGHT(E1742,2)),1),0))</f>
        <v/>
      </c>
      <c r="J1742">
        <f>VALUE(LEFT(E1742,4))*12+VALUE(RIGHT(E1742,2))-1</f>
        <v/>
      </c>
    </row>
    <row r="1743">
      <c r="A1743" t="inlineStr">
        <is>
          <t>Manantiales Behr</t>
        </is>
      </c>
      <c r="B1743" t="inlineStr">
        <is>
          <t>Golfo San Jorge</t>
        </is>
      </c>
      <c r="C1743" t="inlineStr">
        <is>
          <t>YPF S.A.</t>
        </is>
      </c>
      <c r="D1743" t="inlineStr">
        <is>
          <t>convencional</t>
        </is>
      </c>
      <c r="E1743" t="inlineStr">
        <is>
          <t>2019-02</t>
        </is>
      </c>
      <c r="F1743" t="n">
        <v>90079.5</v>
      </c>
      <c r="G1743" t="n">
        <v>534885.3</v>
      </c>
      <c r="H1743" t="n">
        <v>537806</v>
      </c>
      <c r="I1743">
        <f>DAY(EOMONTH(DATE(VALUE(LEFT(E1743,4)),VALUE(RIGHT(E1743,2)),1),0))</f>
        <v/>
      </c>
      <c r="J1743">
        <f>VALUE(LEFT(E1743,4))*12+VALUE(RIGHT(E1743,2))-1</f>
        <v/>
      </c>
    </row>
    <row r="1744">
      <c r="A1744" t="inlineStr">
        <is>
          <t>Manantiales Behr</t>
        </is>
      </c>
      <c r="B1744" t="inlineStr">
        <is>
          <t>Golfo San Jorge</t>
        </is>
      </c>
      <c r="C1744" t="inlineStr">
        <is>
          <t>YPF S.A.</t>
        </is>
      </c>
      <c r="D1744" t="inlineStr">
        <is>
          <t>convencional</t>
        </is>
      </c>
      <c r="E1744" t="inlineStr">
        <is>
          <t>2019-03</t>
        </is>
      </c>
      <c r="F1744" t="n">
        <v>99501.60000000001</v>
      </c>
      <c r="G1744" t="n">
        <v>603459.9</v>
      </c>
      <c r="H1744" t="n">
        <v>601914.5</v>
      </c>
      <c r="I1744">
        <f>DAY(EOMONTH(DATE(VALUE(LEFT(E1744,4)),VALUE(RIGHT(E1744,2)),1),0))</f>
        <v/>
      </c>
      <c r="J1744">
        <f>VALUE(LEFT(E1744,4))*12+VALUE(RIGHT(E1744,2))-1</f>
        <v/>
      </c>
    </row>
    <row r="1745">
      <c r="A1745" t="inlineStr">
        <is>
          <t>Manantiales Behr</t>
        </is>
      </c>
      <c r="B1745" t="inlineStr">
        <is>
          <t>Golfo San Jorge</t>
        </is>
      </c>
      <c r="C1745" t="inlineStr">
        <is>
          <t>YPF S.A.</t>
        </is>
      </c>
      <c r="D1745" t="inlineStr">
        <is>
          <t>convencional</t>
        </is>
      </c>
      <c r="E1745" t="inlineStr">
        <is>
          <t>2019-04</t>
        </is>
      </c>
      <c r="F1745" t="n">
        <v>95686.10000000001</v>
      </c>
      <c r="G1745" t="n">
        <v>608668.1</v>
      </c>
      <c r="H1745" t="n">
        <v>609666.4</v>
      </c>
      <c r="I1745">
        <f>DAY(EOMONTH(DATE(VALUE(LEFT(E1745,4)),VALUE(RIGHT(E1745,2)),1),0))</f>
        <v/>
      </c>
      <c r="J1745">
        <f>VALUE(LEFT(E1745,4))*12+VALUE(RIGHT(E1745,2))-1</f>
        <v/>
      </c>
    </row>
    <row r="1746">
      <c r="A1746" t="inlineStr">
        <is>
          <t>Manantiales Behr</t>
        </is>
      </c>
      <c r="B1746" t="inlineStr">
        <is>
          <t>Golfo San Jorge</t>
        </is>
      </c>
      <c r="C1746" t="inlineStr">
        <is>
          <t>YPF S.A.</t>
        </is>
      </c>
      <c r="D1746" t="inlineStr">
        <is>
          <t>convencional</t>
        </is>
      </c>
      <c r="E1746" t="inlineStr">
        <is>
          <t>2019-05</t>
        </is>
      </c>
      <c r="F1746" t="n">
        <v>97712.39999999999</v>
      </c>
      <c r="G1746" t="n">
        <v>636169.5</v>
      </c>
      <c r="H1746" t="n">
        <v>634954.2</v>
      </c>
      <c r="I1746">
        <f>DAY(EOMONTH(DATE(VALUE(LEFT(E1746,4)),VALUE(RIGHT(E1746,2)),1),0))</f>
        <v/>
      </c>
      <c r="J1746">
        <f>VALUE(LEFT(E1746,4))*12+VALUE(RIGHT(E1746,2))-1</f>
        <v/>
      </c>
    </row>
    <row r="1747">
      <c r="A1747" t="inlineStr">
        <is>
          <t>Manantiales Behr</t>
        </is>
      </c>
      <c r="B1747" t="inlineStr">
        <is>
          <t>Golfo San Jorge</t>
        </is>
      </c>
      <c r="C1747" t="inlineStr">
        <is>
          <t>YPF S.A.</t>
        </is>
      </c>
      <c r="D1747" t="inlineStr">
        <is>
          <t>convencional</t>
        </is>
      </c>
      <c r="E1747" t="inlineStr">
        <is>
          <t>2019-06</t>
        </is>
      </c>
      <c r="F1747" t="n">
        <v>92329.3</v>
      </c>
      <c r="G1747" t="n">
        <v>617946.5</v>
      </c>
      <c r="H1747" t="n">
        <v>619651</v>
      </c>
      <c r="I1747">
        <f>DAY(EOMONTH(DATE(VALUE(LEFT(E1747,4)),VALUE(RIGHT(E1747,2)),1),0))</f>
        <v/>
      </c>
      <c r="J1747">
        <f>VALUE(LEFT(E1747,4))*12+VALUE(RIGHT(E1747,2))-1</f>
        <v/>
      </c>
    </row>
    <row r="1748">
      <c r="A1748" t="inlineStr">
        <is>
          <t>Manantiales Behr</t>
        </is>
      </c>
      <c r="B1748" t="inlineStr">
        <is>
          <t>Golfo San Jorge</t>
        </is>
      </c>
      <c r="C1748" t="inlineStr">
        <is>
          <t>YPF S.A.</t>
        </is>
      </c>
      <c r="D1748" t="inlineStr">
        <is>
          <t>convencional</t>
        </is>
      </c>
      <c r="E1748" t="inlineStr">
        <is>
          <t>2019-07</t>
        </is>
      </c>
      <c r="F1748" t="n">
        <v>97093.8</v>
      </c>
      <c r="G1748" t="n">
        <v>636063.3</v>
      </c>
      <c r="H1748" t="n">
        <v>634455.3</v>
      </c>
      <c r="I1748">
        <f>DAY(EOMONTH(DATE(VALUE(LEFT(E1748,4)),VALUE(RIGHT(E1748,2)),1),0))</f>
        <v/>
      </c>
      <c r="J1748">
        <f>VALUE(LEFT(E1748,4))*12+VALUE(RIGHT(E1748,2))-1</f>
        <v/>
      </c>
    </row>
    <row r="1749">
      <c r="A1749" t="inlineStr">
        <is>
          <t>Manantiales Behr</t>
        </is>
      </c>
      <c r="B1749" t="inlineStr">
        <is>
          <t>Golfo San Jorge</t>
        </is>
      </c>
      <c r="C1749" t="inlineStr">
        <is>
          <t>YPF S.A.</t>
        </is>
      </c>
      <c r="D1749" t="inlineStr">
        <is>
          <t>convencional</t>
        </is>
      </c>
      <c r="E1749" t="inlineStr">
        <is>
          <t>2019-08</t>
        </is>
      </c>
      <c r="F1749" t="n">
        <v>98549.10000000001</v>
      </c>
      <c r="G1749" t="n">
        <v>633896.6</v>
      </c>
      <c r="H1749" t="n">
        <v>630001.5</v>
      </c>
      <c r="I1749">
        <f>DAY(EOMONTH(DATE(VALUE(LEFT(E1749,4)),VALUE(RIGHT(E1749,2)),1),0))</f>
        <v/>
      </c>
      <c r="J1749">
        <f>VALUE(LEFT(E1749,4))*12+VALUE(RIGHT(E1749,2))-1</f>
        <v/>
      </c>
    </row>
    <row r="1750">
      <c r="A1750" t="inlineStr">
        <is>
          <t>Manantiales Behr</t>
        </is>
      </c>
      <c r="B1750" t="inlineStr">
        <is>
          <t>Golfo San Jorge</t>
        </is>
      </c>
      <c r="C1750" t="inlineStr">
        <is>
          <t>YPF S.A.</t>
        </is>
      </c>
      <c r="D1750" t="inlineStr">
        <is>
          <t>convencional</t>
        </is>
      </c>
      <c r="E1750" t="inlineStr">
        <is>
          <t>2019-09</t>
        </is>
      </c>
      <c r="F1750" t="n">
        <v>94550.5</v>
      </c>
      <c r="G1750" t="n">
        <v>591707.3</v>
      </c>
      <c r="H1750" t="n">
        <v>592879.5</v>
      </c>
      <c r="I1750">
        <f>DAY(EOMONTH(DATE(VALUE(LEFT(E1750,4)),VALUE(RIGHT(E1750,2)),1),0))</f>
        <v/>
      </c>
      <c r="J1750">
        <f>VALUE(LEFT(E1750,4))*12+VALUE(RIGHT(E1750,2))-1</f>
        <v/>
      </c>
    </row>
    <row r="1751">
      <c r="A1751" t="inlineStr">
        <is>
          <t>Manantiales Behr</t>
        </is>
      </c>
      <c r="B1751" t="inlineStr">
        <is>
          <t>Golfo San Jorge</t>
        </is>
      </c>
      <c r="C1751" t="inlineStr">
        <is>
          <t>YPF S.A.</t>
        </is>
      </c>
      <c r="D1751" t="inlineStr">
        <is>
          <t>convencional</t>
        </is>
      </c>
      <c r="E1751" t="inlineStr">
        <is>
          <t>2019-10</t>
        </is>
      </c>
      <c r="F1751" t="n">
        <v>97349.5</v>
      </c>
      <c r="G1751" t="n">
        <v>621251.1</v>
      </c>
      <c r="H1751" t="n">
        <v>619110.8</v>
      </c>
      <c r="I1751">
        <f>DAY(EOMONTH(DATE(VALUE(LEFT(E1751,4)),VALUE(RIGHT(E1751,2)),1),0))</f>
        <v/>
      </c>
      <c r="J1751">
        <f>VALUE(LEFT(E1751,4))*12+VALUE(RIGHT(E1751,2))-1</f>
        <v/>
      </c>
    </row>
    <row r="1752">
      <c r="A1752" t="inlineStr">
        <is>
          <t>Manantiales Behr</t>
        </is>
      </c>
      <c r="B1752" t="inlineStr">
        <is>
          <t>Golfo San Jorge</t>
        </is>
      </c>
      <c r="C1752" t="inlineStr">
        <is>
          <t>YPF S.A.</t>
        </is>
      </c>
      <c r="D1752" t="inlineStr">
        <is>
          <t>convencional</t>
        </is>
      </c>
      <c r="E1752" t="inlineStr">
        <is>
          <t>2019-11</t>
        </is>
      </c>
      <c r="F1752" t="n">
        <v>95880.3</v>
      </c>
      <c r="G1752" t="n">
        <v>609366.4</v>
      </c>
      <c r="H1752" t="n">
        <v>609492.3</v>
      </c>
      <c r="I1752">
        <f>DAY(EOMONTH(DATE(VALUE(LEFT(E1752,4)),VALUE(RIGHT(E1752,2)),1),0))</f>
        <v/>
      </c>
      <c r="J1752">
        <f>VALUE(LEFT(E1752,4))*12+VALUE(RIGHT(E1752,2))-1</f>
        <v/>
      </c>
    </row>
    <row r="1753">
      <c r="A1753" t="inlineStr">
        <is>
          <t>Manantiales Behr</t>
        </is>
      </c>
      <c r="B1753" t="inlineStr">
        <is>
          <t>Golfo San Jorge</t>
        </is>
      </c>
      <c r="C1753" t="inlineStr">
        <is>
          <t>YPF S.A.</t>
        </is>
      </c>
      <c r="D1753" t="inlineStr">
        <is>
          <t>convencional</t>
        </is>
      </c>
      <c r="E1753" t="inlineStr">
        <is>
          <t>2019-12</t>
        </is>
      </c>
      <c r="F1753" t="n">
        <v>102004.4</v>
      </c>
      <c r="G1753" t="n">
        <v>634626.9</v>
      </c>
      <c r="H1753" t="n">
        <v>632145.9</v>
      </c>
      <c r="I1753">
        <f>DAY(EOMONTH(DATE(VALUE(LEFT(E1753,4)),VALUE(RIGHT(E1753,2)),1),0))</f>
        <v/>
      </c>
      <c r="J1753">
        <f>VALUE(LEFT(E1753,4))*12+VALUE(RIGHT(E1753,2))-1</f>
        <v/>
      </c>
    </row>
    <row r="1754">
      <c r="A1754" t="inlineStr">
        <is>
          <t>Manantiales Behr</t>
        </is>
      </c>
      <c r="B1754" t="inlineStr">
        <is>
          <t>Golfo San Jorge</t>
        </is>
      </c>
      <c r="C1754" t="inlineStr">
        <is>
          <t>YPF S.A.</t>
        </is>
      </c>
      <c r="D1754" t="inlineStr">
        <is>
          <t>convencional</t>
        </is>
      </c>
      <c r="E1754" t="inlineStr">
        <is>
          <t>2020-01</t>
        </is>
      </c>
      <c r="F1754" t="n">
        <v>103942.5</v>
      </c>
      <c r="G1754" t="n">
        <v>645545.6</v>
      </c>
      <c r="H1754" t="n">
        <v>648693.8</v>
      </c>
      <c r="I1754">
        <f>DAY(EOMONTH(DATE(VALUE(LEFT(E1754,4)),VALUE(RIGHT(E1754,2)),1),0))</f>
        <v/>
      </c>
      <c r="J1754">
        <f>VALUE(LEFT(E1754,4))*12+VALUE(RIGHT(E1754,2))-1</f>
        <v/>
      </c>
    </row>
    <row r="1755">
      <c r="A1755" t="inlineStr">
        <is>
          <t>Manantiales Behr</t>
        </is>
      </c>
      <c r="B1755" t="inlineStr">
        <is>
          <t>Golfo San Jorge</t>
        </is>
      </c>
      <c r="C1755" t="inlineStr">
        <is>
          <t>YPF S.A.</t>
        </is>
      </c>
      <c r="D1755" t="inlineStr">
        <is>
          <t>convencional</t>
        </is>
      </c>
      <c r="E1755" t="inlineStr">
        <is>
          <t>2020-02</t>
        </is>
      </c>
      <c r="F1755" t="n">
        <v>94983.89999999999</v>
      </c>
      <c r="G1755" t="n">
        <v>591206.5</v>
      </c>
      <c r="H1755" t="n">
        <v>594344.4</v>
      </c>
      <c r="I1755">
        <f>DAY(EOMONTH(DATE(VALUE(LEFT(E1755,4)),VALUE(RIGHT(E1755,2)),1),0))</f>
        <v/>
      </c>
      <c r="J1755">
        <f>VALUE(LEFT(E1755,4))*12+VALUE(RIGHT(E1755,2))-1</f>
        <v/>
      </c>
    </row>
    <row r="1756">
      <c r="A1756" t="inlineStr">
        <is>
          <t>Manantiales Behr</t>
        </is>
      </c>
      <c r="B1756" t="inlineStr">
        <is>
          <t>Golfo San Jorge</t>
        </is>
      </c>
      <c r="C1756" t="inlineStr">
        <is>
          <t>YPF S.A.</t>
        </is>
      </c>
      <c r="D1756" t="inlineStr">
        <is>
          <t>convencional</t>
        </is>
      </c>
      <c r="E1756" t="inlineStr">
        <is>
          <t>2020-03</t>
        </is>
      </c>
      <c r="F1756" t="n">
        <v>103796.6</v>
      </c>
      <c r="G1756" t="n">
        <v>643706.7</v>
      </c>
      <c r="H1756" t="n">
        <v>643630</v>
      </c>
      <c r="I1756">
        <f>DAY(EOMONTH(DATE(VALUE(LEFT(E1756,4)),VALUE(RIGHT(E1756,2)),1),0))</f>
        <v/>
      </c>
      <c r="J1756">
        <f>VALUE(LEFT(E1756,4))*12+VALUE(RIGHT(E1756,2))-1</f>
        <v/>
      </c>
    </row>
    <row r="1757">
      <c r="A1757" t="inlineStr">
        <is>
          <t>Manantiales Behr</t>
        </is>
      </c>
      <c r="B1757" t="inlineStr">
        <is>
          <t>Golfo San Jorge</t>
        </is>
      </c>
      <c r="C1757" t="inlineStr">
        <is>
          <t>YPF S.A.</t>
        </is>
      </c>
      <c r="D1757" t="inlineStr">
        <is>
          <t>convencional</t>
        </is>
      </c>
      <c r="E1757" t="inlineStr">
        <is>
          <t>2020-04</t>
        </is>
      </c>
      <c r="F1757" t="n">
        <v>101155.2</v>
      </c>
      <c r="G1757" t="n">
        <v>629492.2</v>
      </c>
      <c r="H1757" t="n">
        <v>631335.5</v>
      </c>
      <c r="I1757">
        <f>DAY(EOMONTH(DATE(VALUE(LEFT(E1757,4)),VALUE(RIGHT(E1757,2)),1),0))</f>
        <v/>
      </c>
      <c r="J1757">
        <f>VALUE(LEFT(E1757,4))*12+VALUE(RIGHT(E1757,2))-1</f>
        <v/>
      </c>
    </row>
    <row r="1758">
      <c r="A1758" t="inlineStr">
        <is>
          <t>Manantiales Behr</t>
        </is>
      </c>
      <c r="B1758" t="inlineStr">
        <is>
          <t>Golfo San Jorge</t>
        </is>
      </c>
      <c r="C1758" t="inlineStr">
        <is>
          <t>YPF S.A.</t>
        </is>
      </c>
      <c r="D1758" t="inlineStr">
        <is>
          <t>convencional</t>
        </is>
      </c>
      <c r="E1758" t="inlineStr">
        <is>
          <t>2020-05</t>
        </is>
      </c>
      <c r="F1758" t="n">
        <v>106005.9</v>
      </c>
      <c r="G1758" t="n">
        <v>656279.7</v>
      </c>
      <c r="H1758" t="n">
        <v>653991</v>
      </c>
      <c r="I1758">
        <f>DAY(EOMONTH(DATE(VALUE(LEFT(E1758,4)),VALUE(RIGHT(E1758,2)),1),0))</f>
        <v/>
      </c>
      <c r="J1758">
        <f>VALUE(LEFT(E1758,4))*12+VALUE(RIGHT(E1758,2))-1</f>
        <v/>
      </c>
    </row>
    <row r="1759">
      <c r="A1759" t="inlineStr">
        <is>
          <t>Manantiales Behr</t>
        </is>
      </c>
      <c r="B1759" t="inlineStr">
        <is>
          <t>Golfo San Jorge</t>
        </is>
      </c>
      <c r="C1759" t="inlineStr">
        <is>
          <t>YPF S.A.</t>
        </is>
      </c>
      <c r="D1759" t="inlineStr">
        <is>
          <t>convencional</t>
        </is>
      </c>
      <c r="E1759" t="inlineStr">
        <is>
          <t>2020-06</t>
        </is>
      </c>
      <c r="F1759" t="n">
        <v>101673.9</v>
      </c>
      <c r="G1759" t="n">
        <v>626796.8</v>
      </c>
      <c r="H1759" t="n">
        <v>627369.2</v>
      </c>
      <c r="I1759">
        <f>DAY(EOMONTH(DATE(VALUE(LEFT(E1759,4)),VALUE(RIGHT(E1759,2)),1),0))</f>
        <v/>
      </c>
      <c r="J1759">
        <f>VALUE(LEFT(E1759,4))*12+VALUE(RIGHT(E1759,2))-1</f>
        <v/>
      </c>
    </row>
    <row r="1760">
      <c r="A1760" t="inlineStr">
        <is>
          <t>Manantiales Behr</t>
        </is>
      </c>
      <c r="B1760" t="inlineStr">
        <is>
          <t>Golfo San Jorge</t>
        </is>
      </c>
      <c r="C1760" t="inlineStr">
        <is>
          <t>YPF S.A.</t>
        </is>
      </c>
      <c r="D1760" t="inlineStr">
        <is>
          <t>convencional</t>
        </is>
      </c>
      <c r="E1760" t="inlineStr">
        <is>
          <t>2020-07</t>
        </is>
      </c>
      <c r="F1760" t="n">
        <v>100483.7</v>
      </c>
      <c r="G1760" t="n">
        <v>622191.6</v>
      </c>
      <c r="H1760" t="n">
        <v>620471.4</v>
      </c>
      <c r="I1760">
        <f>DAY(EOMONTH(DATE(VALUE(LEFT(E1760,4)),VALUE(RIGHT(E1760,2)),1),0))</f>
        <v/>
      </c>
      <c r="J1760">
        <f>VALUE(LEFT(E1760,4))*12+VALUE(RIGHT(E1760,2))-1</f>
        <v/>
      </c>
    </row>
    <row r="1761">
      <c r="A1761" t="inlineStr">
        <is>
          <t>Manantiales Behr</t>
        </is>
      </c>
      <c r="B1761" t="inlineStr">
        <is>
          <t>Golfo San Jorge</t>
        </is>
      </c>
      <c r="C1761" t="inlineStr">
        <is>
          <t>YPF S.A.</t>
        </is>
      </c>
      <c r="D1761" t="inlineStr">
        <is>
          <t>convencional</t>
        </is>
      </c>
      <c r="E1761" t="inlineStr">
        <is>
          <t>2020-08</t>
        </is>
      </c>
      <c r="F1761" t="n">
        <v>105310.6</v>
      </c>
      <c r="G1761" t="n">
        <v>633383</v>
      </c>
      <c r="H1761" t="n">
        <v>634316.9</v>
      </c>
      <c r="I1761">
        <f>DAY(EOMONTH(DATE(VALUE(LEFT(E1761,4)),VALUE(RIGHT(E1761,2)),1),0))</f>
        <v/>
      </c>
      <c r="J1761">
        <f>VALUE(LEFT(E1761,4))*12+VALUE(RIGHT(E1761,2))-1</f>
        <v/>
      </c>
    </row>
    <row r="1762">
      <c r="A1762" t="inlineStr">
        <is>
          <t>Manantiales Behr</t>
        </is>
      </c>
      <c r="B1762" t="inlineStr">
        <is>
          <t>Golfo San Jorge</t>
        </is>
      </c>
      <c r="C1762" t="inlineStr">
        <is>
          <t>YPF S.A.</t>
        </is>
      </c>
      <c r="D1762" t="inlineStr">
        <is>
          <t>convencional</t>
        </is>
      </c>
      <c r="E1762" t="inlineStr">
        <is>
          <t>2020-09</t>
        </is>
      </c>
      <c r="F1762" t="n">
        <v>104963.2</v>
      </c>
      <c r="G1762" t="n">
        <v>613601.3</v>
      </c>
      <c r="H1762" t="n">
        <v>612670.5</v>
      </c>
      <c r="I1762">
        <f>DAY(EOMONTH(DATE(VALUE(LEFT(E1762,4)),VALUE(RIGHT(E1762,2)),1),0))</f>
        <v/>
      </c>
      <c r="J1762">
        <f>VALUE(LEFT(E1762,4))*12+VALUE(RIGHT(E1762,2))-1</f>
        <v/>
      </c>
    </row>
    <row r="1763">
      <c r="A1763" t="inlineStr">
        <is>
          <t>Manantiales Behr</t>
        </is>
      </c>
      <c r="B1763" t="inlineStr">
        <is>
          <t>Golfo San Jorge</t>
        </is>
      </c>
      <c r="C1763" t="inlineStr">
        <is>
          <t>YPF S.A.</t>
        </is>
      </c>
      <c r="D1763" t="inlineStr">
        <is>
          <t>convencional</t>
        </is>
      </c>
      <c r="E1763" t="inlineStr">
        <is>
          <t>2020-10</t>
        </is>
      </c>
      <c r="F1763" t="n">
        <v>110357.7</v>
      </c>
      <c r="G1763" t="n">
        <v>630712.6</v>
      </c>
      <c r="H1763" t="n">
        <v>632558.9</v>
      </c>
      <c r="I1763">
        <f>DAY(EOMONTH(DATE(VALUE(LEFT(E1763,4)),VALUE(RIGHT(E1763,2)),1),0))</f>
        <v/>
      </c>
      <c r="J1763">
        <f>VALUE(LEFT(E1763,4))*12+VALUE(RIGHT(E1763,2))-1</f>
        <v/>
      </c>
    </row>
    <row r="1764">
      <c r="A1764" t="inlineStr">
        <is>
          <t>Manantiales Behr</t>
        </is>
      </c>
      <c r="B1764" t="inlineStr">
        <is>
          <t>Golfo San Jorge</t>
        </is>
      </c>
      <c r="C1764" t="inlineStr">
        <is>
          <t>YPF S.A.</t>
        </is>
      </c>
      <c r="D1764" t="inlineStr">
        <is>
          <t>convencional</t>
        </is>
      </c>
      <c r="E1764" t="inlineStr">
        <is>
          <t>2020-11</t>
        </is>
      </c>
      <c r="F1764" t="n">
        <v>106283.6</v>
      </c>
      <c r="G1764" t="n">
        <v>602823.2</v>
      </c>
      <c r="H1764" t="n">
        <v>602055.8</v>
      </c>
      <c r="I1764">
        <f>DAY(EOMONTH(DATE(VALUE(LEFT(E1764,4)),VALUE(RIGHT(E1764,2)),1),0))</f>
        <v/>
      </c>
      <c r="J1764">
        <f>VALUE(LEFT(E1764,4))*12+VALUE(RIGHT(E1764,2))-1</f>
        <v/>
      </c>
    </row>
    <row r="1765">
      <c r="A1765" t="inlineStr">
        <is>
          <t>Manantiales Behr</t>
        </is>
      </c>
      <c r="B1765" t="inlineStr">
        <is>
          <t>Golfo San Jorge</t>
        </is>
      </c>
      <c r="C1765" t="inlineStr">
        <is>
          <t>YPF S.A.</t>
        </is>
      </c>
      <c r="D1765" t="inlineStr">
        <is>
          <t>convencional</t>
        </is>
      </c>
      <c r="E1765" t="inlineStr">
        <is>
          <t>2020-12</t>
        </is>
      </c>
      <c r="F1765" t="n">
        <v>116158.9</v>
      </c>
      <c r="G1765" t="n">
        <v>608237</v>
      </c>
      <c r="H1765" t="n">
        <v>612451.9</v>
      </c>
      <c r="I1765">
        <f>DAY(EOMONTH(DATE(VALUE(LEFT(E1765,4)),VALUE(RIGHT(E1765,2)),1),0))</f>
        <v/>
      </c>
      <c r="J1765">
        <f>VALUE(LEFT(E1765,4))*12+VALUE(RIGHT(E1765,2))-1</f>
        <v/>
      </c>
    </row>
    <row r="1766">
      <c r="A1766" t="inlineStr">
        <is>
          <t>Manantiales Behr</t>
        </is>
      </c>
      <c r="B1766" t="inlineStr">
        <is>
          <t>Golfo San Jorge</t>
        </is>
      </c>
      <c r="C1766" t="inlineStr">
        <is>
          <t>YPF S.A.</t>
        </is>
      </c>
      <c r="D1766" t="inlineStr">
        <is>
          <t>convencional</t>
        </is>
      </c>
      <c r="E1766" t="inlineStr">
        <is>
          <t>2021-01</t>
        </is>
      </c>
      <c r="F1766" t="n">
        <v>118663.7</v>
      </c>
      <c r="G1766" t="n">
        <v>634521.8</v>
      </c>
      <c r="H1766" t="n">
        <v>639616.3</v>
      </c>
      <c r="I1766">
        <f>DAY(EOMONTH(DATE(VALUE(LEFT(E1766,4)),VALUE(RIGHT(E1766,2)),1),0))</f>
        <v/>
      </c>
      <c r="J1766">
        <f>VALUE(LEFT(E1766,4))*12+VALUE(RIGHT(E1766,2))-1</f>
        <v/>
      </c>
    </row>
    <row r="1767">
      <c r="A1767" t="inlineStr">
        <is>
          <t>Manantiales Behr</t>
        </is>
      </c>
      <c r="B1767" t="inlineStr">
        <is>
          <t>Golfo San Jorge</t>
        </is>
      </c>
      <c r="C1767" t="inlineStr">
        <is>
          <t>YPF S.A.</t>
        </is>
      </c>
      <c r="D1767" t="inlineStr">
        <is>
          <t>convencional</t>
        </is>
      </c>
      <c r="E1767" t="inlineStr">
        <is>
          <t>2021-02</t>
        </is>
      </c>
      <c r="F1767" t="n">
        <v>108307.2</v>
      </c>
      <c r="G1767" t="n">
        <v>576404.4</v>
      </c>
      <c r="H1767" t="n">
        <v>578673.4</v>
      </c>
      <c r="I1767">
        <f>DAY(EOMONTH(DATE(VALUE(LEFT(E1767,4)),VALUE(RIGHT(E1767,2)),1),0))</f>
        <v/>
      </c>
      <c r="J1767">
        <f>VALUE(LEFT(E1767,4))*12+VALUE(RIGHT(E1767,2))-1</f>
        <v/>
      </c>
    </row>
    <row r="1768">
      <c r="A1768" t="inlineStr">
        <is>
          <t>Manantiales Behr</t>
        </is>
      </c>
      <c r="B1768" t="inlineStr">
        <is>
          <t>Golfo San Jorge</t>
        </is>
      </c>
      <c r="C1768" t="inlineStr">
        <is>
          <t>YPF S.A.</t>
        </is>
      </c>
      <c r="D1768" t="inlineStr">
        <is>
          <t>convencional</t>
        </is>
      </c>
      <c r="E1768" t="inlineStr">
        <is>
          <t>2021-03</t>
        </is>
      </c>
      <c r="F1768" t="n">
        <v>118280.1</v>
      </c>
      <c r="G1768" t="n">
        <v>647228.2</v>
      </c>
      <c r="H1768" t="n">
        <v>649330.3</v>
      </c>
      <c r="I1768">
        <f>DAY(EOMONTH(DATE(VALUE(LEFT(E1768,4)),VALUE(RIGHT(E1768,2)),1),0))</f>
        <v/>
      </c>
      <c r="J1768">
        <f>VALUE(LEFT(E1768,4))*12+VALUE(RIGHT(E1768,2))-1</f>
        <v/>
      </c>
    </row>
    <row r="1769">
      <c r="A1769" t="inlineStr">
        <is>
          <t>Manantiales Behr</t>
        </is>
      </c>
      <c r="B1769" t="inlineStr">
        <is>
          <t>Golfo San Jorge</t>
        </is>
      </c>
      <c r="C1769" t="inlineStr">
        <is>
          <t>YPF S.A.</t>
        </is>
      </c>
      <c r="D1769" t="inlineStr">
        <is>
          <t>convencional</t>
        </is>
      </c>
      <c r="E1769" t="inlineStr">
        <is>
          <t>2021-04</t>
        </is>
      </c>
      <c r="F1769" t="n">
        <v>117548.8</v>
      </c>
      <c r="G1769" t="n">
        <v>593871.8</v>
      </c>
      <c r="H1769" t="n">
        <v>598220.4</v>
      </c>
      <c r="I1769">
        <f>DAY(EOMONTH(DATE(VALUE(LEFT(E1769,4)),VALUE(RIGHT(E1769,2)),1),0))</f>
        <v/>
      </c>
      <c r="J1769">
        <f>VALUE(LEFT(E1769,4))*12+VALUE(RIGHT(E1769,2))-1</f>
        <v/>
      </c>
    </row>
    <row r="1770">
      <c r="A1770" t="inlineStr">
        <is>
          <t>Manantiales Behr</t>
        </is>
      </c>
      <c r="B1770" t="inlineStr">
        <is>
          <t>Golfo San Jorge</t>
        </is>
      </c>
      <c r="C1770" t="inlineStr">
        <is>
          <t>YPF S.A.</t>
        </is>
      </c>
      <c r="D1770" t="inlineStr">
        <is>
          <t>convencional</t>
        </is>
      </c>
      <c r="E1770" t="inlineStr">
        <is>
          <t>2021-05</t>
        </is>
      </c>
      <c r="F1770" t="n">
        <v>119953.4</v>
      </c>
      <c r="G1770" t="n">
        <v>623464.3</v>
      </c>
      <c r="H1770" t="n">
        <v>623318.2</v>
      </c>
      <c r="I1770">
        <f>DAY(EOMONTH(DATE(VALUE(LEFT(E1770,4)),VALUE(RIGHT(E1770,2)),1),0))</f>
        <v/>
      </c>
      <c r="J1770">
        <f>VALUE(LEFT(E1770,4))*12+VALUE(RIGHT(E1770,2))-1</f>
        <v/>
      </c>
    </row>
    <row r="1771">
      <c r="A1771" t="inlineStr">
        <is>
          <t>Manantiales Behr</t>
        </is>
      </c>
      <c r="B1771" t="inlineStr">
        <is>
          <t>Golfo San Jorge</t>
        </is>
      </c>
      <c r="C1771" t="inlineStr">
        <is>
          <t>YPF S.A.</t>
        </is>
      </c>
      <c r="D1771" t="inlineStr">
        <is>
          <t>convencional</t>
        </is>
      </c>
      <c r="E1771" t="inlineStr">
        <is>
          <t>2021-06</t>
        </is>
      </c>
      <c r="F1771" t="n">
        <v>114820.3</v>
      </c>
      <c r="G1771" t="n">
        <v>590603.6</v>
      </c>
      <c r="H1771" t="n">
        <v>592023.9</v>
      </c>
      <c r="I1771">
        <f>DAY(EOMONTH(DATE(VALUE(LEFT(E1771,4)),VALUE(RIGHT(E1771,2)),1),0))</f>
        <v/>
      </c>
      <c r="J1771">
        <f>VALUE(LEFT(E1771,4))*12+VALUE(RIGHT(E1771,2))-1</f>
        <v/>
      </c>
    </row>
    <row r="1772">
      <c r="A1772" t="inlineStr">
        <is>
          <t>Manantiales Behr</t>
        </is>
      </c>
      <c r="B1772" t="inlineStr">
        <is>
          <t>Golfo San Jorge</t>
        </is>
      </c>
      <c r="C1772" t="inlineStr">
        <is>
          <t>YPF S.A.</t>
        </is>
      </c>
      <c r="D1772" t="inlineStr">
        <is>
          <t>convencional</t>
        </is>
      </c>
      <c r="E1772" t="inlineStr">
        <is>
          <t>2021-07</t>
        </is>
      </c>
      <c r="F1772" t="n">
        <v>117855.9</v>
      </c>
      <c r="G1772" t="n">
        <v>622336.5</v>
      </c>
      <c r="H1772" t="n">
        <v>621298.2</v>
      </c>
      <c r="I1772">
        <f>DAY(EOMONTH(DATE(VALUE(LEFT(E1772,4)),VALUE(RIGHT(E1772,2)),1),0))</f>
        <v/>
      </c>
      <c r="J1772">
        <f>VALUE(LEFT(E1772,4))*12+VALUE(RIGHT(E1772,2))-1</f>
        <v/>
      </c>
    </row>
    <row r="1773">
      <c r="A1773" t="inlineStr">
        <is>
          <t>Manantiales Behr</t>
        </is>
      </c>
      <c r="B1773" t="inlineStr">
        <is>
          <t>Golfo San Jorge</t>
        </is>
      </c>
      <c r="C1773" t="inlineStr">
        <is>
          <t>YPF S.A.</t>
        </is>
      </c>
      <c r="D1773" t="inlineStr">
        <is>
          <t>convencional</t>
        </is>
      </c>
      <c r="E1773" t="inlineStr">
        <is>
          <t>2021-08</t>
        </is>
      </c>
      <c r="F1773" t="n">
        <v>118307</v>
      </c>
      <c r="G1773" t="n">
        <v>638783.9</v>
      </c>
      <c r="H1773" t="n">
        <v>640013</v>
      </c>
      <c r="I1773">
        <f>DAY(EOMONTH(DATE(VALUE(LEFT(E1773,4)),VALUE(RIGHT(E1773,2)),1),0))</f>
        <v/>
      </c>
      <c r="J1773">
        <f>VALUE(LEFT(E1773,4))*12+VALUE(RIGHT(E1773,2))-1</f>
        <v/>
      </c>
    </row>
    <row r="1774">
      <c r="A1774" t="inlineStr">
        <is>
          <t>Manantiales Behr</t>
        </is>
      </c>
      <c r="B1774" t="inlineStr">
        <is>
          <t>Golfo San Jorge</t>
        </is>
      </c>
      <c r="C1774" t="inlineStr">
        <is>
          <t>YPF S.A.</t>
        </is>
      </c>
      <c r="D1774" t="inlineStr">
        <is>
          <t>convencional</t>
        </is>
      </c>
      <c r="E1774" t="inlineStr">
        <is>
          <t>2021-09</t>
        </is>
      </c>
      <c r="F1774" t="n">
        <v>115998.4</v>
      </c>
      <c r="G1774" t="n">
        <v>603577.1</v>
      </c>
      <c r="H1774" t="n">
        <v>600945.1</v>
      </c>
      <c r="I1774">
        <f>DAY(EOMONTH(DATE(VALUE(LEFT(E1774,4)),VALUE(RIGHT(E1774,2)),1),0))</f>
        <v/>
      </c>
      <c r="J1774">
        <f>VALUE(LEFT(E1774,4))*12+VALUE(RIGHT(E1774,2))-1</f>
        <v/>
      </c>
    </row>
    <row r="1775">
      <c r="A1775" t="inlineStr">
        <is>
          <t>Manantiales Behr</t>
        </is>
      </c>
      <c r="B1775" t="inlineStr">
        <is>
          <t>Golfo San Jorge</t>
        </is>
      </c>
      <c r="C1775" t="inlineStr">
        <is>
          <t>YPF S.A.</t>
        </is>
      </c>
      <c r="D1775" t="inlineStr">
        <is>
          <t>convencional</t>
        </is>
      </c>
      <c r="E1775" t="inlineStr">
        <is>
          <t>2021-10</t>
        </is>
      </c>
      <c r="F1775" t="n">
        <v>116413.4</v>
      </c>
      <c r="G1775" t="n">
        <v>619424.3</v>
      </c>
      <c r="H1775" t="n">
        <v>616307.6</v>
      </c>
      <c r="I1775">
        <f>DAY(EOMONTH(DATE(VALUE(LEFT(E1775,4)),VALUE(RIGHT(E1775,2)),1),0))</f>
        <v/>
      </c>
      <c r="J1775">
        <f>VALUE(LEFT(E1775,4))*12+VALUE(RIGHT(E1775,2))-1</f>
        <v/>
      </c>
    </row>
    <row r="1776">
      <c r="A1776" t="inlineStr">
        <is>
          <t>Manantiales Behr</t>
        </is>
      </c>
      <c r="B1776" t="inlineStr">
        <is>
          <t>Golfo San Jorge</t>
        </is>
      </c>
      <c r="C1776" t="inlineStr">
        <is>
          <t>YPF S.A.</t>
        </is>
      </c>
      <c r="D1776" t="inlineStr">
        <is>
          <t>convencional</t>
        </is>
      </c>
      <c r="E1776" t="inlineStr">
        <is>
          <t>2021-11</t>
        </is>
      </c>
      <c r="F1776" t="n">
        <v>115890.7</v>
      </c>
      <c r="G1776" t="n">
        <v>618252</v>
      </c>
      <c r="H1776" t="n">
        <v>615874.9</v>
      </c>
      <c r="I1776">
        <f>DAY(EOMONTH(DATE(VALUE(LEFT(E1776,4)),VALUE(RIGHT(E1776,2)),1),0))</f>
        <v/>
      </c>
      <c r="J1776">
        <f>VALUE(LEFT(E1776,4))*12+VALUE(RIGHT(E1776,2))-1</f>
        <v/>
      </c>
    </row>
    <row r="1777">
      <c r="A1777" t="inlineStr">
        <is>
          <t>Manantiales Behr</t>
        </is>
      </c>
      <c r="B1777" t="inlineStr">
        <is>
          <t>Golfo San Jorge</t>
        </is>
      </c>
      <c r="C1777" t="inlineStr">
        <is>
          <t>YPF S.A.</t>
        </is>
      </c>
      <c r="D1777" t="inlineStr">
        <is>
          <t>convencional</t>
        </is>
      </c>
      <c r="E1777" t="inlineStr">
        <is>
          <t>2021-12</t>
        </is>
      </c>
      <c r="F1777" t="n">
        <v>111109.6</v>
      </c>
      <c r="G1777" t="n">
        <v>592190</v>
      </c>
      <c r="H1777" t="n">
        <v>591121.2</v>
      </c>
      <c r="I1777">
        <f>DAY(EOMONTH(DATE(VALUE(LEFT(E1777,4)),VALUE(RIGHT(E1777,2)),1),0))</f>
        <v/>
      </c>
      <c r="J1777">
        <f>VALUE(LEFT(E1777,4))*12+VALUE(RIGHT(E1777,2))-1</f>
        <v/>
      </c>
    </row>
    <row r="1778">
      <c r="A1778" t="inlineStr">
        <is>
          <t>Manantiales Behr</t>
        </is>
      </c>
      <c r="B1778" t="inlineStr">
        <is>
          <t>Golfo San Jorge</t>
        </is>
      </c>
      <c r="C1778" t="inlineStr">
        <is>
          <t>YPF S.A.</t>
        </is>
      </c>
      <c r="D1778" t="inlineStr">
        <is>
          <t>convencional</t>
        </is>
      </c>
      <c r="E1778" t="inlineStr">
        <is>
          <t>2022-01</t>
        </is>
      </c>
      <c r="F1778" t="n">
        <v>120415.8</v>
      </c>
      <c r="G1778" t="n">
        <v>627406.6</v>
      </c>
      <c r="H1778" t="n">
        <v>626700.2</v>
      </c>
      <c r="I1778">
        <f>DAY(EOMONTH(DATE(VALUE(LEFT(E1778,4)),VALUE(RIGHT(E1778,2)),1),0))</f>
        <v/>
      </c>
      <c r="J1778">
        <f>VALUE(LEFT(E1778,4))*12+VALUE(RIGHT(E1778,2))-1</f>
        <v/>
      </c>
    </row>
    <row r="1779">
      <c r="A1779" t="inlineStr">
        <is>
          <t>Manantiales Behr</t>
        </is>
      </c>
      <c r="B1779" t="inlineStr">
        <is>
          <t>Golfo San Jorge</t>
        </is>
      </c>
      <c r="C1779" t="inlineStr">
        <is>
          <t>YPF S.A.</t>
        </is>
      </c>
      <c r="D1779" t="inlineStr">
        <is>
          <t>convencional</t>
        </is>
      </c>
      <c r="E1779" t="inlineStr">
        <is>
          <t>2022-02</t>
        </is>
      </c>
      <c r="F1779" t="n">
        <v>112105.2</v>
      </c>
      <c r="G1779" t="n">
        <v>582329.1</v>
      </c>
      <c r="H1779" t="n">
        <v>581929.2</v>
      </c>
      <c r="I1779">
        <f>DAY(EOMONTH(DATE(VALUE(LEFT(E1779,4)),VALUE(RIGHT(E1779,2)),1),0))</f>
        <v/>
      </c>
      <c r="J1779">
        <f>VALUE(LEFT(E1779,4))*12+VALUE(RIGHT(E1779,2))-1</f>
        <v/>
      </c>
    </row>
    <row r="1780">
      <c r="A1780" t="inlineStr">
        <is>
          <t>Manantiales Behr</t>
        </is>
      </c>
      <c r="B1780" t="inlineStr">
        <is>
          <t>Golfo San Jorge</t>
        </is>
      </c>
      <c r="C1780" t="inlineStr">
        <is>
          <t>YPF S.A.</t>
        </is>
      </c>
      <c r="D1780" t="inlineStr">
        <is>
          <t>convencional</t>
        </is>
      </c>
      <c r="E1780" t="inlineStr">
        <is>
          <t>2022-03</t>
        </is>
      </c>
      <c r="F1780" t="n">
        <v>124268</v>
      </c>
      <c r="G1780" t="n">
        <v>643950.5</v>
      </c>
      <c r="H1780" t="n">
        <v>644281.6</v>
      </c>
      <c r="I1780">
        <f>DAY(EOMONTH(DATE(VALUE(LEFT(E1780,4)),VALUE(RIGHT(E1780,2)),1),0))</f>
        <v/>
      </c>
      <c r="J1780">
        <f>VALUE(LEFT(E1780,4))*12+VALUE(RIGHT(E1780,2))-1</f>
        <v/>
      </c>
    </row>
    <row r="1781">
      <c r="A1781" t="inlineStr">
        <is>
          <t>Manantiales Behr</t>
        </is>
      </c>
      <c r="B1781" t="inlineStr">
        <is>
          <t>Golfo San Jorge</t>
        </is>
      </c>
      <c r="C1781" t="inlineStr">
        <is>
          <t>YPF S.A.</t>
        </is>
      </c>
      <c r="D1781" t="inlineStr">
        <is>
          <t>convencional</t>
        </is>
      </c>
      <c r="E1781" t="inlineStr">
        <is>
          <t>2022-04</t>
        </is>
      </c>
      <c r="F1781" t="n">
        <v>123616.6</v>
      </c>
      <c r="G1781" t="n">
        <v>607554.4</v>
      </c>
      <c r="H1781" t="n">
        <v>597427.3</v>
      </c>
      <c r="I1781">
        <f>DAY(EOMONTH(DATE(VALUE(LEFT(E1781,4)),VALUE(RIGHT(E1781,2)),1),0))</f>
        <v/>
      </c>
      <c r="J1781">
        <f>VALUE(LEFT(E1781,4))*12+VALUE(RIGHT(E1781,2))-1</f>
        <v/>
      </c>
    </row>
    <row r="1782">
      <c r="A1782" t="inlineStr">
        <is>
          <t>Manantiales Behr</t>
        </is>
      </c>
      <c r="B1782" t="inlineStr">
        <is>
          <t>Golfo San Jorge</t>
        </is>
      </c>
      <c r="C1782" t="inlineStr">
        <is>
          <t>YPF S.A.</t>
        </is>
      </c>
      <c r="D1782" t="inlineStr">
        <is>
          <t>convencional</t>
        </is>
      </c>
      <c r="E1782" t="inlineStr">
        <is>
          <t>2022-05</t>
        </is>
      </c>
      <c r="F1782" t="n">
        <v>129382.7</v>
      </c>
      <c r="G1782" t="n">
        <v>642310.8</v>
      </c>
      <c r="H1782" t="n">
        <v>627903.1</v>
      </c>
      <c r="I1782">
        <f>DAY(EOMONTH(DATE(VALUE(LEFT(E1782,4)),VALUE(RIGHT(E1782,2)),1),0))</f>
        <v/>
      </c>
      <c r="J1782">
        <f>VALUE(LEFT(E1782,4))*12+VALUE(RIGHT(E1782,2))-1</f>
        <v/>
      </c>
    </row>
    <row r="1783">
      <c r="A1783" t="inlineStr">
        <is>
          <t>Manantiales Behr</t>
        </is>
      </c>
      <c r="B1783" t="inlineStr">
        <is>
          <t>Golfo San Jorge</t>
        </is>
      </c>
      <c r="C1783" t="inlineStr">
        <is>
          <t>YPF S.A.</t>
        </is>
      </c>
      <c r="D1783" t="inlineStr">
        <is>
          <t>convencional</t>
        </is>
      </c>
      <c r="E1783" t="inlineStr">
        <is>
          <t>2022-06</t>
        </is>
      </c>
      <c r="F1783" t="n">
        <v>125775.8</v>
      </c>
      <c r="G1783" t="n">
        <v>624389.2</v>
      </c>
      <c r="H1783" t="n">
        <v>620079.1</v>
      </c>
      <c r="I1783">
        <f>DAY(EOMONTH(DATE(VALUE(LEFT(E1783,4)),VALUE(RIGHT(E1783,2)),1),0))</f>
        <v/>
      </c>
      <c r="J1783">
        <f>VALUE(LEFT(E1783,4))*12+VALUE(RIGHT(E1783,2))-1</f>
        <v/>
      </c>
    </row>
    <row r="1784">
      <c r="A1784" t="inlineStr">
        <is>
          <t>Manantiales Behr</t>
        </is>
      </c>
      <c r="B1784" t="inlineStr">
        <is>
          <t>Golfo San Jorge</t>
        </is>
      </c>
      <c r="C1784" t="inlineStr">
        <is>
          <t>YPF S.A.</t>
        </is>
      </c>
      <c r="D1784" t="inlineStr">
        <is>
          <t>convencional</t>
        </is>
      </c>
      <c r="E1784" t="inlineStr">
        <is>
          <t>2022-07</t>
        </is>
      </c>
      <c r="F1784" t="n">
        <v>127378.3</v>
      </c>
      <c r="G1784" t="n">
        <v>609403.4</v>
      </c>
      <c r="H1784" t="n">
        <v>606919.1</v>
      </c>
      <c r="I1784">
        <f>DAY(EOMONTH(DATE(VALUE(LEFT(E1784,4)),VALUE(RIGHT(E1784,2)),1),0))</f>
        <v/>
      </c>
      <c r="J1784">
        <f>VALUE(LEFT(E1784,4))*12+VALUE(RIGHT(E1784,2))-1</f>
        <v/>
      </c>
    </row>
    <row r="1785">
      <c r="A1785" t="inlineStr">
        <is>
          <t>Manantiales Behr</t>
        </is>
      </c>
      <c r="B1785" t="inlineStr">
        <is>
          <t>Golfo San Jorge</t>
        </is>
      </c>
      <c r="C1785" t="inlineStr">
        <is>
          <t>YPF S.A.</t>
        </is>
      </c>
      <c r="D1785" t="inlineStr">
        <is>
          <t>convencional</t>
        </is>
      </c>
      <c r="E1785" t="inlineStr">
        <is>
          <t>2022-08</t>
        </is>
      </c>
      <c r="F1785" t="n">
        <v>126358.1</v>
      </c>
      <c r="G1785" t="n">
        <v>613904</v>
      </c>
      <c r="H1785" t="n">
        <v>609158.3</v>
      </c>
      <c r="I1785">
        <f>DAY(EOMONTH(DATE(VALUE(LEFT(E1785,4)),VALUE(RIGHT(E1785,2)),1),0))</f>
        <v/>
      </c>
      <c r="J1785">
        <f>VALUE(LEFT(E1785,4))*12+VALUE(RIGHT(E1785,2))-1</f>
        <v/>
      </c>
    </row>
    <row r="1786">
      <c r="A1786" t="inlineStr">
        <is>
          <t>Manantiales Behr</t>
        </is>
      </c>
      <c r="B1786" t="inlineStr">
        <is>
          <t>Golfo San Jorge</t>
        </is>
      </c>
      <c r="C1786" t="inlineStr">
        <is>
          <t>YPF S.A.</t>
        </is>
      </c>
      <c r="D1786" t="inlineStr">
        <is>
          <t>convencional</t>
        </is>
      </c>
      <c r="E1786" t="inlineStr">
        <is>
          <t>2022-09</t>
        </is>
      </c>
      <c r="F1786" t="n">
        <v>122373.9</v>
      </c>
      <c r="G1786" t="n">
        <v>612570.1</v>
      </c>
      <c r="H1786" t="n">
        <v>594646.4</v>
      </c>
      <c r="I1786">
        <f>DAY(EOMONTH(DATE(VALUE(LEFT(E1786,4)),VALUE(RIGHT(E1786,2)),1),0))</f>
        <v/>
      </c>
      <c r="J1786">
        <f>VALUE(LEFT(E1786,4))*12+VALUE(RIGHT(E1786,2))-1</f>
        <v/>
      </c>
    </row>
    <row r="1787">
      <c r="A1787" t="inlineStr">
        <is>
          <t>Manantiales Behr</t>
        </is>
      </c>
      <c r="B1787" t="inlineStr">
        <is>
          <t>Golfo San Jorge</t>
        </is>
      </c>
      <c r="C1787" t="inlineStr">
        <is>
          <t>YPF S.A.</t>
        </is>
      </c>
      <c r="D1787" t="inlineStr">
        <is>
          <t>convencional</t>
        </is>
      </c>
      <c r="E1787" t="inlineStr">
        <is>
          <t>2022-10</t>
        </is>
      </c>
      <c r="F1787" t="n">
        <v>131156.2</v>
      </c>
      <c r="G1787" t="n">
        <v>648024</v>
      </c>
      <c r="H1787" t="n">
        <v>627282.5</v>
      </c>
      <c r="I1787">
        <f>DAY(EOMONTH(DATE(VALUE(LEFT(E1787,4)),VALUE(RIGHT(E1787,2)),1),0))</f>
        <v/>
      </c>
      <c r="J1787">
        <f>VALUE(LEFT(E1787,4))*12+VALUE(RIGHT(E1787,2))-1</f>
        <v/>
      </c>
    </row>
    <row r="1788">
      <c r="A1788" t="inlineStr">
        <is>
          <t>Manantiales Behr</t>
        </is>
      </c>
      <c r="B1788" t="inlineStr">
        <is>
          <t>Golfo San Jorge</t>
        </is>
      </c>
      <c r="C1788" t="inlineStr">
        <is>
          <t>YPF S.A.</t>
        </is>
      </c>
      <c r="D1788" t="inlineStr">
        <is>
          <t>convencional</t>
        </is>
      </c>
      <c r="E1788" t="inlineStr">
        <is>
          <t>2022-11</t>
        </is>
      </c>
      <c r="F1788" t="n">
        <v>121493.5</v>
      </c>
      <c r="G1788" t="n">
        <v>644349.4</v>
      </c>
      <c r="H1788" t="n">
        <v>608062.6</v>
      </c>
      <c r="I1788">
        <f>DAY(EOMONTH(DATE(VALUE(LEFT(E1788,4)),VALUE(RIGHT(E1788,2)),1),0))</f>
        <v/>
      </c>
      <c r="J1788">
        <f>VALUE(LEFT(E1788,4))*12+VALUE(RIGHT(E1788,2))-1</f>
        <v/>
      </c>
    </row>
    <row r="1789">
      <c r="A1789" t="inlineStr">
        <is>
          <t>Manantiales Behr</t>
        </is>
      </c>
      <c r="B1789" t="inlineStr">
        <is>
          <t>Golfo San Jorge</t>
        </is>
      </c>
      <c r="C1789" t="inlineStr">
        <is>
          <t>YPF S.A.</t>
        </is>
      </c>
      <c r="D1789" t="inlineStr">
        <is>
          <t>convencional</t>
        </is>
      </c>
      <c r="E1789" t="inlineStr">
        <is>
          <t>2022-12</t>
        </is>
      </c>
      <c r="F1789" t="n">
        <v>127005.6</v>
      </c>
      <c r="G1789" t="n">
        <v>674532.4</v>
      </c>
      <c r="H1789" t="n">
        <v>646685.2</v>
      </c>
      <c r="I1789">
        <f>DAY(EOMONTH(DATE(VALUE(LEFT(E1789,4)),VALUE(RIGHT(E1789,2)),1),0))</f>
        <v/>
      </c>
      <c r="J1789">
        <f>VALUE(LEFT(E1789,4))*12+VALUE(RIGHT(E1789,2))-1</f>
        <v/>
      </c>
    </row>
    <row r="1790">
      <c r="A1790" t="inlineStr">
        <is>
          <t>Manantiales Behr</t>
        </is>
      </c>
      <c r="B1790" t="inlineStr">
        <is>
          <t>Golfo San Jorge</t>
        </is>
      </c>
      <c r="C1790" t="inlineStr">
        <is>
          <t>YPF S.A.</t>
        </is>
      </c>
      <c r="D1790" t="inlineStr">
        <is>
          <t>convencional</t>
        </is>
      </c>
      <c r="E1790" t="inlineStr">
        <is>
          <t>2023-01</t>
        </is>
      </c>
      <c r="F1790" t="n">
        <v>128820.8</v>
      </c>
      <c r="G1790" t="n">
        <v>686812.9</v>
      </c>
      <c r="H1790" t="n">
        <v>643926.5</v>
      </c>
      <c r="I1790">
        <f>DAY(EOMONTH(DATE(VALUE(LEFT(E1790,4)),VALUE(RIGHT(E1790,2)),1),0))</f>
        <v/>
      </c>
      <c r="J1790">
        <f>VALUE(LEFT(E1790,4))*12+VALUE(RIGHT(E1790,2))-1</f>
        <v/>
      </c>
    </row>
    <row r="1791">
      <c r="A1791" t="inlineStr">
        <is>
          <t>Manantiales Behr</t>
        </is>
      </c>
      <c r="B1791" t="inlineStr">
        <is>
          <t>Golfo San Jorge</t>
        </is>
      </c>
      <c r="C1791" t="inlineStr">
        <is>
          <t>YPF S.A.</t>
        </is>
      </c>
      <c r="D1791" t="inlineStr">
        <is>
          <t>convencional</t>
        </is>
      </c>
      <c r="E1791" t="inlineStr">
        <is>
          <t>2023-02</t>
        </is>
      </c>
      <c r="F1791" t="n">
        <v>116013.3</v>
      </c>
      <c r="G1791" t="n">
        <v>619464.6</v>
      </c>
      <c r="H1791" t="n">
        <v>572927.8</v>
      </c>
      <c r="I1791">
        <f>DAY(EOMONTH(DATE(VALUE(LEFT(E1791,4)),VALUE(RIGHT(E1791,2)),1),0))</f>
        <v/>
      </c>
      <c r="J1791">
        <f>VALUE(LEFT(E1791,4))*12+VALUE(RIGHT(E1791,2))-1</f>
        <v/>
      </c>
    </row>
    <row r="1792">
      <c r="A1792" t="inlineStr">
        <is>
          <t>Manantiales Behr</t>
        </is>
      </c>
      <c r="B1792" t="inlineStr">
        <is>
          <t>Golfo San Jorge</t>
        </is>
      </c>
      <c r="C1792" t="inlineStr">
        <is>
          <t>YPF S.A.</t>
        </is>
      </c>
      <c r="D1792" t="inlineStr">
        <is>
          <t>convencional</t>
        </is>
      </c>
      <c r="E1792" t="inlineStr">
        <is>
          <t>2023-03</t>
        </is>
      </c>
      <c r="F1792" t="n">
        <v>125005.2</v>
      </c>
      <c r="G1792" t="n">
        <v>665134.6</v>
      </c>
      <c r="H1792" t="n">
        <v>627742.1</v>
      </c>
      <c r="I1792">
        <f>DAY(EOMONTH(DATE(VALUE(LEFT(E1792,4)),VALUE(RIGHT(E1792,2)),1),0))</f>
        <v/>
      </c>
      <c r="J1792">
        <f>VALUE(LEFT(E1792,4))*12+VALUE(RIGHT(E1792,2))-1</f>
        <v/>
      </c>
    </row>
    <row r="1793">
      <c r="A1793" t="inlineStr">
        <is>
          <t>Manantiales Behr</t>
        </is>
      </c>
      <c r="B1793" t="inlineStr">
        <is>
          <t>Golfo San Jorge</t>
        </is>
      </c>
      <c r="C1793" t="inlineStr">
        <is>
          <t>YPF S.A.</t>
        </is>
      </c>
      <c r="D1793" t="inlineStr">
        <is>
          <t>convencional</t>
        </is>
      </c>
      <c r="E1793" t="inlineStr">
        <is>
          <t>2023-04</t>
        </is>
      </c>
      <c r="F1793" t="n">
        <v>123161.5</v>
      </c>
      <c r="G1793" t="n">
        <v>668186.5</v>
      </c>
      <c r="H1793" t="n">
        <v>625724.2</v>
      </c>
      <c r="I1793">
        <f>DAY(EOMONTH(DATE(VALUE(LEFT(E1793,4)),VALUE(RIGHT(E1793,2)),1),0))</f>
        <v/>
      </c>
      <c r="J1793">
        <f>VALUE(LEFT(E1793,4))*12+VALUE(RIGHT(E1793,2))-1</f>
        <v/>
      </c>
    </row>
    <row r="1794">
      <c r="A1794" t="inlineStr">
        <is>
          <t>Manantiales Behr</t>
        </is>
      </c>
      <c r="B1794" t="inlineStr">
        <is>
          <t>Golfo San Jorge</t>
        </is>
      </c>
      <c r="C1794" t="inlineStr">
        <is>
          <t>YPF S.A.</t>
        </is>
      </c>
      <c r="D1794" t="inlineStr">
        <is>
          <t>convencional</t>
        </is>
      </c>
      <c r="E1794" t="inlineStr">
        <is>
          <t>2023-05</t>
        </is>
      </c>
      <c r="F1794" t="n">
        <v>129132.6</v>
      </c>
      <c r="G1794" t="n">
        <v>694934.7</v>
      </c>
      <c r="H1794" t="n">
        <v>654659.6</v>
      </c>
      <c r="I1794">
        <f>DAY(EOMONTH(DATE(VALUE(LEFT(E1794,4)),VALUE(RIGHT(E1794,2)),1),0))</f>
        <v/>
      </c>
      <c r="J1794">
        <f>VALUE(LEFT(E1794,4))*12+VALUE(RIGHT(E1794,2))-1</f>
        <v/>
      </c>
    </row>
    <row r="1795">
      <c r="A1795" t="inlineStr">
        <is>
          <t>Manantiales Behr</t>
        </is>
      </c>
      <c r="B1795" t="inlineStr">
        <is>
          <t>Golfo San Jorge</t>
        </is>
      </c>
      <c r="C1795" t="inlineStr">
        <is>
          <t>YPF S.A.</t>
        </is>
      </c>
      <c r="D1795" t="inlineStr">
        <is>
          <t>convencional</t>
        </is>
      </c>
      <c r="E1795" t="inlineStr">
        <is>
          <t>2023-06</t>
        </is>
      </c>
      <c r="F1795" t="n">
        <v>124911.6</v>
      </c>
      <c r="G1795" t="n">
        <v>671928.5</v>
      </c>
      <c r="H1795" t="n">
        <v>636020.9</v>
      </c>
      <c r="I1795">
        <f>DAY(EOMONTH(DATE(VALUE(LEFT(E1795,4)),VALUE(RIGHT(E1795,2)),1),0))</f>
        <v/>
      </c>
      <c r="J1795">
        <f>VALUE(LEFT(E1795,4))*12+VALUE(RIGHT(E1795,2))-1</f>
        <v/>
      </c>
    </row>
    <row r="1796">
      <c r="A1796" t="inlineStr">
        <is>
          <t>Manantiales Behr</t>
        </is>
      </c>
      <c r="B1796" t="inlineStr">
        <is>
          <t>Golfo San Jorge</t>
        </is>
      </c>
      <c r="C1796" t="inlineStr">
        <is>
          <t>YPF S.A.</t>
        </is>
      </c>
      <c r="D1796" t="inlineStr">
        <is>
          <t>convencional</t>
        </is>
      </c>
      <c r="E1796" t="inlineStr">
        <is>
          <t>2023-07</t>
        </is>
      </c>
      <c r="F1796" t="n">
        <v>127097.9</v>
      </c>
      <c r="G1796" t="n">
        <v>666205.1</v>
      </c>
      <c r="H1796" t="n">
        <v>640233</v>
      </c>
      <c r="I1796">
        <f>DAY(EOMONTH(DATE(VALUE(LEFT(E1796,4)),VALUE(RIGHT(E1796,2)),1),0))</f>
        <v/>
      </c>
      <c r="J1796">
        <f>VALUE(LEFT(E1796,4))*12+VALUE(RIGHT(E1796,2))-1</f>
        <v/>
      </c>
    </row>
    <row r="1797">
      <c r="A1797" t="inlineStr">
        <is>
          <t>Manantiales Behr</t>
        </is>
      </c>
      <c r="B1797" t="inlineStr">
        <is>
          <t>Golfo San Jorge</t>
        </is>
      </c>
      <c r="C1797" t="inlineStr">
        <is>
          <t>YPF S.A.</t>
        </is>
      </c>
      <c r="D1797" t="inlineStr">
        <is>
          <t>convencional</t>
        </is>
      </c>
      <c r="E1797" t="inlineStr">
        <is>
          <t>2023-08</t>
        </is>
      </c>
      <c r="F1797" t="n">
        <v>127148.4</v>
      </c>
      <c r="G1797" t="n">
        <v>664366.8</v>
      </c>
      <c r="H1797" t="n">
        <v>649651.2</v>
      </c>
      <c r="I1797">
        <f>DAY(EOMONTH(DATE(VALUE(LEFT(E1797,4)),VALUE(RIGHT(E1797,2)),1),0))</f>
        <v/>
      </c>
      <c r="J1797">
        <f>VALUE(LEFT(E1797,4))*12+VALUE(RIGHT(E1797,2))-1</f>
        <v/>
      </c>
    </row>
    <row r="1798">
      <c r="A1798" t="inlineStr">
        <is>
          <t>Manantiales Behr</t>
        </is>
      </c>
      <c r="B1798" t="inlineStr">
        <is>
          <t>Golfo San Jorge</t>
        </is>
      </c>
      <c r="C1798" t="inlineStr">
        <is>
          <t>YPF S.A.</t>
        </is>
      </c>
      <c r="D1798" t="inlineStr">
        <is>
          <t>convencional</t>
        </is>
      </c>
      <c r="E1798" t="inlineStr">
        <is>
          <t>2023-09</t>
        </is>
      </c>
      <c r="F1798" t="n">
        <v>127807.2</v>
      </c>
      <c r="G1798" t="n">
        <v>651197.8</v>
      </c>
      <c r="H1798" t="n">
        <v>645554.3</v>
      </c>
      <c r="I1798">
        <f>DAY(EOMONTH(DATE(VALUE(LEFT(E1798,4)),VALUE(RIGHT(E1798,2)),1),0))</f>
        <v/>
      </c>
      <c r="J1798">
        <f>VALUE(LEFT(E1798,4))*12+VALUE(RIGHT(E1798,2))-1</f>
        <v/>
      </c>
    </row>
    <row r="1799">
      <c r="A1799" t="inlineStr">
        <is>
          <t>Manantiales Behr</t>
        </is>
      </c>
      <c r="B1799" t="inlineStr">
        <is>
          <t>Golfo San Jorge</t>
        </is>
      </c>
      <c r="C1799" t="inlineStr">
        <is>
          <t>YPF S.A.</t>
        </is>
      </c>
      <c r="D1799" t="inlineStr">
        <is>
          <t>convencional</t>
        </is>
      </c>
      <c r="E1799" t="inlineStr">
        <is>
          <t>2023-10</t>
        </is>
      </c>
      <c r="F1799" t="n">
        <v>133131.9</v>
      </c>
      <c r="G1799" t="n">
        <v>706430.2</v>
      </c>
      <c r="H1799" t="n">
        <v>697510.7</v>
      </c>
      <c r="I1799">
        <f>DAY(EOMONTH(DATE(VALUE(LEFT(E1799,4)),VALUE(RIGHT(E1799,2)),1),0))</f>
        <v/>
      </c>
      <c r="J1799">
        <f>VALUE(LEFT(E1799,4))*12+VALUE(RIGHT(E1799,2))-1</f>
        <v/>
      </c>
    </row>
    <row r="1800">
      <c r="A1800" t="inlineStr">
        <is>
          <t>Manantiales Behr</t>
        </is>
      </c>
      <c r="B1800" t="inlineStr">
        <is>
          <t>Golfo San Jorge</t>
        </is>
      </c>
      <c r="C1800" t="inlineStr">
        <is>
          <t>YPF S.A.</t>
        </is>
      </c>
      <c r="D1800" t="inlineStr">
        <is>
          <t>convencional</t>
        </is>
      </c>
      <c r="E1800" t="inlineStr">
        <is>
          <t>2023-11</t>
        </is>
      </c>
      <c r="F1800" t="n">
        <v>128193.5</v>
      </c>
      <c r="G1800" t="n">
        <v>693055.6</v>
      </c>
      <c r="H1800" t="n">
        <v>677546.7</v>
      </c>
      <c r="I1800">
        <f>DAY(EOMONTH(DATE(VALUE(LEFT(E1800,4)),VALUE(RIGHT(E1800,2)),1),0))</f>
        <v/>
      </c>
      <c r="J1800">
        <f>VALUE(LEFT(E1800,4))*12+VALUE(RIGHT(E1800,2))-1</f>
        <v/>
      </c>
    </row>
    <row r="1801">
      <c r="A1801" t="inlineStr">
        <is>
          <t>Manantiales Behr</t>
        </is>
      </c>
      <c r="B1801" t="inlineStr">
        <is>
          <t>Golfo San Jorge</t>
        </is>
      </c>
      <c r="C1801" t="inlineStr">
        <is>
          <t>YPF S.A.</t>
        </is>
      </c>
      <c r="D1801" t="inlineStr">
        <is>
          <t>convencional</t>
        </is>
      </c>
      <c r="E1801" t="inlineStr">
        <is>
          <t>2023-12</t>
        </is>
      </c>
      <c r="F1801" t="n">
        <v>131292.6</v>
      </c>
      <c r="G1801" t="n">
        <v>707658.3</v>
      </c>
      <c r="H1801" t="n">
        <v>701641.2</v>
      </c>
      <c r="I1801">
        <f>DAY(EOMONTH(DATE(VALUE(LEFT(E1801,4)),VALUE(RIGHT(E1801,2)),1),0))</f>
        <v/>
      </c>
      <c r="J1801">
        <f>VALUE(LEFT(E1801,4))*12+VALUE(RIGHT(E1801,2))-1</f>
        <v/>
      </c>
    </row>
    <row r="1802">
      <c r="A1802" t="inlineStr">
        <is>
          <t>Manantiales Behr</t>
        </is>
      </c>
      <c r="B1802" t="inlineStr">
        <is>
          <t>Golfo San Jorge</t>
        </is>
      </c>
      <c r="C1802" t="inlineStr">
        <is>
          <t>YPF S.A.</t>
        </is>
      </c>
      <c r="D1802" t="inlineStr">
        <is>
          <t>convencional</t>
        </is>
      </c>
      <c r="E1802" t="inlineStr">
        <is>
          <t>2024-01</t>
        </is>
      </c>
      <c r="F1802" t="n">
        <v>132128.7</v>
      </c>
      <c r="G1802" t="n">
        <v>728114.2</v>
      </c>
      <c r="H1802" t="n">
        <v>730598.2</v>
      </c>
      <c r="I1802">
        <f>DAY(EOMONTH(DATE(VALUE(LEFT(E1802,4)),VALUE(RIGHT(E1802,2)),1),0))</f>
        <v/>
      </c>
      <c r="J1802">
        <f>VALUE(LEFT(E1802,4))*12+VALUE(RIGHT(E1802,2))-1</f>
        <v/>
      </c>
    </row>
    <row r="1803">
      <c r="A1803" t="inlineStr">
        <is>
          <t>Manantiales Behr</t>
        </is>
      </c>
      <c r="B1803" t="inlineStr">
        <is>
          <t>Golfo San Jorge</t>
        </is>
      </c>
      <c r="C1803" t="inlineStr">
        <is>
          <t>YPF S.A.</t>
        </is>
      </c>
      <c r="D1803" t="inlineStr">
        <is>
          <t>convencional</t>
        </is>
      </c>
      <c r="E1803" t="inlineStr">
        <is>
          <t>2024-02</t>
        </is>
      </c>
      <c r="F1803" t="n">
        <v>122627.7</v>
      </c>
      <c r="G1803" t="n">
        <v>679915.6</v>
      </c>
      <c r="H1803" t="n">
        <v>677449</v>
      </c>
      <c r="I1803">
        <f>DAY(EOMONTH(DATE(VALUE(LEFT(E1803,4)),VALUE(RIGHT(E1803,2)),1),0))</f>
        <v/>
      </c>
      <c r="J1803">
        <f>VALUE(LEFT(E1803,4))*12+VALUE(RIGHT(E1803,2))-1</f>
        <v/>
      </c>
    </row>
    <row r="1804">
      <c r="A1804" t="inlineStr">
        <is>
          <t>Manantiales Behr</t>
        </is>
      </c>
      <c r="B1804" t="inlineStr">
        <is>
          <t>Golfo San Jorge</t>
        </is>
      </c>
      <c r="C1804" t="inlineStr">
        <is>
          <t>YPF S.A.</t>
        </is>
      </c>
      <c r="D1804" t="inlineStr">
        <is>
          <t>convencional</t>
        </is>
      </c>
      <c r="E1804" t="inlineStr">
        <is>
          <t>2024-03</t>
        </is>
      </c>
      <c r="F1804" t="n">
        <v>130061</v>
      </c>
      <c r="G1804" t="n">
        <v>719925.4</v>
      </c>
      <c r="H1804" t="n">
        <v>725530.6</v>
      </c>
      <c r="I1804">
        <f>DAY(EOMONTH(DATE(VALUE(LEFT(E1804,4)),VALUE(RIGHT(E1804,2)),1),0))</f>
        <v/>
      </c>
      <c r="J1804">
        <f>VALUE(LEFT(E1804,4))*12+VALUE(RIGHT(E1804,2))-1</f>
        <v/>
      </c>
    </row>
    <row r="1805">
      <c r="A1805" t="inlineStr">
        <is>
          <t>Manantiales Behr</t>
        </is>
      </c>
      <c r="B1805" t="inlineStr">
        <is>
          <t>Golfo San Jorge</t>
        </is>
      </c>
      <c r="C1805" t="inlineStr">
        <is>
          <t>YPF S.A.</t>
        </is>
      </c>
      <c r="D1805" t="inlineStr">
        <is>
          <t>convencional</t>
        </is>
      </c>
      <c r="E1805" t="inlineStr">
        <is>
          <t>2024-04</t>
        </is>
      </c>
      <c r="F1805" t="n">
        <v>125211.1</v>
      </c>
      <c r="G1805" t="n">
        <v>709989</v>
      </c>
      <c r="H1805" t="n">
        <v>708843.3</v>
      </c>
      <c r="I1805">
        <f>DAY(EOMONTH(DATE(VALUE(LEFT(E1805,4)),VALUE(RIGHT(E1805,2)),1),0))</f>
        <v/>
      </c>
      <c r="J1805">
        <f>VALUE(LEFT(E1805,4))*12+VALUE(RIGHT(E1805,2))-1</f>
        <v/>
      </c>
    </row>
    <row r="1806">
      <c r="A1806" t="inlineStr">
        <is>
          <t>Manantiales Behr</t>
        </is>
      </c>
      <c r="B1806" t="inlineStr">
        <is>
          <t>Golfo San Jorge</t>
        </is>
      </c>
      <c r="C1806" t="inlineStr">
        <is>
          <t>YPF S.A.</t>
        </is>
      </c>
      <c r="D1806" t="inlineStr">
        <is>
          <t>convencional</t>
        </is>
      </c>
      <c r="E1806" t="inlineStr">
        <is>
          <t>2024-05</t>
        </is>
      </c>
      <c r="F1806" t="n">
        <v>126948</v>
      </c>
      <c r="G1806" t="n">
        <v>718929.7</v>
      </c>
      <c r="H1806" t="n">
        <v>728363.7</v>
      </c>
      <c r="I1806">
        <f>DAY(EOMONTH(DATE(VALUE(LEFT(E1806,4)),VALUE(RIGHT(E1806,2)),1),0))</f>
        <v/>
      </c>
      <c r="J1806">
        <f>VALUE(LEFT(E1806,4))*12+VALUE(RIGHT(E1806,2))-1</f>
        <v/>
      </c>
    </row>
    <row r="1807">
      <c r="A1807" t="inlineStr">
        <is>
          <t>Manantiales Behr</t>
        </is>
      </c>
      <c r="B1807" t="inlineStr">
        <is>
          <t>Golfo San Jorge</t>
        </is>
      </c>
      <c r="C1807" t="inlineStr">
        <is>
          <t>YPF S.A.</t>
        </is>
      </c>
      <c r="D1807" t="inlineStr">
        <is>
          <t>convencional</t>
        </is>
      </c>
      <c r="E1807" t="inlineStr">
        <is>
          <t>2024-06</t>
        </is>
      </c>
      <c r="F1807" t="n">
        <v>72410</v>
      </c>
      <c r="G1807" t="n">
        <v>412902.2</v>
      </c>
      <c r="H1807" t="n">
        <v>413053.7</v>
      </c>
      <c r="I1807">
        <f>DAY(EOMONTH(DATE(VALUE(LEFT(E1807,4)),VALUE(RIGHT(E1807,2)),1),0))</f>
        <v/>
      </c>
      <c r="J1807">
        <f>VALUE(LEFT(E1807,4))*12+VALUE(RIGHT(E1807,2))-1</f>
        <v/>
      </c>
    </row>
    <row r="1808">
      <c r="A1808" t="inlineStr">
        <is>
          <t>Manantiales Behr</t>
        </is>
      </c>
      <c r="B1808" t="inlineStr">
        <is>
          <t>Golfo San Jorge</t>
        </is>
      </c>
      <c r="C1808" t="inlineStr">
        <is>
          <t>YPF S.A.</t>
        </is>
      </c>
      <c r="D1808" t="inlineStr">
        <is>
          <t>convencional</t>
        </is>
      </c>
      <c r="E1808" t="inlineStr">
        <is>
          <t>2024-07</t>
        </is>
      </c>
      <c r="F1808" t="n">
        <v>79363.10000000001</v>
      </c>
      <c r="G1808" t="n">
        <v>432737.3</v>
      </c>
      <c r="H1808" t="n">
        <v>430129.2</v>
      </c>
      <c r="I1808">
        <f>DAY(EOMONTH(DATE(VALUE(LEFT(E1808,4)),VALUE(RIGHT(E1808,2)),1),0))</f>
        <v/>
      </c>
      <c r="J1808">
        <f>VALUE(LEFT(E1808,4))*12+VALUE(RIGHT(E1808,2))-1</f>
        <v/>
      </c>
    </row>
    <row r="1809">
      <c r="A1809" t="inlineStr">
        <is>
          <t>Manantiales Behr</t>
        </is>
      </c>
      <c r="B1809" t="inlineStr">
        <is>
          <t>Golfo San Jorge</t>
        </is>
      </c>
      <c r="C1809" t="inlineStr">
        <is>
          <t>YPF S.A.</t>
        </is>
      </c>
      <c r="D1809" t="inlineStr">
        <is>
          <t>convencional</t>
        </is>
      </c>
      <c r="E1809" t="inlineStr">
        <is>
          <t>2024-08</t>
        </is>
      </c>
      <c r="F1809" t="n">
        <v>112142.4</v>
      </c>
      <c r="G1809" t="n">
        <v>657839.1</v>
      </c>
      <c r="H1809" t="n">
        <v>657463.1</v>
      </c>
      <c r="I1809">
        <f>DAY(EOMONTH(DATE(VALUE(LEFT(E1809,4)),VALUE(RIGHT(E1809,2)),1),0))</f>
        <v/>
      </c>
      <c r="J1809">
        <f>VALUE(LEFT(E1809,4))*12+VALUE(RIGHT(E1809,2))-1</f>
        <v/>
      </c>
    </row>
    <row r="1810">
      <c r="A1810" t="inlineStr">
        <is>
          <t>Manantiales Behr</t>
        </is>
      </c>
      <c r="B1810" t="inlineStr">
        <is>
          <t>Golfo San Jorge</t>
        </is>
      </c>
      <c r="C1810" t="inlineStr">
        <is>
          <t>YPF S.A.</t>
        </is>
      </c>
      <c r="D1810" t="inlineStr">
        <is>
          <t>convencional</t>
        </is>
      </c>
      <c r="E1810" t="inlineStr">
        <is>
          <t>2024-09</t>
        </is>
      </c>
      <c r="F1810" t="n">
        <v>115292</v>
      </c>
      <c r="G1810" t="n">
        <v>700104.9</v>
      </c>
      <c r="H1810" t="n">
        <v>697424.5</v>
      </c>
      <c r="I1810">
        <f>DAY(EOMONTH(DATE(VALUE(LEFT(E1810,4)),VALUE(RIGHT(E1810,2)),1),0))</f>
        <v/>
      </c>
      <c r="J1810">
        <f>VALUE(LEFT(E1810,4))*12+VALUE(RIGHT(E1810,2))-1</f>
        <v/>
      </c>
    </row>
    <row r="1811">
      <c r="A1811" t="inlineStr">
        <is>
          <t>Manantiales Behr</t>
        </is>
      </c>
      <c r="B1811" t="inlineStr">
        <is>
          <t>Golfo San Jorge</t>
        </is>
      </c>
      <c r="C1811" t="inlineStr">
        <is>
          <t>YPF S.A.</t>
        </is>
      </c>
      <c r="D1811" t="inlineStr">
        <is>
          <t>convencional</t>
        </is>
      </c>
      <c r="E1811" t="inlineStr">
        <is>
          <t>2024-10</t>
        </is>
      </c>
      <c r="F1811" t="n">
        <v>124083.5</v>
      </c>
      <c r="G1811" t="n">
        <v>753999.5</v>
      </c>
      <c r="H1811" t="n">
        <v>766859.8</v>
      </c>
      <c r="I1811">
        <f>DAY(EOMONTH(DATE(VALUE(LEFT(E1811,4)),VALUE(RIGHT(E1811,2)),1),0))</f>
        <v/>
      </c>
      <c r="J1811">
        <f>VALUE(LEFT(E1811,4))*12+VALUE(RIGHT(E1811,2))-1</f>
        <v/>
      </c>
    </row>
    <row r="1812">
      <c r="A1812" t="inlineStr">
        <is>
          <t>Manantiales Behr</t>
        </is>
      </c>
      <c r="B1812" t="inlineStr">
        <is>
          <t>Golfo San Jorge</t>
        </is>
      </c>
      <c r="C1812" t="inlineStr">
        <is>
          <t>YPF S.A.</t>
        </is>
      </c>
      <c r="D1812" t="inlineStr">
        <is>
          <t>convencional</t>
        </is>
      </c>
      <c r="E1812" t="inlineStr">
        <is>
          <t>2024-11</t>
        </is>
      </c>
      <c r="F1812" t="n">
        <v>121604.3</v>
      </c>
      <c r="G1812" t="n">
        <v>749749.9</v>
      </c>
      <c r="H1812" t="n">
        <v>750789.5</v>
      </c>
      <c r="I1812">
        <f>DAY(EOMONTH(DATE(VALUE(LEFT(E1812,4)),VALUE(RIGHT(E1812,2)),1),0))</f>
        <v/>
      </c>
      <c r="J1812">
        <f>VALUE(LEFT(E1812,4))*12+VALUE(RIGHT(E1812,2))-1</f>
        <v/>
      </c>
    </row>
    <row r="1813">
      <c r="A1813" t="inlineStr">
        <is>
          <t>Manantiales Behr</t>
        </is>
      </c>
      <c r="B1813" t="inlineStr">
        <is>
          <t>Golfo San Jorge</t>
        </is>
      </c>
      <c r="C1813" t="inlineStr">
        <is>
          <t>YPF S.A.</t>
        </is>
      </c>
      <c r="D1813" t="inlineStr">
        <is>
          <t>convencional</t>
        </is>
      </c>
      <c r="E1813" t="inlineStr">
        <is>
          <t>2024-12</t>
        </is>
      </c>
      <c r="F1813" t="n">
        <v>124186.9</v>
      </c>
      <c r="G1813" t="n">
        <v>781528.5</v>
      </c>
      <c r="H1813" t="n">
        <v>784318.2</v>
      </c>
      <c r="I1813">
        <f>DAY(EOMONTH(DATE(VALUE(LEFT(E1813,4)),VALUE(RIGHT(E1813,2)),1),0))</f>
        <v/>
      </c>
      <c r="J1813">
        <f>VALUE(LEFT(E1813,4))*12+VALUE(RIGHT(E1813,2))-1</f>
        <v/>
      </c>
    </row>
    <row r="1814">
      <c r="A1814" t="inlineStr">
        <is>
          <t>Manantiales Behr</t>
        </is>
      </c>
      <c r="B1814" t="inlineStr">
        <is>
          <t>Golfo San Jorge</t>
        </is>
      </c>
      <c r="C1814" t="inlineStr">
        <is>
          <t>YPF S.A.</t>
        </is>
      </c>
      <c r="D1814" t="inlineStr">
        <is>
          <t>convencional</t>
        </is>
      </c>
      <c r="E1814" t="inlineStr">
        <is>
          <t>2025-01</t>
        </is>
      </c>
      <c r="F1814" t="n">
        <v>122652.2</v>
      </c>
      <c r="G1814" t="n">
        <v>771522.6</v>
      </c>
      <c r="H1814" t="n">
        <v>792151.2</v>
      </c>
      <c r="I1814">
        <f>DAY(EOMONTH(DATE(VALUE(LEFT(E1814,4)),VALUE(RIGHT(E1814,2)),1),0))</f>
        <v/>
      </c>
      <c r="J1814">
        <f>VALUE(LEFT(E1814,4))*12+VALUE(RIGHT(E1814,2))-1</f>
        <v/>
      </c>
    </row>
    <row r="1815">
      <c r="A1815" t="inlineStr">
        <is>
          <t>Manantiales Behr</t>
        </is>
      </c>
      <c r="B1815" t="inlineStr">
        <is>
          <t>Golfo San Jorge</t>
        </is>
      </c>
      <c r="C1815" t="inlineStr">
        <is>
          <t>YPF S.A.</t>
        </is>
      </c>
      <c r="D1815" t="inlineStr">
        <is>
          <t>convencional</t>
        </is>
      </c>
      <c r="E1815" t="inlineStr">
        <is>
          <t>2025-02</t>
        </is>
      </c>
      <c r="F1815" t="n">
        <v>112884.5</v>
      </c>
      <c r="G1815" t="n">
        <v>705450</v>
      </c>
      <c r="H1815" t="n">
        <v>720296.5</v>
      </c>
      <c r="I1815">
        <f>DAY(EOMONTH(DATE(VALUE(LEFT(E1815,4)),VALUE(RIGHT(E1815,2)),1),0))</f>
        <v/>
      </c>
      <c r="J1815">
        <f>VALUE(LEFT(E1815,4))*12+VALUE(RIGHT(E1815,2))-1</f>
        <v/>
      </c>
    </row>
    <row r="1816">
      <c r="A1816" t="inlineStr">
        <is>
          <t>Manantiales Behr</t>
        </is>
      </c>
      <c r="B1816" t="inlineStr">
        <is>
          <t>Golfo San Jorge</t>
        </is>
      </c>
      <c r="C1816" t="inlineStr">
        <is>
          <t>YPF S.A.</t>
        </is>
      </c>
      <c r="D1816" t="inlineStr">
        <is>
          <t>convencional</t>
        </is>
      </c>
      <c r="E1816" t="inlineStr">
        <is>
          <t>2025-03</t>
        </is>
      </c>
      <c r="F1816" t="n">
        <v>125811.8</v>
      </c>
      <c r="G1816" t="n">
        <v>783586.7</v>
      </c>
      <c r="H1816" t="n">
        <v>795285</v>
      </c>
      <c r="I1816">
        <f>DAY(EOMONTH(DATE(VALUE(LEFT(E1816,4)),VALUE(RIGHT(E1816,2)),1),0))</f>
        <v/>
      </c>
      <c r="J1816">
        <f>VALUE(LEFT(E1816,4))*12+VALUE(RIGHT(E1816,2))-1</f>
        <v/>
      </c>
    </row>
    <row r="1817">
      <c r="A1817" t="inlineStr">
        <is>
          <t>Manantiales Behr</t>
        </is>
      </c>
      <c r="B1817" t="inlineStr">
        <is>
          <t>Golfo San Jorge</t>
        </is>
      </c>
      <c r="C1817" t="inlineStr">
        <is>
          <t>YPF S.A.</t>
        </is>
      </c>
      <c r="D1817" t="inlineStr">
        <is>
          <t>convencional</t>
        </is>
      </c>
      <c r="E1817" t="inlineStr">
        <is>
          <t>2025-04</t>
        </is>
      </c>
      <c r="F1817" t="n">
        <v>119390.2</v>
      </c>
      <c r="G1817" t="n">
        <v>734689.6</v>
      </c>
      <c r="H1817" t="n">
        <v>756212.6</v>
      </c>
      <c r="I1817">
        <f>DAY(EOMONTH(DATE(VALUE(LEFT(E1817,4)),VALUE(RIGHT(E1817,2)),1),0))</f>
        <v/>
      </c>
      <c r="J1817">
        <f>VALUE(LEFT(E1817,4))*12+VALUE(RIGHT(E1817,2))-1</f>
        <v/>
      </c>
    </row>
    <row r="1818">
      <c r="A1818" t="inlineStr">
        <is>
          <t>Manantiales Behr</t>
        </is>
      </c>
      <c r="B1818" t="inlineStr">
        <is>
          <t>Golfo San Jorge</t>
        </is>
      </c>
      <c r="C1818" t="inlineStr">
        <is>
          <t>YPF S.A.</t>
        </is>
      </c>
      <c r="D1818" t="inlineStr">
        <is>
          <t>convencional</t>
        </is>
      </c>
      <c r="E1818" t="inlineStr">
        <is>
          <t>2025-05</t>
        </is>
      </c>
      <c r="F1818" t="n">
        <v>124622.3</v>
      </c>
      <c r="G1818" t="n">
        <v>778083.2</v>
      </c>
      <c r="H1818" t="n">
        <v>789670.4</v>
      </c>
      <c r="I1818">
        <f>DAY(EOMONTH(DATE(VALUE(LEFT(E1818,4)),VALUE(RIGHT(E1818,2)),1),0))</f>
        <v/>
      </c>
      <c r="J1818">
        <f>VALUE(LEFT(E1818,4))*12+VALUE(RIGHT(E1818,2))-1</f>
        <v/>
      </c>
    </row>
    <row r="1819">
      <c r="A1819" t="inlineStr">
        <is>
          <t>Manantiales Behr</t>
        </is>
      </c>
      <c r="B1819" t="inlineStr">
        <is>
          <t>Golfo San Jorge</t>
        </is>
      </c>
      <c r="C1819" t="inlineStr">
        <is>
          <t>YPF S.A.</t>
        </is>
      </c>
      <c r="D1819" t="inlineStr">
        <is>
          <t>convencional</t>
        </is>
      </c>
      <c r="E1819" t="inlineStr">
        <is>
          <t>2025-06</t>
        </is>
      </c>
      <c r="F1819" t="n">
        <v>120908.4</v>
      </c>
      <c r="G1819" t="n">
        <v>741164.5</v>
      </c>
      <c r="H1819" t="n">
        <v>768966.8</v>
      </c>
      <c r="I1819">
        <f>DAY(EOMONTH(DATE(VALUE(LEFT(E1819,4)),VALUE(RIGHT(E1819,2)),1),0))</f>
        <v/>
      </c>
      <c r="J1819">
        <f>VALUE(LEFT(E1819,4))*12+VALUE(RIGHT(E1819,2))-1</f>
        <v/>
      </c>
    </row>
    <row r="1820">
      <c r="A1820" t="inlineStr">
        <is>
          <t>Manantiales Behr</t>
        </is>
      </c>
      <c r="B1820" t="inlineStr">
        <is>
          <t>Golfo San Jorge</t>
        </is>
      </c>
      <c r="C1820" t="inlineStr">
        <is>
          <t>YPF S.A.</t>
        </is>
      </c>
      <c r="D1820" t="inlineStr">
        <is>
          <t>convencional</t>
        </is>
      </c>
      <c r="E1820" t="inlineStr">
        <is>
          <t>2025-07</t>
        </is>
      </c>
      <c r="F1820" t="n">
        <v>122296.2</v>
      </c>
      <c r="G1820" t="n">
        <v>752231.8</v>
      </c>
      <c r="H1820" t="n">
        <v>781420.8</v>
      </c>
      <c r="I1820">
        <f>DAY(EOMONTH(DATE(VALUE(LEFT(E1820,4)),VALUE(RIGHT(E1820,2)),1),0))</f>
        <v/>
      </c>
      <c r="J1820">
        <f>VALUE(LEFT(E1820,4))*12+VALUE(RIGHT(E1820,2))-1</f>
        <v/>
      </c>
    </row>
    <row r="1821">
      <c r="A1821" t="inlineStr">
        <is>
          <t>Manantiales Behr</t>
        </is>
      </c>
      <c r="B1821" t="inlineStr">
        <is>
          <t>Golfo San Jorge</t>
        </is>
      </c>
      <c r="C1821" t="inlineStr">
        <is>
          <t>YPF S.A.</t>
        </is>
      </c>
      <c r="D1821" t="inlineStr">
        <is>
          <t>convencional</t>
        </is>
      </c>
      <c r="E1821" t="inlineStr">
        <is>
          <t>2025-08</t>
        </is>
      </c>
      <c r="F1821" t="n">
        <v>122300.2</v>
      </c>
      <c r="G1821" t="n">
        <v>774936.5</v>
      </c>
      <c r="H1821" t="n">
        <v>798850.6</v>
      </c>
      <c r="I1821">
        <f>DAY(EOMONTH(DATE(VALUE(LEFT(E1821,4)),VALUE(RIGHT(E1821,2)),1),0))</f>
        <v/>
      </c>
      <c r="J1821">
        <f>VALUE(LEFT(E1821,4))*12+VALUE(RIGHT(E1821,2))-1</f>
        <v/>
      </c>
    </row>
    <row r="1822">
      <c r="A1822" t="inlineStr">
        <is>
          <t>Manantiales Behr</t>
        </is>
      </c>
      <c r="B1822" t="inlineStr">
        <is>
          <t>Golfo San Jorge</t>
        </is>
      </c>
      <c r="C1822" t="inlineStr">
        <is>
          <t>YPF S.A.</t>
        </is>
      </c>
      <c r="D1822" t="inlineStr">
        <is>
          <t>convencional</t>
        </is>
      </c>
      <c r="E1822" t="inlineStr">
        <is>
          <t>2025-09</t>
        </is>
      </c>
      <c r="F1822" t="n">
        <v>120740.3</v>
      </c>
      <c r="G1822" t="n">
        <v>775092.7</v>
      </c>
      <c r="H1822" t="n">
        <v>777226.4</v>
      </c>
      <c r="I1822">
        <f>DAY(EOMONTH(DATE(VALUE(LEFT(E1822,4)),VALUE(RIGHT(E1822,2)),1),0))</f>
        <v/>
      </c>
      <c r="J1822">
        <f>VALUE(LEFT(E1822,4))*12+VALUE(RIGHT(E1822,2))-1</f>
        <v/>
      </c>
    </row>
    <row r="1823">
      <c r="A1823" t="inlineStr">
        <is>
          <t>Manantiales Behr</t>
        </is>
      </c>
      <c r="B1823" t="inlineStr">
        <is>
          <t>Golfo San Jorge</t>
        </is>
      </c>
      <c r="C1823" t="inlineStr">
        <is>
          <t>YPF S.A.</t>
        </is>
      </c>
      <c r="D1823" t="inlineStr">
        <is>
          <t>convencional</t>
        </is>
      </c>
      <c r="E1823" t="inlineStr">
        <is>
          <t>2025-10</t>
        </is>
      </c>
      <c r="F1823" t="n">
        <v>126892.8</v>
      </c>
      <c r="G1823" t="n">
        <v>800472.9</v>
      </c>
      <c r="H1823" t="n">
        <v>803071.8</v>
      </c>
      <c r="I1823">
        <f>DAY(EOMONTH(DATE(VALUE(LEFT(E1823,4)),VALUE(RIGHT(E1823,2)),1),0))</f>
        <v/>
      </c>
      <c r="J1823">
        <f>VALUE(LEFT(E1823,4))*12+VALUE(RIGHT(E1823,2))-1</f>
        <v/>
      </c>
    </row>
    <row r="1824">
      <c r="A1824" t="inlineStr">
        <is>
          <t>Manantiales Behr</t>
        </is>
      </c>
      <c r="B1824" t="inlineStr">
        <is>
          <t>Golfo San Jorge</t>
        </is>
      </c>
      <c r="C1824" t="inlineStr">
        <is>
          <t>YPF S.A.</t>
        </is>
      </c>
      <c r="D1824" t="inlineStr">
        <is>
          <t>convencional</t>
        </is>
      </c>
      <c r="E1824" t="inlineStr">
        <is>
          <t>2025-11</t>
        </is>
      </c>
      <c r="F1824" t="n">
        <v>118179.9</v>
      </c>
      <c r="G1824" t="n">
        <v>747506</v>
      </c>
      <c r="H1824" t="n">
        <v>758978.2</v>
      </c>
      <c r="I1824">
        <f>DAY(EOMONTH(DATE(VALUE(LEFT(E1824,4)),VALUE(RIGHT(E1824,2)),1),0))</f>
        <v/>
      </c>
      <c r="J1824">
        <f>VALUE(LEFT(E1824,4))*12+VALUE(RIGHT(E1824,2))-1</f>
        <v/>
      </c>
    </row>
    <row r="1825">
      <c r="A1825" t="inlineStr">
        <is>
          <t>Manantiales Behr</t>
        </is>
      </c>
      <c r="B1825" t="inlineStr">
        <is>
          <t>Golfo San Jorge</t>
        </is>
      </c>
      <c r="C1825" t="inlineStr">
        <is>
          <t>YPF S.A.</t>
        </is>
      </c>
      <c r="D1825" t="inlineStr">
        <is>
          <t>convencional</t>
        </is>
      </c>
      <c r="E1825" t="inlineStr">
        <is>
          <t>2025-12</t>
        </is>
      </c>
      <c r="F1825" t="n">
        <v>125546.8</v>
      </c>
      <c r="G1825" t="n">
        <v>788480.3</v>
      </c>
      <c r="H1825" t="n">
        <v>816225.2</v>
      </c>
      <c r="I1825">
        <f>DAY(EOMONTH(DATE(VALUE(LEFT(E1825,4)),VALUE(RIGHT(E1825,2)),1),0))</f>
        <v/>
      </c>
      <c r="J1825">
        <f>VALUE(LEFT(E1825,4))*12+VALUE(RIGHT(E1825,2))-1</f>
        <v/>
      </c>
    </row>
    <row r="1826">
      <c r="A1826" t="inlineStr">
        <is>
          <t>Manantiales Behr</t>
        </is>
      </c>
      <c r="B1826" t="inlineStr">
        <is>
          <t>Golfo San Jorge</t>
        </is>
      </c>
      <c r="C1826" t="inlineStr">
        <is>
          <t>YPF S.A.</t>
        </is>
      </c>
      <c r="D1826" t="inlineStr">
        <is>
          <t>convencional</t>
        </is>
      </c>
      <c r="E1826" t="inlineStr">
        <is>
          <t>2026-01</t>
        </is>
      </c>
      <c r="F1826" t="n">
        <v>124976.6</v>
      </c>
      <c r="G1826" t="n">
        <v>781720.6</v>
      </c>
      <c r="H1826" t="n">
        <v>806576.8</v>
      </c>
      <c r="I1826">
        <f>DAY(EOMONTH(DATE(VALUE(LEFT(E1826,4)),VALUE(RIGHT(E1826,2)),1),0))</f>
        <v/>
      </c>
      <c r="J1826">
        <f>VALUE(LEFT(E1826,4))*12+VALUE(RIGHT(E1826,2))-1</f>
        <v/>
      </c>
    </row>
    <row r="1827">
      <c r="A1827" t="inlineStr">
        <is>
          <t>Manantiales Behr</t>
        </is>
      </c>
      <c r="B1827" t="inlineStr">
        <is>
          <t>Golfo San Jorge</t>
        </is>
      </c>
      <c r="C1827" t="inlineStr">
        <is>
          <t>YPF S.A.</t>
        </is>
      </c>
      <c r="D1827" t="inlineStr">
        <is>
          <t>convencional</t>
        </is>
      </c>
      <c r="E1827" t="inlineStr">
        <is>
          <t>2026-02</t>
        </is>
      </c>
      <c r="F1827" t="n">
        <v>113738.4</v>
      </c>
      <c r="G1827" t="n">
        <v>702423.5</v>
      </c>
      <c r="H1827" t="n">
        <v>727438.6</v>
      </c>
      <c r="I1827">
        <f>DAY(EOMONTH(DATE(VALUE(LEFT(E1827,4)),VALUE(RIGHT(E1827,2)),1),0))</f>
        <v/>
      </c>
      <c r="J1827">
        <f>VALUE(LEFT(E1827,4))*12+VALUE(RIGHT(E1827,2))-1</f>
        <v/>
      </c>
    </row>
    <row r="1828">
      <c r="A1828" t="inlineStr">
        <is>
          <t>Manantiales Behr</t>
        </is>
      </c>
      <c r="B1828" t="inlineStr">
        <is>
          <t>Golfo San Jorge</t>
        </is>
      </c>
      <c r="C1828" t="inlineStr">
        <is>
          <t>YPF S.A.</t>
        </is>
      </c>
      <c r="D1828" t="inlineStr">
        <is>
          <t>convencional</t>
        </is>
      </c>
      <c r="E1828" t="inlineStr">
        <is>
          <t>2026-03</t>
        </is>
      </c>
      <c r="F1828" t="n">
        <v>126609.4</v>
      </c>
      <c r="G1828" t="n">
        <v>774997.1</v>
      </c>
      <c r="H1828" t="n">
        <v>811028.4</v>
      </c>
      <c r="I1828">
        <f>DAY(EOMONTH(DATE(VALUE(LEFT(E1828,4)),VALUE(RIGHT(E1828,2)),1),0))</f>
        <v/>
      </c>
      <c r="J1828">
        <f>VALUE(LEFT(E1828,4))*12+VALUE(RIGHT(E1828,2))-1</f>
        <v/>
      </c>
    </row>
    <row r="1829">
      <c r="A1829" t="inlineStr">
        <is>
          <t>Manantiales Behr</t>
        </is>
      </c>
      <c r="B1829" t="inlineStr">
        <is>
          <t>Golfo San Jorge</t>
        </is>
      </c>
      <c r="C1829" t="inlineStr">
        <is>
          <t>YPF S.A.</t>
        </is>
      </c>
      <c r="D1829" t="inlineStr">
        <is>
          <t>convencional</t>
        </is>
      </c>
      <c r="E1829" t="inlineStr">
        <is>
          <t>2026-04</t>
        </is>
      </c>
      <c r="F1829" t="n">
        <v>120220.1</v>
      </c>
      <c r="G1829" t="n">
        <v>757961.5</v>
      </c>
      <c r="H1829" t="n">
        <v>785362.1</v>
      </c>
      <c r="I1829">
        <f>DAY(EOMONTH(DATE(VALUE(LEFT(E1829,4)),VALUE(RIGHT(E1829,2)),1),0))</f>
        <v/>
      </c>
      <c r="J1829">
        <f>VALUE(LEFT(E1829,4))*12+VALUE(RIGHT(E1829,2))-1</f>
        <v/>
      </c>
    </row>
    <row r="1830">
      <c r="A1830" t="inlineStr">
        <is>
          <t>Manantiales Behr</t>
        </is>
      </c>
      <c r="B1830" t="inlineStr">
        <is>
          <t>Golfo San Jorge</t>
        </is>
      </c>
      <c r="C1830" t="inlineStr">
        <is>
          <t>PECOM SERVICIOS ENERGIA SAU</t>
        </is>
      </c>
      <c r="D1830" t="inlineStr">
        <is>
          <t>convencional</t>
        </is>
      </c>
      <c r="E1830" t="inlineStr">
        <is>
          <t>2026-05</t>
        </is>
      </c>
      <c r="F1830" t="n">
        <v>121929.9</v>
      </c>
      <c r="G1830" t="n">
        <v>811819.7</v>
      </c>
      <c r="H1830" t="n">
        <v>810400</v>
      </c>
      <c r="I1830">
        <f>DAY(EOMONTH(DATE(VALUE(LEFT(E1830,4)),VALUE(RIGHT(E1830,2)),1),0))</f>
        <v/>
      </c>
      <c r="J1830">
        <f>VALUE(LEFT(E1830,4))*12+VALUE(RIGHT(E1830,2))-1</f>
        <v/>
      </c>
    </row>
    <row r="1831">
      <c r="A1831" t="inlineStr">
        <is>
          <t>Manantiales Behr</t>
        </is>
      </c>
      <c r="B1831" t="inlineStr">
        <is>
          <t>Golfo San Jorge</t>
        </is>
      </c>
      <c r="C1831" t="inlineStr">
        <is>
          <t>PECOM SERVICIOS ENERGIA SAU</t>
        </is>
      </c>
      <c r="D1831" t="inlineStr">
        <is>
          <t>convencional</t>
        </is>
      </c>
      <c r="E1831" t="inlineStr">
        <is>
          <t>2026-06</t>
        </is>
      </c>
      <c r="F1831" t="n">
        <v>116701.9</v>
      </c>
      <c r="G1831" t="n">
        <v>779662.9</v>
      </c>
      <c r="H1831" t="n">
        <v>779058.9</v>
      </c>
      <c r="I1831">
        <f>DAY(EOMONTH(DATE(VALUE(LEFT(E1831,4)),VALUE(RIGHT(E1831,2)),1),0))</f>
        <v/>
      </c>
      <c r="J1831">
        <f>VALUE(LEFT(E1831,4))*12+VALUE(RIGHT(E1831,2))-1</f>
        <v/>
      </c>
    </row>
    <row r="1832">
      <c r="A1832" t="inlineStr">
        <is>
          <t>Manantiales Behr</t>
        </is>
      </c>
      <c r="B1832" t="inlineStr">
        <is>
          <t>Golfo San Jorge</t>
        </is>
      </c>
      <c r="C1832" t="inlineStr">
        <is>
          <t>PECOM SERVICIOS ENERGIA SAU</t>
        </is>
      </c>
      <c r="D1832" t="inlineStr">
        <is>
          <t>convencional</t>
        </is>
      </c>
      <c r="E1832" t="inlineStr">
        <is>
          <t>2026-07</t>
        </is>
      </c>
      <c r="F1832" t="n">
        <v>118052.2</v>
      </c>
      <c r="G1832" t="n">
        <v>803022.4</v>
      </c>
      <c r="H1832" t="n">
        <v>802487.5</v>
      </c>
      <c r="I1832">
        <f>DAY(EOMONTH(DATE(VALUE(LEFT(E1832,4)),VALUE(RIGHT(E1832,2)),1),0))</f>
        <v/>
      </c>
      <c r="J1832">
        <f>VALUE(LEFT(E1832,4))*12+VALUE(RIGHT(E1832,2))-1</f>
        <v/>
      </c>
    </row>
    <row r="1833">
      <c r="A1833" t="inlineStr">
        <is>
          <t>Diadema</t>
        </is>
      </c>
      <c r="B1833" t="inlineStr">
        <is>
          <t>Golfo San Jorge</t>
        </is>
      </c>
      <c r="C1833" t="inlineStr">
        <is>
          <t>COMPAÑÍAS ASOCIADAS PETROLERAS S.A.</t>
        </is>
      </c>
      <c r="D1833" t="inlineStr">
        <is>
          <t>convencional</t>
        </is>
      </c>
      <c r="E1833" t="inlineStr">
        <is>
          <t>2006-01</t>
        </is>
      </c>
      <c r="F1833" t="n">
        <v>46358</v>
      </c>
      <c r="G1833" t="n">
        <v>1455335.1</v>
      </c>
      <c r="H1833" t="n">
        <v>1449286.8</v>
      </c>
      <c r="I1833">
        <f>DAY(EOMONTH(DATE(VALUE(LEFT(E1833,4)),VALUE(RIGHT(E1833,2)),1),0))</f>
        <v/>
      </c>
      <c r="J1833">
        <f>VALUE(LEFT(E1833,4))*12+VALUE(RIGHT(E1833,2))-1</f>
        <v/>
      </c>
    </row>
    <row r="1834">
      <c r="A1834" t="inlineStr">
        <is>
          <t>Diadema</t>
        </is>
      </c>
      <c r="B1834" t="inlineStr">
        <is>
          <t>Golfo San Jorge</t>
        </is>
      </c>
      <c r="C1834" t="inlineStr">
        <is>
          <t>COMPAÑÍAS ASOCIADAS PETROLERAS S.A.</t>
        </is>
      </c>
      <c r="D1834" t="inlineStr">
        <is>
          <t>convencional</t>
        </is>
      </c>
      <c r="E1834" t="inlineStr">
        <is>
          <t>2006-02</t>
        </is>
      </c>
      <c r="F1834" t="n">
        <v>43376.1</v>
      </c>
      <c r="G1834" t="n">
        <v>1312934</v>
      </c>
      <c r="H1834" t="n">
        <v>1312934</v>
      </c>
      <c r="I1834">
        <f>DAY(EOMONTH(DATE(VALUE(LEFT(E1834,4)),VALUE(RIGHT(E1834,2)),1),0))</f>
        <v/>
      </c>
      <c r="J1834">
        <f>VALUE(LEFT(E1834,4))*12+VALUE(RIGHT(E1834,2))-1</f>
        <v/>
      </c>
    </row>
    <row r="1835">
      <c r="A1835" t="inlineStr">
        <is>
          <t>Diadema</t>
        </is>
      </c>
      <c r="B1835" t="inlineStr">
        <is>
          <t>Golfo San Jorge</t>
        </is>
      </c>
      <c r="C1835" t="inlineStr">
        <is>
          <t>COMPAÑÍAS ASOCIADAS PETROLERAS S.A.</t>
        </is>
      </c>
      <c r="D1835" t="inlineStr">
        <is>
          <t>convencional</t>
        </is>
      </c>
      <c r="E1835" t="inlineStr">
        <is>
          <t>2006-03</t>
        </is>
      </c>
      <c r="F1835" t="n">
        <v>48195</v>
      </c>
      <c r="G1835" t="n">
        <v>1451199</v>
      </c>
      <c r="H1835" t="n">
        <v>1448764</v>
      </c>
      <c r="I1835">
        <f>DAY(EOMONTH(DATE(VALUE(LEFT(E1835,4)),VALUE(RIGHT(E1835,2)),1),0))</f>
        <v/>
      </c>
      <c r="J1835">
        <f>VALUE(LEFT(E1835,4))*12+VALUE(RIGHT(E1835,2))-1</f>
        <v/>
      </c>
    </row>
    <row r="1836">
      <c r="A1836" t="inlineStr">
        <is>
          <t>Diadema</t>
        </is>
      </c>
      <c r="B1836" t="inlineStr">
        <is>
          <t>Golfo San Jorge</t>
        </is>
      </c>
      <c r="C1836" t="inlineStr">
        <is>
          <t>COMPAÑÍAS ASOCIADAS PETROLERAS S.A.</t>
        </is>
      </c>
      <c r="D1836" t="inlineStr">
        <is>
          <t>convencional</t>
        </is>
      </c>
      <c r="E1836" t="inlineStr">
        <is>
          <t>2006-04</t>
        </is>
      </c>
      <c r="F1836" t="n">
        <v>43737</v>
      </c>
      <c r="G1836" t="n">
        <v>1415307.7</v>
      </c>
      <c r="H1836" t="n">
        <v>1411806</v>
      </c>
      <c r="I1836">
        <f>DAY(EOMONTH(DATE(VALUE(LEFT(E1836,4)),VALUE(RIGHT(E1836,2)),1),0))</f>
        <v/>
      </c>
      <c r="J1836">
        <f>VALUE(LEFT(E1836,4))*12+VALUE(RIGHT(E1836,2))-1</f>
        <v/>
      </c>
    </row>
    <row r="1837">
      <c r="A1837" t="inlineStr">
        <is>
          <t>Diadema</t>
        </is>
      </c>
      <c r="B1837" t="inlineStr">
        <is>
          <t>Golfo San Jorge</t>
        </is>
      </c>
      <c r="C1837" t="inlineStr">
        <is>
          <t>COMPAÑÍAS ASOCIADAS PETROLERAS S.A.</t>
        </is>
      </c>
      <c r="D1837" t="inlineStr">
        <is>
          <t>convencional</t>
        </is>
      </c>
      <c r="E1837" t="inlineStr">
        <is>
          <t>2006-05</t>
        </is>
      </c>
      <c r="F1837" t="n">
        <v>45694.1</v>
      </c>
      <c r="G1837" t="n">
        <v>1460281.9</v>
      </c>
      <c r="H1837" t="n">
        <v>1456780</v>
      </c>
      <c r="I1837">
        <f>DAY(EOMONTH(DATE(VALUE(LEFT(E1837,4)),VALUE(RIGHT(E1837,2)),1),0))</f>
        <v/>
      </c>
      <c r="J1837">
        <f>VALUE(LEFT(E1837,4))*12+VALUE(RIGHT(E1837,2))-1</f>
        <v/>
      </c>
    </row>
    <row r="1838">
      <c r="A1838" t="inlineStr">
        <is>
          <t>Diadema</t>
        </is>
      </c>
      <c r="B1838" t="inlineStr">
        <is>
          <t>Golfo San Jorge</t>
        </is>
      </c>
      <c r="C1838" t="inlineStr">
        <is>
          <t>COMPAÑÍAS ASOCIADAS PETROLERAS S.A.</t>
        </is>
      </c>
      <c r="D1838" t="inlineStr">
        <is>
          <t>convencional</t>
        </is>
      </c>
      <c r="E1838" t="inlineStr">
        <is>
          <t>2006-06</t>
        </is>
      </c>
      <c r="F1838" t="n">
        <v>46196</v>
      </c>
      <c r="G1838" t="n">
        <v>1407449.9</v>
      </c>
      <c r="H1838" t="n">
        <v>1403951</v>
      </c>
      <c r="I1838">
        <f>DAY(EOMONTH(DATE(VALUE(LEFT(E1838,4)),VALUE(RIGHT(E1838,2)),1),0))</f>
        <v/>
      </c>
      <c r="J1838">
        <f>VALUE(LEFT(E1838,4))*12+VALUE(RIGHT(E1838,2))-1</f>
        <v/>
      </c>
    </row>
    <row r="1839">
      <c r="A1839" t="inlineStr">
        <is>
          <t>Diadema</t>
        </is>
      </c>
      <c r="B1839" t="inlineStr">
        <is>
          <t>Golfo San Jorge</t>
        </is>
      </c>
      <c r="C1839" t="inlineStr">
        <is>
          <t>COMPAÑÍAS ASOCIADAS PETROLERAS S.A.</t>
        </is>
      </c>
      <c r="D1839" t="inlineStr">
        <is>
          <t>convencional</t>
        </is>
      </c>
      <c r="E1839" t="inlineStr">
        <is>
          <t>2006-07</t>
        </is>
      </c>
      <c r="F1839" t="n">
        <v>48829.1</v>
      </c>
      <c r="G1839" t="n">
        <v>1445175.8</v>
      </c>
      <c r="H1839" t="n">
        <v>1442099</v>
      </c>
      <c r="I1839">
        <f>DAY(EOMONTH(DATE(VALUE(LEFT(E1839,4)),VALUE(RIGHT(E1839,2)),1),0))</f>
        <v/>
      </c>
      <c r="J1839">
        <f>VALUE(LEFT(E1839,4))*12+VALUE(RIGHT(E1839,2))-1</f>
        <v/>
      </c>
    </row>
    <row r="1840">
      <c r="A1840" t="inlineStr">
        <is>
          <t>Diadema</t>
        </is>
      </c>
      <c r="B1840" t="inlineStr">
        <is>
          <t>Golfo San Jorge</t>
        </is>
      </c>
      <c r="C1840" t="inlineStr">
        <is>
          <t>COMPAÑÍAS ASOCIADAS PETROLERAS S.A.</t>
        </is>
      </c>
      <c r="D1840" t="inlineStr">
        <is>
          <t>convencional</t>
        </is>
      </c>
      <c r="E1840" t="inlineStr">
        <is>
          <t>2006-08</t>
        </is>
      </c>
      <c r="F1840" t="n">
        <v>52449</v>
      </c>
      <c r="G1840" t="n">
        <v>1455200.4</v>
      </c>
      <c r="H1840" t="n">
        <v>1453115</v>
      </c>
      <c r="I1840">
        <f>DAY(EOMONTH(DATE(VALUE(LEFT(E1840,4)),VALUE(RIGHT(E1840,2)),1),0))</f>
        <v/>
      </c>
      <c r="J1840">
        <f>VALUE(LEFT(E1840,4))*12+VALUE(RIGHT(E1840,2))-1</f>
        <v/>
      </c>
    </row>
    <row r="1841">
      <c r="A1841" t="inlineStr">
        <is>
          <t>Diadema</t>
        </is>
      </c>
      <c r="B1841" t="inlineStr">
        <is>
          <t>Golfo San Jorge</t>
        </is>
      </c>
      <c r="C1841" t="inlineStr">
        <is>
          <t>COMPAÑÍAS ASOCIADAS PETROLERAS S.A.</t>
        </is>
      </c>
      <c r="D1841" t="inlineStr">
        <is>
          <t>convencional</t>
        </is>
      </c>
      <c r="E1841" t="inlineStr">
        <is>
          <t>2006-09</t>
        </is>
      </c>
      <c r="F1841" t="n">
        <v>49456.9</v>
      </c>
      <c r="G1841" t="n">
        <v>1460906.8</v>
      </c>
      <c r="H1841" t="n">
        <v>1458857</v>
      </c>
      <c r="I1841">
        <f>DAY(EOMONTH(DATE(VALUE(LEFT(E1841,4)),VALUE(RIGHT(E1841,2)),1),0))</f>
        <v/>
      </c>
      <c r="J1841">
        <f>VALUE(LEFT(E1841,4))*12+VALUE(RIGHT(E1841,2))-1</f>
        <v/>
      </c>
    </row>
    <row r="1842">
      <c r="A1842" t="inlineStr">
        <is>
          <t>Diadema</t>
        </is>
      </c>
      <c r="B1842" t="inlineStr">
        <is>
          <t>Golfo San Jorge</t>
        </is>
      </c>
      <c r="C1842" t="inlineStr">
        <is>
          <t>COMPAÑÍAS ASOCIADAS PETROLERAS S.A.</t>
        </is>
      </c>
      <c r="D1842" t="inlineStr">
        <is>
          <t>convencional</t>
        </is>
      </c>
      <c r="E1842" t="inlineStr">
        <is>
          <t>2006-10</t>
        </is>
      </c>
      <c r="F1842" t="n">
        <v>51748</v>
      </c>
      <c r="G1842" t="n">
        <v>1531927</v>
      </c>
      <c r="H1842" t="n">
        <v>1529820.2</v>
      </c>
      <c r="I1842">
        <f>DAY(EOMONTH(DATE(VALUE(LEFT(E1842,4)),VALUE(RIGHT(E1842,2)),1),0))</f>
        <v/>
      </c>
      <c r="J1842">
        <f>VALUE(LEFT(E1842,4))*12+VALUE(RIGHT(E1842,2))-1</f>
        <v/>
      </c>
    </row>
    <row r="1843">
      <c r="A1843" t="inlineStr">
        <is>
          <t>Diadema</t>
        </is>
      </c>
      <c r="B1843" t="inlineStr">
        <is>
          <t>Golfo San Jorge</t>
        </is>
      </c>
      <c r="C1843" t="inlineStr">
        <is>
          <t>COMPAÑÍAS ASOCIADAS PETROLERAS S.A.</t>
        </is>
      </c>
      <c r="D1843" t="inlineStr">
        <is>
          <t>convencional</t>
        </is>
      </c>
      <c r="E1843" t="inlineStr">
        <is>
          <t>2006-11</t>
        </is>
      </c>
      <c r="F1843" t="n">
        <v>45052</v>
      </c>
      <c r="G1843" t="n">
        <v>1405142.8</v>
      </c>
      <c r="H1843" t="n">
        <v>1403591.1</v>
      </c>
      <c r="I1843">
        <f>DAY(EOMONTH(DATE(VALUE(LEFT(E1843,4)),VALUE(RIGHT(E1843,2)),1),0))</f>
        <v/>
      </c>
      <c r="J1843">
        <f>VALUE(LEFT(E1843,4))*12+VALUE(RIGHT(E1843,2))-1</f>
        <v/>
      </c>
    </row>
    <row r="1844">
      <c r="A1844" t="inlineStr">
        <is>
          <t>Diadema</t>
        </is>
      </c>
      <c r="B1844" t="inlineStr">
        <is>
          <t>Golfo San Jorge</t>
        </is>
      </c>
      <c r="C1844" t="inlineStr">
        <is>
          <t>COMPAÑÍAS ASOCIADAS PETROLERAS S.A.</t>
        </is>
      </c>
      <c r="D1844" t="inlineStr">
        <is>
          <t>convencional</t>
        </is>
      </c>
      <c r="E1844" t="inlineStr">
        <is>
          <t>2006-12</t>
        </is>
      </c>
      <c r="F1844" t="n">
        <v>49706.1</v>
      </c>
      <c r="G1844" t="n">
        <v>1556238.1</v>
      </c>
      <c r="H1844" t="n">
        <v>1554340.6</v>
      </c>
      <c r="I1844">
        <f>DAY(EOMONTH(DATE(VALUE(LEFT(E1844,4)),VALUE(RIGHT(E1844,2)),1),0))</f>
        <v/>
      </c>
      <c r="J1844">
        <f>VALUE(LEFT(E1844,4))*12+VALUE(RIGHT(E1844,2))-1</f>
        <v/>
      </c>
    </row>
    <row r="1845">
      <c r="A1845" t="inlineStr">
        <is>
          <t>Diadema</t>
        </is>
      </c>
      <c r="B1845" t="inlineStr">
        <is>
          <t>Golfo San Jorge</t>
        </is>
      </c>
      <c r="C1845" t="inlineStr">
        <is>
          <t>COMPAÑÍAS ASOCIADAS PETROLERAS S.A.</t>
        </is>
      </c>
      <c r="D1845" t="inlineStr">
        <is>
          <t>convencional</t>
        </is>
      </c>
      <c r="E1845" t="inlineStr">
        <is>
          <t>2007-01</t>
        </is>
      </c>
      <c r="F1845" t="n">
        <v>47299.1</v>
      </c>
      <c r="G1845" t="n">
        <v>1526302.5</v>
      </c>
      <c r="H1845" t="n">
        <v>1637791.4</v>
      </c>
      <c r="I1845">
        <f>DAY(EOMONTH(DATE(VALUE(LEFT(E1845,4)),VALUE(RIGHT(E1845,2)),1),0))</f>
        <v/>
      </c>
      <c r="J1845">
        <f>VALUE(LEFT(E1845,4))*12+VALUE(RIGHT(E1845,2))-1</f>
        <v/>
      </c>
    </row>
    <row r="1846">
      <c r="A1846" t="inlineStr">
        <is>
          <t>Diadema</t>
        </is>
      </c>
      <c r="B1846" t="inlineStr">
        <is>
          <t>Golfo San Jorge</t>
        </is>
      </c>
      <c r="C1846" t="inlineStr">
        <is>
          <t>COMPAÑÍAS ASOCIADAS PETROLERAS S.A.</t>
        </is>
      </c>
      <c r="D1846" t="inlineStr">
        <is>
          <t>convencional</t>
        </is>
      </c>
      <c r="E1846" t="inlineStr">
        <is>
          <t>2007-02</t>
        </is>
      </c>
      <c r="F1846" t="n">
        <v>42915</v>
      </c>
      <c r="G1846" t="n">
        <v>1396932.6</v>
      </c>
      <c r="H1846" t="n">
        <v>1394474.6</v>
      </c>
      <c r="I1846">
        <f>DAY(EOMONTH(DATE(VALUE(LEFT(E1846,4)),VALUE(RIGHT(E1846,2)),1),0))</f>
        <v/>
      </c>
      <c r="J1846">
        <f>VALUE(LEFT(E1846,4))*12+VALUE(RIGHT(E1846,2))-1</f>
        <v/>
      </c>
    </row>
    <row r="1847">
      <c r="A1847" t="inlineStr">
        <is>
          <t>Diadema</t>
        </is>
      </c>
      <c r="B1847" t="inlineStr">
        <is>
          <t>Golfo San Jorge</t>
        </is>
      </c>
      <c r="C1847" t="inlineStr">
        <is>
          <t>COMPAÑÍAS ASOCIADAS PETROLERAS S.A.</t>
        </is>
      </c>
      <c r="D1847" t="inlineStr">
        <is>
          <t>convencional</t>
        </is>
      </c>
      <c r="E1847" t="inlineStr">
        <is>
          <t>2007-03</t>
        </is>
      </c>
      <c r="F1847" t="n">
        <v>50952.1</v>
      </c>
      <c r="G1847" t="n">
        <v>1558612.5</v>
      </c>
      <c r="H1847" t="n">
        <v>1556315.5</v>
      </c>
      <c r="I1847">
        <f>DAY(EOMONTH(DATE(VALUE(LEFT(E1847,4)),VALUE(RIGHT(E1847,2)),1),0))</f>
        <v/>
      </c>
      <c r="J1847">
        <f>VALUE(LEFT(E1847,4))*12+VALUE(RIGHT(E1847,2))-1</f>
        <v/>
      </c>
    </row>
    <row r="1848">
      <c r="A1848" t="inlineStr">
        <is>
          <t>Diadema</t>
        </is>
      </c>
      <c r="B1848" t="inlineStr">
        <is>
          <t>Golfo San Jorge</t>
        </is>
      </c>
      <c r="C1848" t="inlineStr">
        <is>
          <t>COMPAÑÍAS ASOCIADAS PETROLERAS S.A.</t>
        </is>
      </c>
      <c r="D1848" t="inlineStr">
        <is>
          <t>convencional</t>
        </is>
      </c>
      <c r="E1848" t="inlineStr">
        <is>
          <t>2007-04</t>
        </is>
      </c>
      <c r="F1848" t="n">
        <v>50399.1</v>
      </c>
      <c r="G1848" t="n">
        <v>1510703.2</v>
      </c>
      <c r="H1848" t="n">
        <v>1513576.4</v>
      </c>
      <c r="I1848">
        <f>DAY(EOMONTH(DATE(VALUE(LEFT(E1848,4)),VALUE(RIGHT(E1848,2)),1),0))</f>
        <v/>
      </c>
      <c r="J1848">
        <f>VALUE(LEFT(E1848,4))*12+VALUE(RIGHT(E1848,2))-1</f>
        <v/>
      </c>
    </row>
    <row r="1849">
      <c r="A1849" t="inlineStr">
        <is>
          <t>Diadema</t>
        </is>
      </c>
      <c r="B1849" t="inlineStr">
        <is>
          <t>Golfo San Jorge</t>
        </is>
      </c>
      <c r="C1849" t="inlineStr">
        <is>
          <t>COMPAÑÍAS ASOCIADAS PETROLERAS S.A.</t>
        </is>
      </c>
      <c r="D1849" t="inlineStr">
        <is>
          <t>convencional</t>
        </is>
      </c>
      <c r="E1849" t="inlineStr">
        <is>
          <t>2007-05</t>
        </is>
      </c>
      <c r="F1849" t="n">
        <v>50530.3</v>
      </c>
      <c r="G1849" t="n">
        <v>1601836.8</v>
      </c>
      <c r="H1849" t="n">
        <v>1599529.4</v>
      </c>
      <c r="I1849">
        <f>DAY(EOMONTH(DATE(VALUE(LEFT(E1849,4)),VALUE(RIGHT(E1849,2)),1),0))</f>
        <v/>
      </c>
      <c r="J1849">
        <f>VALUE(LEFT(E1849,4))*12+VALUE(RIGHT(E1849,2))-1</f>
        <v/>
      </c>
    </row>
    <row r="1850">
      <c r="A1850" t="inlineStr">
        <is>
          <t>Diadema</t>
        </is>
      </c>
      <c r="B1850" t="inlineStr">
        <is>
          <t>Golfo San Jorge</t>
        </is>
      </c>
      <c r="C1850" t="inlineStr">
        <is>
          <t>COMPAÑÍAS ASOCIADAS PETROLERAS S.A.</t>
        </is>
      </c>
      <c r="D1850" t="inlineStr">
        <is>
          <t>convencional</t>
        </is>
      </c>
      <c r="E1850" t="inlineStr">
        <is>
          <t>2007-06</t>
        </is>
      </c>
      <c r="F1850" t="n">
        <v>49455.3</v>
      </c>
      <c r="G1850" t="n">
        <v>1542202</v>
      </c>
      <c r="H1850" t="n">
        <v>1539935.9</v>
      </c>
      <c r="I1850">
        <f>DAY(EOMONTH(DATE(VALUE(LEFT(E1850,4)),VALUE(RIGHT(E1850,2)),1),0))</f>
        <v/>
      </c>
      <c r="J1850">
        <f>VALUE(LEFT(E1850,4))*12+VALUE(RIGHT(E1850,2))-1</f>
        <v/>
      </c>
    </row>
    <row r="1851">
      <c r="A1851" t="inlineStr">
        <is>
          <t>Diadema</t>
        </is>
      </c>
      <c r="B1851" t="inlineStr">
        <is>
          <t>Golfo San Jorge</t>
        </is>
      </c>
      <c r="C1851" t="inlineStr">
        <is>
          <t>COMPAÑÍAS ASOCIADAS PETROLERAS S.A.</t>
        </is>
      </c>
      <c r="D1851" t="inlineStr">
        <is>
          <t>convencional</t>
        </is>
      </c>
      <c r="E1851" t="inlineStr">
        <is>
          <t>2007-07</t>
        </is>
      </c>
      <c r="F1851" t="n">
        <v>48709.4</v>
      </c>
      <c r="G1851" t="n">
        <v>1570663.2</v>
      </c>
      <c r="H1851" t="n">
        <v>1569148.6</v>
      </c>
      <c r="I1851">
        <f>DAY(EOMONTH(DATE(VALUE(LEFT(E1851,4)),VALUE(RIGHT(E1851,2)),1),0))</f>
        <v/>
      </c>
      <c r="J1851">
        <f>VALUE(LEFT(E1851,4))*12+VALUE(RIGHT(E1851,2))-1</f>
        <v/>
      </c>
    </row>
    <row r="1852">
      <c r="A1852" t="inlineStr">
        <is>
          <t>Diadema</t>
        </is>
      </c>
      <c r="B1852" t="inlineStr">
        <is>
          <t>Golfo San Jorge</t>
        </is>
      </c>
      <c r="C1852" t="inlineStr">
        <is>
          <t>COMPAÑÍAS ASOCIADAS PETROLERAS S.A.</t>
        </is>
      </c>
      <c r="D1852" t="inlineStr">
        <is>
          <t>convencional</t>
        </is>
      </c>
      <c r="E1852" t="inlineStr">
        <is>
          <t>2007-08</t>
        </is>
      </c>
      <c r="F1852" t="n">
        <v>48438.3</v>
      </c>
      <c r="G1852" t="n">
        <v>1597768.3</v>
      </c>
      <c r="H1852" t="n">
        <v>1596820.5</v>
      </c>
      <c r="I1852">
        <f>DAY(EOMONTH(DATE(VALUE(LEFT(E1852,4)),VALUE(RIGHT(E1852,2)),1),0))</f>
        <v/>
      </c>
      <c r="J1852">
        <f>VALUE(LEFT(E1852,4))*12+VALUE(RIGHT(E1852,2))-1</f>
        <v/>
      </c>
    </row>
    <row r="1853">
      <c r="A1853" t="inlineStr">
        <is>
          <t>Diadema</t>
        </is>
      </c>
      <c r="B1853" t="inlineStr">
        <is>
          <t>Golfo San Jorge</t>
        </is>
      </c>
      <c r="C1853" t="inlineStr">
        <is>
          <t>COMPAÑÍAS ASOCIADAS PETROLERAS S.A.</t>
        </is>
      </c>
      <c r="D1853" t="inlineStr">
        <is>
          <t>convencional</t>
        </is>
      </c>
      <c r="E1853" t="inlineStr">
        <is>
          <t>2007-09</t>
        </is>
      </c>
      <c r="F1853" t="n">
        <v>47359</v>
      </c>
      <c r="G1853" t="n">
        <v>1523781</v>
      </c>
      <c r="H1853" t="n">
        <v>1522154.9</v>
      </c>
      <c r="I1853">
        <f>DAY(EOMONTH(DATE(VALUE(LEFT(E1853,4)),VALUE(RIGHT(E1853,2)),1),0))</f>
        <v/>
      </c>
      <c r="J1853">
        <f>VALUE(LEFT(E1853,4))*12+VALUE(RIGHT(E1853,2))-1</f>
        <v/>
      </c>
    </row>
    <row r="1854">
      <c r="A1854" t="inlineStr">
        <is>
          <t>Diadema</t>
        </is>
      </c>
      <c r="B1854" t="inlineStr">
        <is>
          <t>Golfo San Jorge</t>
        </is>
      </c>
      <c r="C1854" t="inlineStr">
        <is>
          <t>COMPAÑÍAS ASOCIADAS PETROLERAS S.A.</t>
        </is>
      </c>
      <c r="D1854" t="inlineStr">
        <is>
          <t>convencional</t>
        </is>
      </c>
      <c r="E1854" t="inlineStr">
        <is>
          <t>2007-10</t>
        </is>
      </c>
      <c r="F1854" t="n">
        <v>48454.7</v>
      </c>
      <c r="G1854" t="n">
        <v>1544977.8</v>
      </c>
      <c r="H1854" t="n">
        <v>1543697</v>
      </c>
      <c r="I1854">
        <f>DAY(EOMONTH(DATE(VALUE(LEFT(E1854,4)),VALUE(RIGHT(E1854,2)),1),0))</f>
        <v/>
      </c>
      <c r="J1854">
        <f>VALUE(LEFT(E1854,4))*12+VALUE(RIGHT(E1854,2))-1</f>
        <v/>
      </c>
    </row>
    <row r="1855">
      <c r="A1855" t="inlineStr">
        <is>
          <t>Diadema</t>
        </is>
      </c>
      <c r="B1855" t="inlineStr">
        <is>
          <t>Golfo San Jorge</t>
        </is>
      </c>
      <c r="C1855" t="inlineStr">
        <is>
          <t>COMPAÑÍAS ASOCIADAS PETROLERAS S.A.</t>
        </is>
      </c>
      <c r="D1855" t="inlineStr">
        <is>
          <t>convencional</t>
        </is>
      </c>
      <c r="E1855" t="inlineStr">
        <is>
          <t>2007-11</t>
        </is>
      </c>
      <c r="F1855" t="n">
        <v>45885.9</v>
      </c>
      <c r="G1855" t="n">
        <v>1438621.1</v>
      </c>
      <c r="H1855" t="n">
        <v>1436387</v>
      </c>
      <c r="I1855">
        <f>DAY(EOMONTH(DATE(VALUE(LEFT(E1855,4)),VALUE(RIGHT(E1855,2)),1),0))</f>
        <v/>
      </c>
      <c r="J1855">
        <f>VALUE(LEFT(E1855,4))*12+VALUE(RIGHT(E1855,2))-1</f>
        <v/>
      </c>
    </row>
    <row r="1856">
      <c r="A1856" t="inlineStr">
        <is>
          <t>Diadema</t>
        </is>
      </c>
      <c r="B1856" t="inlineStr">
        <is>
          <t>Golfo San Jorge</t>
        </is>
      </c>
      <c r="C1856" t="inlineStr">
        <is>
          <t>COMPAÑÍAS ASOCIADAS PETROLERAS S.A.</t>
        </is>
      </c>
      <c r="D1856" t="inlineStr">
        <is>
          <t>convencional</t>
        </is>
      </c>
      <c r="E1856" t="inlineStr">
        <is>
          <t>2007-12</t>
        </is>
      </c>
      <c r="F1856" t="n">
        <v>47694</v>
      </c>
      <c r="G1856" t="n">
        <v>1512457.1</v>
      </c>
      <c r="H1856" t="n">
        <v>1511693</v>
      </c>
      <c r="I1856">
        <f>DAY(EOMONTH(DATE(VALUE(LEFT(E1856,4)),VALUE(RIGHT(E1856,2)),1),0))</f>
        <v/>
      </c>
      <c r="J1856">
        <f>VALUE(LEFT(E1856,4))*12+VALUE(RIGHT(E1856,2))-1</f>
        <v/>
      </c>
    </row>
    <row r="1857">
      <c r="A1857" t="inlineStr">
        <is>
          <t>Diadema</t>
        </is>
      </c>
      <c r="B1857" t="inlineStr">
        <is>
          <t>Golfo San Jorge</t>
        </is>
      </c>
      <c r="C1857" t="inlineStr">
        <is>
          <t>COMPAÑÍAS ASOCIADAS PETROLERAS S.A.</t>
        </is>
      </c>
      <c r="D1857" t="inlineStr">
        <is>
          <t>convencional</t>
        </is>
      </c>
      <c r="E1857" t="inlineStr">
        <is>
          <t>2008-01</t>
        </is>
      </c>
      <c r="F1857" t="n">
        <v>45451</v>
      </c>
      <c r="G1857" t="n">
        <v>1429540.3</v>
      </c>
      <c r="H1857" t="n">
        <v>1427258.2</v>
      </c>
      <c r="I1857">
        <f>DAY(EOMONTH(DATE(VALUE(LEFT(E1857,4)),VALUE(RIGHT(E1857,2)),1),0))</f>
        <v/>
      </c>
      <c r="J1857">
        <f>VALUE(LEFT(E1857,4))*12+VALUE(RIGHT(E1857,2))-1</f>
        <v/>
      </c>
    </row>
    <row r="1858">
      <c r="A1858" t="inlineStr">
        <is>
          <t>Diadema</t>
        </is>
      </c>
      <c r="B1858" t="inlineStr">
        <is>
          <t>Golfo San Jorge</t>
        </is>
      </c>
      <c r="C1858" t="inlineStr">
        <is>
          <t>COMPAÑÍAS ASOCIADAS PETROLERAS S.A.</t>
        </is>
      </c>
      <c r="D1858" t="inlineStr">
        <is>
          <t>convencional</t>
        </is>
      </c>
      <c r="E1858" t="inlineStr">
        <is>
          <t>2008-02</t>
        </is>
      </c>
      <c r="F1858" t="n">
        <v>42791.3</v>
      </c>
      <c r="G1858" t="n">
        <v>1342141.3</v>
      </c>
      <c r="H1858" t="n">
        <v>1340322.8</v>
      </c>
      <c r="I1858">
        <f>DAY(EOMONTH(DATE(VALUE(LEFT(E1858,4)),VALUE(RIGHT(E1858,2)),1),0))</f>
        <v/>
      </c>
      <c r="J1858">
        <f>VALUE(LEFT(E1858,4))*12+VALUE(RIGHT(E1858,2))-1</f>
        <v/>
      </c>
    </row>
    <row r="1859">
      <c r="A1859" t="inlineStr">
        <is>
          <t>Diadema</t>
        </is>
      </c>
      <c r="B1859" t="inlineStr">
        <is>
          <t>Golfo San Jorge</t>
        </is>
      </c>
      <c r="C1859" t="inlineStr">
        <is>
          <t>COMPAÑÍAS ASOCIADAS PETROLERAS S.A.</t>
        </is>
      </c>
      <c r="D1859" t="inlineStr">
        <is>
          <t>convencional</t>
        </is>
      </c>
      <c r="E1859" t="inlineStr">
        <is>
          <t>2008-03</t>
        </is>
      </c>
      <c r="F1859" t="n">
        <v>46649.2</v>
      </c>
      <c r="G1859" t="n">
        <v>1478327.1</v>
      </c>
      <c r="H1859" t="n">
        <v>1476865</v>
      </c>
      <c r="I1859">
        <f>DAY(EOMONTH(DATE(VALUE(LEFT(E1859,4)),VALUE(RIGHT(E1859,2)),1),0))</f>
        <v/>
      </c>
      <c r="J1859">
        <f>VALUE(LEFT(E1859,4))*12+VALUE(RIGHT(E1859,2))-1</f>
        <v/>
      </c>
    </row>
    <row r="1860">
      <c r="A1860" t="inlineStr">
        <is>
          <t>Diadema</t>
        </is>
      </c>
      <c r="B1860" t="inlineStr">
        <is>
          <t>Golfo San Jorge</t>
        </is>
      </c>
      <c r="C1860" t="inlineStr">
        <is>
          <t>COMPAÑÍAS ASOCIADAS PETROLERAS S.A.</t>
        </is>
      </c>
      <c r="D1860" t="inlineStr">
        <is>
          <t>convencional</t>
        </is>
      </c>
      <c r="E1860" t="inlineStr">
        <is>
          <t>2008-04</t>
        </is>
      </c>
      <c r="F1860" t="n">
        <v>44920.3</v>
      </c>
      <c r="G1860" t="n">
        <v>1419451.7</v>
      </c>
      <c r="H1860" t="n">
        <v>1418483.7</v>
      </c>
      <c r="I1860">
        <f>DAY(EOMONTH(DATE(VALUE(LEFT(E1860,4)),VALUE(RIGHT(E1860,2)),1),0))</f>
        <v/>
      </c>
      <c r="J1860">
        <f>VALUE(LEFT(E1860,4))*12+VALUE(RIGHT(E1860,2))-1</f>
        <v/>
      </c>
    </row>
    <row r="1861">
      <c r="A1861" t="inlineStr">
        <is>
          <t>Diadema</t>
        </is>
      </c>
      <c r="B1861" t="inlineStr">
        <is>
          <t>Golfo San Jorge</t>
        </is>
      </c>
      <c r="C1861" t="inlineStr">
        <is>
          <t>COMPAÑÍAS ASOCIADAS PETROLERAS S.A.</t>
        </is>
      </c>
      <c r="D1861" t="inlineStr">
        <is>
          <t>convencional</t>
        </is>
      </c>
      <c r="E1861" t="inlineStr">
        <is>
          <t>2008-05</t>
        </is>
      </c>
      <c r="F1861" t="n">
        <v>45510</v>
      </c>
      <c r="G1861" t="n">
        <v>1457171.3</v>
      </c>
      <c r="H1861" t="n">
        <v>1455583.9</v>
      </c>
      <c r="I1861">
        <f>DAY(EOMONTH(DATE(VALUE(LEFT(E1861,4)),VALUE(RIGHT(E1861,2)),1),0))</f>
        <v/>
      </c>
      <c r="J1861">
        <f>VALUE(LEFT(E1861,4))*12+VALUE(RIGHT(E1861,2))-1</f>
        <v/>
      </c>
    </row>
    <row r="1862">
      <c r="A1862" t="inlineStr">
        <is>
          <t>Diadema</t>
        </is>
      </c>
      <c r="B1862" t="inlineStr">
        <is>
          <t>Golfo San Jorge</t>
        </is>
      </c>
      <c r="C1862" t="inlineStr">
        <is>
          <t>COMPAÑÍAS ASOCIADAS PETROLERAS S.A.</t>
        </is>
      </c>
      <c r="D1862" t="inlineStr">
        <is>
          <t>convencional</t>
        </is>
      </c>
      <c r="E1862" t="inlineStr">
        <is>
          <t>2008-06</t>
        </is>
      </c>
      <c r="F1862" t="n">
        <v>49396.1</v>
      </c>
      <c r="G1862" t="n">
        <v>1422260.2</v>
      </c>
      <c r="H1862" t="n">
        <v>1421637.4</v>
      </c>
      <c r="I1862">
        <f>DAY(EOMONTH(DATE(VALUE(LEFT(E1862,4)),VALUE(RIGHT(E1862,2)),1),0))</f>
        <v/>
      </c>
      <c r="J1862">
        <f>VALUE(LEFT(E1862,4))*12+VALUE(RIGHT(E1862,2))-1</f>
        <v/>
      </c>
    </row>
    <row r="1863">
      <c r="A1863" t="inlineStr">
        <is>
          <t>Diadema</t>
        </is>
      </c>
      <c r="B1863" t="inlineStr">
        <is>
          <t>Golfo San Jorge</t>
        </is>
      </c>
      <c r="C1863" t="inlineStr">
        <is>
          <t>COMPAÑÍAS ASOCIADAS PETROLERAS S.A.</t>
        </is>
      </c>
      <c r="D1863" t="inlineStr">
        <is>
          <t>convencional</t>
        </is>
      </c>
      <c r="E1863" t="inlineStr">
        <is>
          <t>2008-07</t>
        </is>
      </c>
      <c r="F1863" t="n">
        <v>46104.5</v>
      </c>
      <c r="G1863" t="n">
        <v>1438483.9</v>
      </c>
      <c r="H1863" t="n">
        <v>1437910.1</v>
      </c>
      <c r="I1863">
        <f>DAY(EOMONTH(DATE(VALUE(LEFT(E1863,4)),VALUE(RIGHT(E1863,2)),1),0))</f>
        <v/>
      </c>
      <c r="J1863">
        <f>VALUE(LEFT(E1863,4))*12+VALUE(RIGHT(E1863,2))-1</f>
        <v/>
      </c>
    </row>
    <row r="1864">
      <c r="A1864" t="inlineStr">
        <is>
          <t>Diadema</t>
        </is>
      </c>
      <c r="B1864" t="inlineStr">
        <is>
          <t>Golfo San Jorge</t>
        </is>
      </c>
      <c r="C1864" t="inlineStr">
        <is>
          <t>COMPAÑÍAS ASOCIADAS PETROLERAS S.A.</t>
        </is>
      </c>
      <c r="D1864" t="inlineStr">
        <is>
          <t>convencional</t>
        </is>
      </c>
      <c r="E1864" t="inlineStr">
        <is>
          <t>2008-08</t>
        </is>
      </c>
      <c r="F1864" t="n">
        <v>46876.5</v>
      </c>
      <c r="G1864" t="n">
        <v>1424911.5</v>
      </c>
      <c r="H1864" t="n">
        <v>1423691.3</v>
      </c>
      <c r="I1864">
        <f>DAY(EOMONTH(DATE(VALUE(LEFT(E1864,4)),VALUE(RIGHT(E1864,2)),1),0))</f>
        <v/>
      </c>
      <c r="J1864">
        <f>VALUE(LEFT(E1864,4))*12+VALUE(RIGHT(E1864,2))-1</f>
        <v/>
      </c>
    </row>
    <row r="1865">
      <c r="A1865" t="inlineStr">
        <is>
          <t>Diadema</t>
        </is>
      </c>
      <c r="B1865" t="inlineStr">
        <is>
          <t>Golfo San Jorge</t>
        </is>
      </c>
      <c r="C1865" t="inlineStr">
        <is>
          <t>COMPAÑÍAS ASOCIADAS PETROLERAS S.A.</t>
        </is>
      </c>
      <c r="D1865" t="inlineStr">
        <is>
          <t>convencional</t>
        </is>
      </c>
      <c r="E1865" t="inlineStr">
        <is>
          <t>2008-09</t>
        </is>
      </c>
      <c r="F1865" t="n">
        <v>42324.9</v>
      </c>
      <c r="G1865" t="n">
        <v>1367183.3</v>
      </c>
      <c r="H1865" t="n">
        <v>1366693.1</v>
      </c>
      <c r="I1865">
        <f>DAY(EOMONTH(DATE(VALUE(LEFT(E1865,4)),VALUE(RIGHT(E1865,2)),1),0))</f>
        <v/>
      </c>
      <c r="J1865">
        <f>VALUE(LEFT(E1865,4))*12+VALUE(RIGHT(E1865,2))-1</f>
        <v/>
      </c>
    </row>
    <row r="1866">
      <c r="A1866" t="inlineStr">
        <is>
          <t>Diadema</t>
        </is>
      </c>
      <c r="B1866" t="inlineStr">
        <is>
          <t>Golfo San Jorge</t>
        </is>
      </c>
      <c r="C1866" t="inlineStr">
        <is>
          <t>COMPAÑÍAS ASOCIADAS PETROLERAS S.A.</t>
        </is>
      </c>
      <c r="D1866" t="inlineStr">
        <is>
          <t>convencional</t>
        </is>
      </c>
      <c r="E1866" t="inlineStr">
        <is>
          <t>2008-10</t>
        </is>
      </c>
      <c r="F1866" t="n">
        <v>45443.4</v>
      </c>
      <c r="G1866" t="n">
        <v>1413451.1</v>
      </c>
      <c r="H1866" t="n">
        <v>1413158.8</v>
      </c>
      <c r="I1866">
        <f>DAY(EOMONTH(DATE(VALUE(LEFT(E1866,4)),VALUE(RIGHT(E1866,2)),1),0))</f>
        <v/>
      </c>
      <c r="J1866">
        <f>VALUE(LEFT(E1866,4))*12+VALUE(RIGHT(E1866,2))-1</f>
        <v/>
      </c>
    </row>
    <row r="1867">
      <c r="A1867" t="inlineStr">
        <is>
          <t>Diadema</t>
        </is>
      </c>
      <c r="B1867" t="inlineStr">
        <is>
          <t>Golfo San Jorge</t>
        </is>
      </c>
      <c r="C1867" t="inlineStr">
        <is>
          <t>COMPAÑÍAS ASOCIADAS PETROLERAS S.A.</t>
        </is>
      </c>
      <c r="D1867" t="inlineStr">
        <is>
          <t>convencional</t>
        </is>
      </c>
      <c r="E1867" t="inlineStr">
        <is>
          <t>2008-11</t>
        </is>
      </c>
      <c r="F1867" t="n">
        <v>48689.8</v>
      </c>
      <c r="G1867" t="n">
        <v>1361480.1</v>
      </c>
      <c r="H1867" t="n">
        <v>1361483.9</v>
      </c>
      <c r="I1867">
        <f>DAY(EOMONTH(DATE(VALUE(LEFT(E1867,4)),VALUE(RIGHT(E1867,2)),1),0))</f>
        <v/>
      </c>
      <c r="J1867">
        <f>VALUE(LEFT(E1867,4))*12+VALUE(RIGHT(E1867,2))-1</f>
        <v/>
      </c>
    </row>
    <row r="1868">
      <c r="A1868" t="inlineStr">
        <is>
          <t>Diadema</t>
        </is>
      </c>
      <c r="B1868" t="inlineStr">
        <is>
          <t>Golfo San Jorge</t>
        </is>
      </c>
      <c r="C1868" t="inlineStr">
        <is>
          <t>COMPAÑÍAS ASOCIADAS PETROLERAS S.A.</t>
        </is>
      </c>
      <c r="D1868" t="inlineStr">
        <is>
          <t>convencional</t>
        </is>
      </c>
      <c r="E1868" t="inlineStr">
        <is>
          <t>2008-12</t>
        </is>
      </c>
      <c r="F1868" t="n">
        <v>47291.6</v>
      </c>
      <c r="G1868" t="n">
        <v>1433134.7</v>
      </c>
      <c r="H1868" t="n">
        <v>1432202.5</v>
      </c>
      <c r="I1868">
        <f>DAY(EOMONTH(DATE(VALUE(LEFT(E1868,4)),VALUE(RIGHT(E1868,2)),1),0))</f>
        <v/>
      </c>
      <c r="J1868">
        <f>VALUE(LEFT(E1868,4))*12+VALUE(RIGHT(E1868,2))-1</f>
        <v/>
      </c>
    </row>
    <row r="1869">
      <c r="A1869" t="inlineStr">
        <is>
          <t>Diadema</t>
        </is>
      </c>
      <c r="B1869" t="inlineStr">
        <is>
          <t>Golfo San Jorge</t>
        </is>
      </c>
      <c r="C1869" t="inlineStr">
        <is>
          <t>COMPAÑÍAS ASOCIADAS PETROLERAS S.A.</t>
        </is>
      </c>
      <c r="D1869" t="inlineStr">
        <is>
          <t>convencional</t>
        </is>
      </c>
      <c r="E1869" t="inlineStr">
        <is>
          <t>2009-01</t>
        </is>
      </c>
      <c r="F1869" t="n">
        <v>50138.3</v>
      </c>
      <c r="G1869" t="n">
        <v>1478515.4</v>
      </c>
      <c r="H1869" t="n">
        <v>1478264.9</v>
      </c>
      <c r="I1869">
        <f>DAY(EOMONTH(DATE(VALUE(LEFT(E1869,4)),VALUE(RIGHT(E1869,2)),1),0))</f>
        <v/>
      </c>
      <c r="J1869">
        <f>VALUE(LEFT(E1869,4))*12+VALUE(RIGHT(E1869,2))-1</f>
        <v/>
      </c>
    </row>
    <row r="1870">
      <c r="A1870" t="inlineStr">
        <is>
          <t>Diadema</t>
        </is>
      </c>
      <c r="B1870" t="inlineStr">
        <is>
          <t>Golfo San Jorge</t>
        </is>
      </c>
      <c r="C1870" t="inlineStr">
        <is>
          <t>COMPAÑÍAS ASOCIADAS PETROLERAS S.A.</t>
        </is>
      </c>
      <c r="D1870" t="inlineStr">
        <is>
          <t>convencional</t>
        </is>
      </c>
      <c r="E1870" t="inlineStr">
        <is>
          <t>2009-02</t>
        </is>
      </c>
      <c r="F1870" t="n">
        <v>44914</v>
      </c>
      <c r="G1870" t="n">
        <v>1328761.3</v>
      </c>
      <c r="H1870" t="n">
        <v>1328585.2</v>
      </c>
      <c r="I1870">
        <f>DAY(EOMONTH(DATE(VALUE(LEFT(E1870,4)),VALUE(RIGHT(E1870,2)),1),0))</f>
        <v/>
      </c>
      <c r="J1870">
        <f>VALUE(LEFT(E1870,4))*12+VALUE(RIGHT(E1870,2))-1</f>
        <v/>
      </c>
    </row>
    <row r="1871">
      <c r="A1871" t="inlineStr">
        <is>
          <t>Diadema</t>
        </is>
      </c>
      <c r="B1871" t="inlineStr">
        <is>
          <t>Golfo San Jorge</t>
        </is>
      </c>
      <c r="C1871" t="inlineStr">
        <is>
          <t>COMPAÑÍAS ASOCIADAS PETROLERAS S.A.</t>
        </is>
      </c>
      <c r="D1871" t="inlineStr">
        <is>
          <t>convencional</t>
        </is>
      </c>
      <c r="E1871" t="inlineStr">
        <is>
          <t>2009-03</t>
        </is>
      </c>
      <c r="F1871" t="n">
        <v>48826.9</v>
      </c>
      <c r="G1871" t="n">
        <v>1438647.5</v>
      </c>
      <c r="H1871" t="n">
        <v>1438878.9</v>
      </c>
      <c r="I1871">
        <f>DAY(EOMONTH(DATE(VALUE(LEFT(E1871,4)),VALUE(RIGHT(E1871,2)),1),0))</f>
        <v/>
      </c>
      <c r="J1871">
        <f>VALUE(LEFT(E1871,4))*12+VALUE(RIGHT(E1871,2))-1</f>
        <v/>
      </c>
    </row>
    <row r="1872">
      <c r="A1872" t="inlineStr">
        <is>
          <t>Diadema</t>
        </is>
      </c>
      <c r="B1872" t="inlineStr">
        <is>
          <t>Golfo San Jorge</t>
        </is>
      </c>
      <c r="C1872" t="inlineStr">
        <is>
          <t>COMPAÑÍAS ASOCIADAS PETROLERAS S.A.</t>
        </is>
      </c>
      <c r="D1872" t="inlineStr">
        <is>
          <t>convencional</t>
        </is>
      </c>
      <c r="E1872" t="inlineStr">
        <is>
          <t>2009-04</t>
        </is>
      </c>
      <c r="F1872" t="n">
        <v>48013.5</v>
      </c>
      <c r="G1872" t="n">
        <v>1387716</v>
      </c>
      <c r="H1872" t="n">
        <v>1387607.5</v>
      </c>
      <c r="I1872">
        <f>DAY(EOMONTH(DATE(VALUE(LEFT(E1872,4)),VALUE(RIGHT(E1872,2)),1),0))</f>
        <v/>
      </c>
      <c r="J1872">
        <f>VALUE(LEFT(E1872,4))*12+VALUE(RIGHT(E1872,2))-1</f>
        <v/>
      </c>
    </row>
    <row r="1873">
      <c r="A1873" t="inlineStr">
        <is>
          <t>Diadema</t>
        </is>
      </c>
      <c r="B1873" t="inlineStr">
        <is>
          <t>Golfo San Jorge</t>
        </is>
      </c>
      <c r="C1873" t="inlineStr">
        <is>
          <t>COMPAÑÍAS ASOCIADAS PETROLERAS S.A.</t>
        </is>
      </c>
      <c r="D1873" t="inlineStr">
        <is>
          <t>convencional</t>
        </is>
      </c>
      <c r="E1873" t="inlineStr">
        <is>
          <t>2009-05</t>
        </is>
      </c>
      <c r="F1873" t="n">
        <v>52245.4</v>
      </c>
      <c r="G1873" t="n">
        <v>1434551.9</v>
      </c>
      <c r="H1873" t="n">
        <v>1433856.2</v>
      </c>
      <c r="I1873">
        <f>DAY(EOMONTH(DATE(VALUE(LEFT(E1873,4)),VALUE(RIGHT(E1873,2)),1),0))</f>
        <v/>
      </c>
      <c r="J1873">
        <f>VALUE(LEFT(E1873,4))*12+VALUE(RIGHT(E1873,2))-1</f>
        <v/>
      </c>
    </row>
    <row r="1874">
      <c r="A1874" t="inlineStr">
        <is>
          <t>Diadema</t>
        </is>
      </c>
      <c r="B1874" t="inlineStr">
        <is>
          <t>Golfo San Jorge</t>
        </is>
      </c>
      <c r="C1874" t="inlineStr">
        <is>
          <t>COMPAÑÍAS ASOCIADAS PETROLERAS S.A.</t>
        </is>
      </c>
      <c r="D1874" t="inlineStr">
        <is>
          <t>convencional</t>
        </is>
      </c>
      <c r="E1874" t="inlineStr">
        <is>
          <t>2009-06</t>
        </is>
      </c>
      <c r="F1874" t="n">
        <v>50500.1</v>
      </c>
      <c r="G1874" t="n">
        <v>1382953</v>
      </c>
      <c r="H1874" t="n">
        <v>1379869.6</v>
      </c>
      <c r="I1874">
        <f>DAY(EOMONTH(DATE(VALUE(LEFT(E1874,4)),VALUE(RIGHT(E1874,2)),1),0))</f>
        <v/>
      </c>
      <c r="J1874">
        <f>VALUE(LEFT(E1874,4))*12+VALUE(RIGHT(E1874,2))-1</f>
        <v/>
      </c>
    </row>
    <row r="1875">
      <c r="A1875" t="inlineStr">
        <is>
          <t>Diadema</t>
        </is>
      </c>
      <c r="B1875" t="inlineStr">
        <is>
          <t>Golfo San Jorge</t>
        </is>
      </c>
      <c r="C1875" t="inlineStr">
        <is>
          <t>COMPAÑÍAS ASOCIADAS PETROLERAS S.A.</t>
        </is>
      </c>
      <c r="D1875" t="inlineStr">
        <is>
          <t>convencional</t>
        </is>
      </c>
      <c r="E1875" t="inlineStr">
        <is>
          <t>2009-07</t>
        </is>
      </c>
      <c r="F1875" t="n">
        <v>49436.9</v>
      </c>
      <c r="G1875" t="n">
        <v>1436773.5</v>
      </c>
      <c r="H1875" t="n">
        <v>1435847.7</v>
      </c>
      <c r="I1875">
        <f>DAY(EOMONTH(DATE(VALUE(LEFT(E1875,4)),VALUE(RIGHT(E1875,2)),1),0))</f>
        <v/>
      </c>
      <c r="J1875">
        <f>VALUE(LEFT(E1875,4))*12+VALUE(RIGHT(E1875,2))-1</f>
        <v/>
      </c>
    </row>
    <row r="1876">
      <c r="A1876" t="inlineStr">
        <is>
          <t>Diadema</t>
        </is>
      </c>
      <c r="B1876" t="inlineStr">
        <is>
          <t>Golfo San Jorge</t>
        </is>
      </c>
      <c r="C1876" t="inlineStr">
        <is>
          <t>COMPAÑÍAS ASOCIADAS PETROLERAS S.A.</t>
        </is>
      </c>
      <c r="D1876" t="inlineStr">
        <is>
          <t>convencional</t>
        </is>
      </c>
      <c r="E1876" t="inlineStr">
        <is>
          <t>2009-08</t>
        </is>
      </c>
      <c r="F1876" t="n">
        <v>48288.7</v>
      </c>
      <c r="G1876" t="n">
        <v>1422247.8</v>
      </c>
      <c r="H1876" t="n">
        <v>1421116.6</v>
      </c>
      <c r="I1876">
        <f>DAY(EOMONTH(DATE(VALUE(LEFT(E1876,4)),VALUE(RIGHT(E1876,2)),1),0))</f>
        <v/>
      </c>
      <c r="J1876">
        <f>VALUE(LEFT(E1876,4))*12+VALUE(RIGHT(E1876,2))-1</f>
        <v/>
      </c>
    </row>
    <row r="1877">
      <c r="A1877" t="inlineStr">
        <is>
          <t>Diadema</t>
        </is>
      </c>
      <c r="B1877" t="inlineStr">
        <is>
          <t>Golfo San Jorge</t>
        </is>
      </c>
      <c r="C1877" t="inlineStr">
        <is>
          <t>COMPAÑÍAS ASOCIADAS PETROLERAS S.A.</t>
        </is>
      </c>
      <c r="D1877" t="inlineStr">
        <is>
          <t>convencional</t>
        </is>
      </c>
      <c r="E1877" t="inlineStr">
        <is>
          <t>2009-09</t>
        </is>
      </c>
      <c r="F1877" t="n">
        <v>48996.1</v>
      </c>
      <c r="G1877" t="n">
        <v>1395285.5</v>
      </c>
      <c r="H1877" t="n">
        <v>1394725.1</v>
      </c>
      <c r="I1877">
        <f>DAY(EOMONTH(DATE(VALUE(LEFT(E1877,4)),VALUE(RIGHT(E1877,2)),1),0))</f>
        <v/>
      </c>
      <c r="J1877">
        <f>VALUE(LEFT(E1877,4))*12+VALUE(RIGHT(E1877,2))-1</f>
        <v/>
      </c>
    </row>
    <row r="1878">
      <c r="A1878" t="inlineStr">
        <is>
          <t>Diadema</t>
        </is>
      </c>
      <c r="B1878" t="inlineStr">
        <is>
          <t>Golfo San Jorge</t>
        </is>
      </c>
      <c r="C1878" t="inlineStr">
        <is>
          <t>COMPAÑÍAS ASOCIADAS PETROLERAS S.A.</t>
        </is>
      </c>
      <c r="D1878" t="inlineStr">
        <is>
          <t>convencional</t>
        </is>
      </c>
      <c r="E1878" t="inlineStr">
        <is>
          <t>2009-10</t>
        </is>
      </c>
      <c r="F1878" t="n">
        <v>51350.3</v>
      </c>
      <c r="G1878" t="n">
        <v>1420057</v>
      </c>
      <c r="H1878" t="n">
        <v>1419811</v>
      </c>
      <c r="I1878">
        <f>DAY(EOMONTH(DATE(VALUE(LEFT(E1878,4)),VALUE(RIGHT(E1878,2)),1),0))</f>
        <v/>
      </c>
      <c r="J1878">
        <f>VALUE(LEFT(E1878,4))*12+VALUE(RIGHT(E1878,2))-1</f>
        <v/>
      </c>
    </row>
    <row r="1879">
      <c r="A1879" t="inlineStr">
        <is>
          <t>Diadema</t>
        </is>
      </c>
      <c r="B1879" t="inlineStr">
        <is>
          <t>Golfo San Jorge</t>
        </is>
      </c>
      <c r="C1879" t="inlineStr">
        <is>
          <t>COMPAÑÍAS ASOCIADAS PETROLERAS S.A.</t>
        </is>
      </c>
      <c r="D1879" t="inlineStr">
        <is>
          <t>convencional</t>
        </is>
      </c>
      <c r="E1879" t="inlineStr">
        <is>
          <t>2009-11</t>
        </is>
      </c>
      <c r="F1879" t="n">
        <v>48465.8</v>
      </c>
      <c r="G1879" t="n">
        <v>1338885.1</v>
      </c>
      <c r="H1879" t="n">
        <v>1338441.1</v>
      </c>
      <c r="I1879">
        <f>DAY(EOMONTH(DATE(VALUE(LEFT(E1879,4)),VALUE(RIGHT(E1879,2)),1),0))</f>
        <v/>
      </c>
      <c r="J1879">
        <f>VALUE(LEFT(E1879,4))*12+VALUE(RIGHT(E1879,2))-1</f>
        <v/>
      </c>
    </row>
    <row r="1880">
      <c r="A1880" t="inlineStr">
        <is>
          <t>Diadema</t>
        </is>
      </c>
      <c r="B1880" t="inlineStr">
        <is>
          <t>Golfo San Jorge</t>
        </is>
      </c>
      <c r="C1880" t="inlineStr">
        <is>
          <t>COMPAÑÍAS ASOCIADAS PETROLERAS S.A.</t>
        </is>
      </c>
      <c r="D1880" t="inlineStr">
        <is>
          <t>convencional</t>
        </is>
      </c>
      <c r="E1880" t="inlineStr">
        <is>
          <t>2009-12</t>
        </is>
      </c>
      <c r="F1880" t="n">
        <v>49222.9</v>
      </c>
      <c r="G1880" t="n">
        <v>1371355.9</v>
      </c>
      <c r="H1880" t="n">
        <v>1370319</v>
      </c>
      <c r="I1880">
        <f>DAY(EOMONTH(DATE(VALUE(LEFT(E1880,4)),VALUE(RIGHT(E1880,2)),1),0))</f>
        <v/>
      </c>
      <c r="J1880">
        <f>VALUE(LEFT(E1880,4))*12+VALUE(RIGHT(E1880,2))-1</f>
        <v/>
      </c>
    </row>
    <row r="1881">
      <c r="A1881" t="inlineStr">
        <is>
          <t>Diadema</t>
        </is>
      </c>
      <c r="B1881" t="inlineStr">
        <is>
          <t>Golfo San Jorge</t>
        </is>
      </c>
      <c r="C1881" t="inlineStr">
        <is>
          <t>COMPAÑÍAS ASOCIADAS PETROLERAS S.A.</t>
        </is>
      </c>
      <c r="D1881" t="inlineStr">
        <is>
          <t>convencional</t>
        </is>
      </c>
      <c r="E1881" t="inlineStr">
        <is>
          <t>2010-01</t>
        </is>
      </c>
      <c r="F1881" t="n">
        <v>48637.7</v>
      </c>
      <c r="G1881" t="n">
        <v>1379938.6</v>
      </c>
      <c r="H1881" t="n">
        <v>1378907</v>
      </c>
      <c r="I1881">
        <f>DAY(EOMONTH(DATE(VALUE(LEFT(E1881,4)),VALUE(RIGHT(E1881,2)),1),0))</f>
        <v/>
      </c>
      <c r="J1881">
        <f>VALUE(LEFT(E1881,4))*12+VALUE(RIGHT(E1881,2))-1</f>
        <v/>
      </c>
    </row>
    <row r="1882">
      <c r="A1882" t="inlineStr">
        <is>
          <t>Diadema</t>
        </is>
      </c>
      <c r="B1882" t="inlineStr">
        <is>
          <t>Golfo San Jorge</t>
        </is>
      </c>
      <c r="C1882" t="inlineStr">
        <is>
          <t>COMPAÑÍAS ASOCIADAS PETROLERAS S.A.</t>
        </is>
      </c>
      <c r="D1882" t="inlineStr">
        <is>
          <t>convencional</t>
        </is>
      </c>
      <c r="E1882" t="inlineStr">
        <is>
          <t>2010-02</t>
        </is>
      </c>
      <c r="F1882" t="n">
        <v>43576.7</v>
      </c>
      <c r="G1882" t="n">
        <v>1253992.4</v>
      </c>
      <c r="H1882" t="n">
        <v>1253089.4</v>
      </c>
      <c r="I1882">
        <f>DAY(EOMONTH(DATE(VALUE(LEFT(E1882,4)),VALUE(RIGHT(E1882,2)),1),0))</f>
        <v/>
      </c>
      <c r="J1882">
        <f>VALUE(LEFT(E1882,4))*12+VALUE(RIGHT(E1882,2))-1</f>
        <v/>
      </c>
    </row>
    <row r="1883">
      <c r="A1883" t="inlineStr">
        <is>
          <t>Diadema</t>
        </is>
      </c>
      <c r="B1883" t="inlineStr">
        <is>
          <t>Golfo San Jorge</t>
        </is>
      </c>
      <c r="C1883" t="inlineStr">
        <is>
          <t>COMPAÑÍAS ASOCIADAS PETROLERAS S.A.</t>
        </is>
      </c>
      <c r="D1883" t="inlineStr">
        <is>
          <t>convencional</t>
        </is>
      </c>
      <c r="E1883" t="inlineStr">
        <is>
          <t>2010-03</t>
        </is>
      </c>
      <c r="F1883" t="n">
        <v>47933.8</v>
      </c>
      <c r="G1883" t="n">
        <v>1396930.1</v>
      </c>
      <c r="H1883" t="n">
        <v>1396796.3</v>
      </c>
      <c r="I1883">
        <f>DAY(EOMONTH(DATE(VALUE(LEFT(E1883,4)),VALUE(RIGHT(E1883,2)),1),0))</f>
        <v/>
      </c>
      <c r="J1883">
        <f>VALUE(LEFT(E1883,4))*12+VALUE(RIGHT(E1883,2))-1</f>
        <v/>
      </c>
    </row>
    <row r="1884">
      <c r="A1884" t="inlineStr">
        <is>
          <t>Diadema</t>
        </is>
      </c>
      <c r="B1884" t="inlineStr">
        <is>
          <t>Golfo San Jorge</t>
        </is>
      </c>
      <c r="C1884" t="inlineStr">
        <is>
          <t>COMPAÑÍAS ASOCIADAS PETROLERAS S.A.</t>
        </is>
      </c>
      <c r="D1884" t="inlineStr">
        <is>
          <t>convencional</t>
        </is>
      </c>
      <c r="E1884" t="inlineStr">
        <is>
          <t>2010-04</t>
        </is>
      </c>
      <c r="F1884" t="n">
        <v>48560.8</v>
      </c>
      <c r="G1884" t="n">
        <v>1338076.4</v>
      </c>
      <c r="H1884" t="n">
        <v>1337672.4</v>
      </c>
      <c r="I1884">
        <f>DAY(EOMONTH(DATE(VALUE(LEFT(E1884,4)),VALUE(RIGHT(E1884,2)),1),0))</f>
        <v/>
      </c>
      <c r="J1884">
        <f>VALUE(LEFT(E1884,4))*12+VALUE(RIGHT(E1884,2))-1</f>
        <v/>
      </c>
    </row>
    <row r="1885">
      <c r="A1885" t="inlineStr">
        <is>
          <t>Diadema</t>
        </is>
      </c>
      <c r="B1885" t="inlineStr">
        <is>
          <t>Golfo San Jorge</t>
        </is>
      </c>
      <c r="C1885" t="inlineStr">
        <is>
          <t>COMPAÑÍAS ASOCIADAS PETROLERAS S.A.</t>
        </is>
      </c>
      <c r="D1885" t="inlineStr">
        <is>
          <t>convencional</t>
        </is>
      </c>
      <c r="E1885" t="inlineStr">
        <is>
          <t>2010-05</t>
        </is>
      </c>
      <c r="F1885" t="n">
        <v>48017.8</v>
      </c>
      <c r="G1885" t="n">
        <v>1365311.5</v>
      </c>
      <c r="H1885" t="n">
        <v>1364767.7</v>
      </c>
      <c r="I1885">
        <f>DAY(EOMONTH(DATE(VALUE(LEFT(E1885,4)),VALUE(RIGHT(E1885,2)),1),0))</f>
        <v/>
      </c>
      <c r="J1885">
        <f>VALUE(LEFT(E1885,4))*12+VALUE(RIGHT(E1885,2))-1</f>
        <v/>
      </c>
    </row>
    <row r="1886">
      <c r="A1886" t="inlineStr">
        <is>
          <t>Diadema</t>
        </is>
      </c>
      <c r="B1886" t="inlineStr">
        <is>
          <t>Golfo San Jorge</t>
        </is>
      </c>
      <c r="C1886" t="inlineStr">
        <is>
          <t>COMPAÑÍAS ASOCIADAS PETROLERAS S.A.</t>
        </is>
      </c>
      <c r="D1886" t="inlineStr">
        <is>
          <t>convencional</t>
        </is>
      </c>
      <c r="E1886" t="inlineStr">
        <is>
          <t>2010-06</t>
        </is>
      </c>
      <c r="F1886" t="n">
        <v>45657.7</v>
      </c>
      <c r="G1886" t="n">
        <v>1267220.6</v>
      </c>
      <c r="H1886" t="n">
        <v>1266577</v>
      </c>
      <c r="I1886">
        <f>DAY(EOMONTH(DATE(VALUE(LEFT(E1886,4)),VALUE(RIGHT(E1886,2)),1),0))</f>
        <v/>
      </c>
      <c r="J1886">
        <f>VALUE(LEFT(E1886,4))*12+VALUE(RIGHT(E1886,2))-1</f>
        <v/>
      </c>
    </row>
    <row r="1887">
      <c r="A1887" t="inlineStr">
        <is>
          <t>Diadema</t>
        </is>
      </c>
      <c r="B1887" t="inlineStr">
        <is>
          <t>Golfo San Jorge</t>
        </is>
      </c>
      <c r="C1887" t="inlineStr">
        <is>
          <t>COMPAÑÍAS ASOCIADAS PETROLERAS S.A.</t>
        </is>
      </c>
      <c r="D1887" t="inlineStr">
        <is>
          <t>convencional</t>
        </is>
      </c>
      <c r="E1887" t="inlineStr">
        <is>
          <t>2010-07</t>
        </is>
      </c>
      <c r="F1887" t="n">
        <v>51060.1</v>
      </c>
      <c r="G1887" t="n">
        <v>1326658.7</v>
      </c>
      <c r="H1887" t="n">
        <v>1326505.1</v>
      </c>
      <c r="I1887">
        <f>DAY(EOMONTH(DATE(VALUE(LEFT(E1887,4)),VALUE(RIGHT(E1887,2)),1),0))</f>
        <v/>
      </c>
      <c r="J1887">
        <f>VALUE(LEFT(E1887,4))*12+VALUE(RIGHT(E1887,2))-1</f>
        <v/>
      </c>
    </row>
    <row r="1888">
      <c r="A1888" t="inlineStr">
        <is>
          <t>Diadema</t>
        </is>
      </c>
      <c r="B1888" t="inlineStr">
        <is>
          <t>Golfo San Jorge</t>
        </is>
      </c>
      <c r="C1888" t="inlineStr">
        <is>
          <t>COMPAÑÍAS ASOCIADAS PETROLERAS S.A.</t>
        </is>
      </c>
      <c r="D1888" t="inlineStr">
        <is>
          <t>convencional</t>
        </is>
      </c>
      <c r="E1888" t="inlineStr">
        <is>
          <t>2010-08</t>
        </is>
      </c>
      <c r="F1888" t="n">
        <v>50365.5</v>
      </c>
      <c r="G1888" t="n">
        <v>1330062.4</v>
      </c>
      <c r="H1888" t="n">
        <v>1329591.9</v>
      </c>
      <c r="I1888">
        <f>DAY(EOMONTH(DATE(VALUE(LEFT(E1888,4)),VALUE(RIGHT(E1888,2)),1),0))</f>
        <v/>
      </c>
      <c r="J1888">
        <f>VALUE(LEFT(E1888,4))*12+VALUE(RIGHT(E1888,2))-1</f>
        <v/>
      </c>
    </row>
    <row r="1889">
      <c r="A1889" t="inlineStr">
        <is>
          <t>Diadema</t>
        </is>
      </c>
      <c r="B1889" t="inlineStr">
        <is>
          <t>Golfo San Jorge</t>
        </is>
      </c>
      <c r="C1889" t="inlineStr">
        <is>
          <t>COMPAÑÍAS ASOCIADAS PETROLERAS S.A.</t>
        </is>
      </c>
      <c r="D1889" t="inlineStr">
        <is>
          <t>convencional</t>
        </is>
      </c>
      <c r="E1889" t="inlineStr">
        <is>
          <t>2010-09</t>
        </is>
      </c>
      <c r="F1889" t="n">
        <v>48803.8</v>
      </c>
      <c r="G1889" t="n">
        <v>1266098.8</v>
      </c>
      <c r="H1889" t="n">
        <v>1266011.8</v>
      </c>
      <c r="I1889">
        <f>DAY(EOMONTH(DATE(VALUE(LEFT(E1889,4)),VALUE(RIGHT(E1889,2)),1),0))</f>
        <v/>
      </c>
      <c r="J1889">
        <f>VALUE(LEFT(E1889,4))*12+VALUE(RIGHT(E1889,2))-1</f>
        <v/>
      </c>
    </row>
    <row r="1890">
      <c r="A1890" t="inlineStr">
        <is>
          <t>Diadema</t>
        </is>
      </c>
      <c r="B1890" t="inlineStr">
        <is>
          <t>Golfo San Jorge</t>
        </is>
      </c>
      <c r="C1890" t="inlineStr">
        <is>
          <t>COMPAÑÍAS ASOCIADAS PETROLERAS S.A.</t>
        </is>
      </c>
      <c r="D1890" t="inlineStr">
        <is>
          <t>convencional</t>
        </is>
      </c>
      <c r="E1890" t="inlineStr">
        <is>
          <t>2010-10</t>
        </is>
      </c>
      <c r="F1890" t="n">
        <v>52577.7</v>
      </c>
      <c r="G1890" t="n">
        <v>1337671.1</v>
      </c>
      <c r="H1890" t="n">
        <v>1337247.1</v>
      </c>
      <c r="I1890">
        <f>DAY(EOMONTH(DATE(VALUE(LEFT(E1890,4)),VALUE(RIGHT(E1890,2)),1),0))</f>
        <v/>
      </c>
      <c r="J1890">
        <f>VALUE(LEFT(E1890,4))*12+VALUE(RIGHT(E1890,2))-1</f>
        <v/>
      </c>
    </row>
    <row r="1891">
      <c r="A1891" t="inlineStr">
        <is>
          <t>Diadema</t>
        </is>
      </c>
      <c r="B1891" t="inlineStr">
        <is>
          <t>Golfo San Jorge</t>
        </is>
      </c>
      <c r="C1891" t="inlineStr">
        <is>
          <t>COMPAÑÍAS ASOCIADAS PETROLERAS S.A.</t>
        </is>
      </c>
      <c r="D1891" t="inlineStr">
        <is>
          <t>convencional</t>
        </is>
      </c>
      <c r="E1891" t="inlineStr">
        <is>
          <t>2010-11</t>
        </is>
      </c>
      <c r="F1891" t="n">
        <v>52382.3</v>
      </c>
      <c r="G1891" t="n">
        <v>1319254.3</v>
      </c>
      <c r="H1891" t="n">
        <v>1318658.8</v>
      </c>
      <c r="I1891">
        <f>DAY(EOMONTH(DATE(VALUE(LEFT(E1891,4)),VALUE(RIGHT(E1891,2)),1),0))</f>
        <v/>
      </c>
      <c r="J1891">
        <f>VALUE(LEFT(E1891,4))*12+VALUE(RIGHT(E1891,2))-1</f>
        <v/>
      </c>
    </row>
    <row r="1892">
      <c r="A1892" t="inlineStr">
        <is>
          <t>Diadema</t>
        </is>
      </c>
      <c r="B1892" t="inlineStr">
        <is>
          <t>Golfo San Jorge</t>
        </is>
      </c>
      <c r="C1892" t="inlineStr">
        <is>
          <t>COMPAÑÍAS ASOCIADAS PETROLERAS S.A.</t>
        </is>
      </c>
      <c r="D1892" t="inlineStr">
        <is>
          <t>convencional</t>
        </is>
      </c>
      <c r="E1892" t="inlineStr">
        <is>
          <t>2010-12</t>
        </is>
      </c>
      <c r="F1892" t="n">
        <v>51114.7</v>
      </c>
      <c r="G1892" t="n">
        <v>1328446.4</v>
      </c>
      <c r="H1892" t="n">
        <v>1327993.2</v>
      </c>
      <c r="I1892">
        <f>DAY(EOMONTH(DATE(VALUE(LEFT(E1892,4)),VALUE(RIGHT(E1892,2)),1),0))</f>
        <v/>
      </c>
      <c r="J1892">
        <f>VALUE(LEFT(E1892,4))*12+VALUE(RIGHT(E1892,2))-1</f>
        <v/>
      </c>
    </row>
    <row r="1893">
      <c r="A1893" t="inlineStr">
        <is>
          <t>Diadema</t>
        </is>
      </c>
      <c r="B1893" t="inlineStr">
        <is>
          <t>Golfo San Jorge</t>
        </is>
      </c>
      <c r="C1893" t="inlineStr">
        <is>
          <t>COMPAÑÍAS ASOCIADAS PETROLERAS S.A.</t>
        </is>
      </c>
      <c r="D1893" t="inlineStr">
        <is>
          <t>convencional</t>
        </is>
      </c>
      <c r="E1893" t="inlineStr">
        <is>
          <t>2011-01</t>
        </is>
      </c>
      <c r="F1893" t="n">
        <v>52087.3</v>
      </c>
      <c r="G1893" t="n">
        <v>1325810</v>
      </c>
      <c r="H1893" t="n">
        <v>1325054.1</v>
      </c>
      <c r="I1893">
        <f>DAY(EOMONTH(DATE(VALUE(LEFT(E1893,4)),VALUE(RIGHT(E1893,2)),1),0))</f>
        <v/>
      </c>
      <c r="J1893">
        <f>VALUE(LEFT(E1893,4))*12+VALUE(RIGHT(E1893,2))-1</f>
        <v/>
      </c>
    </row>
    <row r="1894">
      <c r="A1894" t="inlineStr">
        <is>
          <t>Diadema</t>
        </is>
      </c>
      <c r="B1894" t="inlineStr">
        <is>
          <t>Golfo San Jorge</t>
        </is>
      </c>
      <c r="C1894" t="inlineStr">
        <is>
          <t>COMPAÑÍAS ASOCIADAS PETROLERAS S.A.</t>
        </is>
      </c>
      <c r="D1894" t="inlineStr">
        <is>
          <t>convencional</t>
        </is>
      </c>
      <c r="E1894" t="inlineStr">
        <is>
          <t>2011-02</t>
        </is>
      </c>
      <c r="F1894" t="n">
        <v>46777.6</v>
      </c>
      <c r="G1894" t="n">
        <v>1182572.1</v>
      </c>
      <c r="H1894" t="n">
        <v>1182145.3</v>
      </c>
      <c r="I1894">
        <f>DAY(EOMONTH(DATE(VALUE(LEFT(E1894,4)),VALUE(RIGHT(E1894,2)),1),0))</f>
        <v/>
      </c>
      <c r="J1894">
        <f>VALUE(LEFT(E1894,4))*12+VALUE(RIGHT(E1894,2))-1</f>
        <v/>
      </c>
    </row>
    <row r="1895">
      <c r="A1895" t="inlineStr">
        <is>
          <t>Diadema</t>
        </is>
      </c>
      <c r="B1895" t="inlineStr">
        <is>
          <t>Golfo San Jorge</t>
        </is>
      </c>
      <c r="C1895" t="inlineStr">
        <is>
          <t>COMPAÑÍAS ASOCIADAS PETROLERAS S.A.</t>
        </is>
      </c>
      <c r="D1895" t="inlineStr">
        <is>
          <t>convencional</t>
        </is>
      </c>
      <c r="E1895" t="inlineStr">
        <is>
          <t>2011-03</t>
        </is>
      </c>
      <c r="F1895" t="n">
        <v>52844.1</v>
      </c>
      <c r="G1895" t="n">
        <v>1341169</v>
      </c>
      <c r="H1895" t="n">
        <v>1340642.5</v>
      </c>
      <c r="I1895">
        <f>DAY(EOMONTH(DATE(VALUE(LEFT(E1895,4)),VALUE(RIGHT(E1895,2)),1),0))</f>
        <v/>
      </c>
      <c r="J1895">
        <f>VALUE(LEFT(E1895,4))*12+VALUE(RIGHT(E1895,2))-1</f>
        <v/>
      </c>
    </row>
    <row r="1896">
      <c r="A1896" t="inlineStr">
        <is>
          <t>Diadema</t>
        </is>
      </c>
      <c r="B1896" t="inlineStr">
        <is>
          <t>Golfo San Jorge</t>
        </is>
      </c>
      <c r="C1896" t="inlineStr">
        <is>
          <t>COMPAÑÍAS ASOCIADAS PETROLERAS S.A.</t>
        </is>
      </c>
      <c r="D1896" t="inlineStr">
        <is>
          <t>convencional</t>
        </is>
      </c>
      <c r="E1896" t="inlineStr">
        <is>
          <t>2011-04</t>
        </is>
      </c>
      <c r="F1896" t="n">
        <v>52190.8</v>
      </c>
      <c r="G1896" t="n">
        <v>1286545.7</v>
      </c>
      <c r="H1896" t="n">
        <v>1286395.9</v>
      </c>
      <c r="I1896">
        <f>DAY(EOMONTH(DATE(VALUE(LEFT(E1896,4)),VALUE(RIGHT(E1896,2)),1),0))</f>
        <v/>
      </c>
      <c r="J1896">
        <f>VALUE(LEFT(E1896,4))*12+VALUE(RIGHT(E1896,2))-1</f>
        <v/>
      </c>
    </row>
    <row r="1897">
      <c r="A1897" t="inlineStr">
        <is>
          <t>Diadema</t>
        </is>
      </c>
      <c r="B1897" t="inlineStr">
        <is>
          <t>Golfo San Jorge</t>
        </is>
      </c>
      <c r="C1897" t="inlineStr">
        <is>
          <t>COMPAÑÍAS ASOCIADAS PETROLERAS S.A.</t>
        </is>
      </c>
      <c r="D1897" t="inlineStr">
        <is>
          <t>convencional</t>
        </is>
      </c>
      <c r="E1897" t="inlineStr">
        <is>
          <t>2011-05</t>
        </is>
      </c>
      <c r="F1897" t="n">
        <v>52927</v>
      </c>
      <c r="G1897" t="n">
        <v>1320030.1</v>
      </c>
      <c r="H1897" t="n">
        <v>1319722.7</v>
      </c>
      <c r="I1897">
        <f>DAY(EOMONTH(DATE(VALUE(LEFT(E1897,4)),VALUE(RIGHT(E1897,2)),1),0))</f>
        <v/>
      </c>
      <c r="J1897">
        <f>VALUE(LEFT(E1897,4))*12+VALUE(RIGHT(E1897,2))-1</f>
        <v/>
      </c>
    </row>
    <row r="1898">
      <c r="A1898" t="inlineStr">
        <is>
          <t>Diadema</t>
        </is>
      </c>
      <c r="B1898" t="inlineStr">
        <is>
          <t>Golfo San Jorge</t>
        </is>
      </c>
      <c r="C1898" t="inlineStr">
        <is>
          <t>COMPAÑÍAS ASOCIADAS PETROLERAS S.A.</t>
        </is>
      </c>
      <c r="D1898" t="inlineStr">
        <is>
          <t>convencional</t>
        </is>
      </c>
      <c r="E1898" t="inlineStr">
        <is>
          <t>2011-06</t>
        </is>
      </c>
      <c r="F1898" t="n">
        <v>48620.3</v>
      </c>
      <c r="G1898" t="n">
        <v>1268551.9</v>
      </c>
      <c r="H1898" t="n">
        <v>1268330.7</v>
      </c>
      <c r="I1898">
        <f>DAY(EOMONTH(DATE(VALUE(LEFT(E1898,4)),VALUE(RIGHT(E1898,2)),1),0))</f>
        <v/>
      </c>
      <c r="J1898">
        <f>VALUE(LEFT(E1898,4))*12+VALUE(RIGHT(E1898,2))-1</f>
        <v/>
      </c>
    </row>
    <row r="1899">
      <c r="A1899" t="inlineStr">
        <is>
          <t>Diadema</t>
        </is>
      </c>
      <c r="B1899" t="inlineStr">
        <is>
          <t>Golfo San Jorge</t>
        </is>
      </c>
      <c r="C1899" t="inlineStr">
        <is>
          <t>COMPAÑÍAS ASOCIADAS PETROLERAS S.A.</t>
        </is>
      </c>
      <c r="D1899" t="inlineStr">
        <is>
          <t>convencional</t>
        </is>
      </c>
      <c r="E1899" t="inlineStr">
        <is>
          <t>2011-07</t>
        </is>
      </c>
      <c r="F1899" t="n">
        <v>49898.3</v>
      </c>
      <c r="G1899" t="n">
        <v>1302577.6</v>
      </c>
      <c r="H1899" t="n">
        <v>1302473.7</v>
      </c>
      <c r="I1899">
        <f>DAY(EOMONTH(DATE(VALUE(LEFT(E1899,4)),VALUE(RIGHT(E1899,2)),1),0))</f>
        <v/>
      </c>
      <c r="J1899">
        <f>VALUE(LEFT(E1899,4))*12+VALUE(RIGHT(E1899,2))-1</f>
        <v/>
      </c>
    </row>
    <row r="1900">
      <c r="A1900" t="inlineStr">
        <is>
          <t>Diadema</t>
        </is>
      </c>
      <c r="B1900" t="inlineStr">
        <is>
          <t>Golfo San Jorge</t>
        </is>
      </c>
      <c r="C1900" t="inlineStr">
        <is>
          <t>COMPAÑÍAS ASOCIADAS PETROLERAS S.A.</t>
        </is>
      </c>
      <c r="D1900" t="inlineStr">
        <is>
          <t>convencional</t>
        </is>
      </c>
      <c r="E1900" t="inlineStr">
        <is>
          <t>2011-08</t>
        </is>
      </c>
      <c r="F1900" t="n">
        <v>52482.6</v>
      </c>
      <c r="G1900" t="n">
        <v>1290115</v>
      </c>
      <c r="H1900" t="n">
        <v>1290399.9</v>
      </c>
      <c r="I1900">
        <f>DAY(EOMONTH(DATE(VALUE(LEFT(E1900,4)),VALUE(RIGHT(E1900,2)),1),0))</f>
        <v/>
      </c>
      <c r="J1900">
        <f>VALUE(LEFT(E1900,4))*12+VALUE(RIGHT(E1900,2))-1</f>
        <v/>
      </c>
    </row>
    <row r="1901">
      <c r="A1901" t="inlineStr">
        <is>
          <t>Diadema</t>
        </is>
      </c>
      <c r="B1901" t="inlineStr">
        <is>
          <t>Golfo San Jorge</t>
        </is>
      </c>
      <c r="C1901" t="inlineStr">
        <is>
          <t>COMPAÑÍAS ASOCIADAS PETROLERAS S.A.</t>
        </is>
      </c>
      <c r="D1901" t="inlineStr">
        <is>
          <t>convencional</t>
        </is>
      </c>
      <c r="E1901" t="inlineStr">
        <is>
          <t>2011-09</t>
        </is>
      </c>
      <c r="F1901" t="n">
        <v>50628</v>
      </c>
      <c r="G1901" t="n">
        <v>1241075.8</v>
      </c>
      <c r="H1901" t="n">
        <v>1241873.5</v>
      </c>
      <c r="I1901">
        <f>DAY(EOMONTH(DATE(VALUE(LEFT(E1901,4)),VALUE(RIGHT(E1901,2)),1),0))</f>
        <v/>
      </c>
      <c r="J1901">
        <f>VALUE(LEFT(E1901,4))*12+VALUE(RIGHT(E1901,2))-1</f>
        <v/>
      </c>
    </row>
    <row r="1902">
      <c r="A1902" t="inlineStr">
        <is>
          <t>Diadema</t>
        </is>
      </c>
      <c r="B1902" t="inlineStr">
        <is>
          <t>Golfo San Jorge</t>
        </is>
      </c>
      <c r="C1902" t="inlineStr">
        <is>
          <t>COMPAÑÍAS ASOCIADAS PETROLERAS S.A.</t>
        </is>
      </c>
      <c r="D1902" t="inlineStr">
        <is>
          <t>convencional</t>
        </is>
      </c>
      <c r="E1902" t="inlineStr">
        <is>
          <t>2011-10</t>
        </is>
      </c>
      <c r="F1902" t="n">
        <v>50006.5</v>
      </c>
      <c r="G1902" t="n">
        <v>1272675.2</v>
      </c>
      <c r="H1902" t="n">
        <v>1272571.1</v>
      </c>
      <c r="I1902">
        <f>DAY(EOMONTH(DATE(VALUE(LEFT(E1902,4)),VALUE(RIGHT(E1902,2)),1),0))</f>
        <v/>
      </c>
      <c r="J1902">
        <f>VALUE(LEFT(E1902,4))*12+VALUE(RIGHT(E1902,2))-1</f>
        <v/>
      </c>
    </row>
    <row r="1903">
      <c r="A1903" t="inlineStr">
        <is>
          <t>Diadema</t>
        </is>
      </c>
      <c r="B1903" t="inlineStr">
        <is>
          <t>Golfo San Jorge</t>
        </is>
      </c>
      <c r="C1903" t="inlineStr">
        <is>
          <t>COMPAÑÍAS ASOCIADAS PETROLERAS S.A.</t>
        </is>
      </c>
      <c r="D1903" t="inlineStr">
        <is>
          <t>convencional</t>
        </is>
      </c>
      <c r="E1903" t="inlineStr">
        <is>
          <t>2011-11</t>
        </is>
      </c>
      <c r="F1903" t="n">
        <v>50186.7</v>
      </c>
      <c r="G1903" t="n">
        <v>1224668.8</v>
      </c>
      <c r="H1903" t="n">
        <v>1225293.4</v>
      </c>
      <c r="I1903">
        <f>DAY(EOMONTH(DATE(VALUE(LEFT(E1903,4)),VALUE(RIGHT(E1903,2)),1),0))</f>
        <v/>
      </c>
      <c r="J1903">
        <f>VALUE(LEFT(E1903,4))*12+VALUE(RIGHT(E1903,2))-1</f>
        <v/>
      </c>
    </row>
    <row r="1904">
      <c r="A1904" t="inlineStr">
        <is>
          <t>Diadema</t>
        </is>
      </c>
      <c r="B1904" t="inlineStr">
        <is>
          <t>Golfo San Jorge</t>
        </is>
      </c>
      <c r="C1904" t="inlineStr">
        <is>
          <t>COMPAÑÍAS ASOCIADAS PETROLERAS S.A.</t>
        </is>
      </c>
      <c r="D1904" t="inlineStr">
        <is>
          <t>convencional</t>
        </is>
      </c>
      <c r="E1904" t="inlineStr">
        <is>
          <t>2011-12</t>
        </is>
      </c>
      <c r="F1904" t="n">
        <v>52365.1</v>
      </c>
      <c r="G1904" t="n">
        <v>1268990.4</v>
      </c>
      <c r="H1904" t="n">
        <v>1269615.9</v>
      </c>
      <c r="I1904">
        <f>DAY(EOMONTH(DATE(VALUE(LEFT(E1904,4)),VALUE(RIGHT(E1904,2)),1),0))</f>
        <v/>
      </c>
      <c r="J1904">
        <f>VALUE(LEFT(E1904,4))*12+VALUE(RIGHT(E1904,2))-1</f>
        <v/>
      </c>
    </row>
    <row r="1905">
      <c r="A1905" t="inlineStr">
        <is>
          <t>Diadema</t>
        </is>
      </c>
      <c r="B1905" t="inlineStr">
        <is>
          <t>Golfo San Jorge</t>
        </is>
      </c>
      <c r="C1905" t="inlineStr">
        <is>
          <t>COMPAÑÍAS ASOCIADAS PETROLERAS S.A.</t>
        </is>
      </c>
      <c r="D1905" t="inlineStr">
        <is>
          <t>convencional</t>
        </is>
      </c>
      <c r="E1905" t="inlineStr">
        <is>
          <t>2012-01</t>
        </is>
      </c>
      <c r="F1905" t="n">
        <v>47885.8</v>
      </c>
      <c r="G1905" t="n">
        <v>1247431.7</v>
      </c>
      <c r="H1905" t="n">
        <v>1247959.6</v>
      </c>
      <c r="I1905">
        <f>DAY(EOMONTH(DATE(VALUE(LEFT(E1905,4)),VALUE(RIGHT(E1905,2)),1),0))</f>
        <v/>
      </c>
      <c r="J1905">
        <f>VALUE(LEFT(E1905,4))*12+VALUE(RIGHT(E1905,2))-1</f>
        <v/>
      </c>
    </row>
    <row r="1906">
      <c r="A1906" t="inlineStr">
        <is>
          <t>Diadema</t>
        </is>
      </c>
      <c r="B1906" t="inlineStr">
        <is>
          <t>Golfo San Jorge</t>
        </is>
      </c>
      <c r="C1906" t="inlineStr">
        <is>
          <t>COMPAÑÍAS ASOCIADAS PETROLERAS S.A.</t>
        </is>
      </c>
      <c r="D1906" t="inlineStr">
        <is>
          <t>convencional</t>
        </is>
      </c>
      <c r="E1906" t="inlineStr">
        <is>
          <t>2012-02</t>
        </is>
      </c>
      <c r="F1906" t="n">
        <v>46286.7</v>
      </c>
      <c r="G1906" t="n">
        <v>1130648.5</v>
      </c>
      <c r="H1906" t="n">
        <v>1131099.9</v>
      </c>
      <c r="I1906">
        <f>DAY(EOMONTH(DATE(VALUE(LEFT(E1906,4)),VALUE(RIGHT(E1906,2)),1),0))</f>
        <v/>
      </c>
      <c r="J1906">
        <f>VALUE(LEFT(E1906,4))*12+VALUE(RIGHT(E1906,2))-1</f>
        <v/>
      </c>
    </row>
    <row r="1907">
      <c r="A1907" t="inlineStr">
        <is>
          <t>Diadema</t>
        </is>
      </c>
      <c r="B1907" t="inlineStr">
        <is>
          <t>Golfo San Jorge</t>
        </is>
      </c>
      <c r="C1907" t="inlineStr">
        <is>
          <t>COMPAÑÍAS ASOCIADAS PETROLERAS S.A.</t>
        </is>
      </c>
      <c r="D1907" t="inlineStr">
        <is>
          <t>convencional</t>
        </is>
      </c>
      <c r="E1907" t="inlineStr">
        <is>
          <t>2012-03</t>
        </is>
      </c>
      <c r="F1907" t="n">
        <v>52686.1</v>
      </c>
      <c r="G1907" t="n">
        <v>1240166.3</v>
      </c>
      <c r="H1907" t="n">
        <v>1238840.1</v>
      </c>
      <c r="I1907">
        <f>DAY(EOMONTH(DATE(VALUE(LEFT(E1907,4)),VALUE(RIGHT(E1907,2)),1),0))</f>
        <v/>
      </c>
      <c r="J1907">
        <f>VALUE(LEFT(E1907,4))*12+VALUE(RIGHT(E1907,2))-1</f>
        <v/>
      </c>
    </row>
    <row r="1908">
      <c r="A1908" t="inlineStr">
        <is>
          <t>Diadema</t>
        </is>
      </c>
      <c r="B1908" t="inlineStr">
        <is>
          <t>Golfo San Jorge</t>
        </is>
      </c>
      <c r="C1908" t="inlineStr">
        <is>
          <t>COMPAÑÍAS ASOCIADAS PETROLERAS S.A.</t>
        </is>
      </c>
      <c r="D1908" t="inlineStr">
        <is>
          <t>convencional</t>
        </is>
      </c>
      <c r="E1908" t="inlineStr">
        <is>
          <t>2012-04</t>
        </is>
      </c>
      <c r="F1908" t="n">
        <v>48621.5</v>
      </c>
      <c r="G1908" t="n">
        <v>1221749.4</v>
      </c>
      <c r="H1908" t="n">
        <v>1220482.6</v>
      </c>
      <c r="I1908">
        <f>DAY(EOMONTH(DATE(VALUE(LEFT(E1908,4)),VALUE(RIGHT(E1908,2)),1),0))</f>
        <v/>
      </c>
      <c r="J1908">
        <f>VALUE(LEFT(E1908,4))*12+VALUE(RIGHT(E1908,2))-1</f>
        <v/>
      </c>
    </row>
    <row r="1909">
      <c r="A1909" t="inlineStr">
        <is>
          <t>Diadema</t>
        </is>
      </c>
      <c r="B1909" t="inlineStr">
        <is>
          <t>Golfo San Jorge</t>
        </is>
      </c>
      <c r="C1909" t="inlineStr">
        <is>
          <t>COMPAÑÍAS ASOCIADAS PETROLERAS S.A.</t>
        </is>
      </c>
      <c r="D1909" t="inlineStr">
        <is>
          <t>convencional</t>
        </is>
      </c>
      <c r="E1909" t="inlineStr">
        <is>
          <t>2012-05</t>
        </is>
      </c>
      <c r="F1909" t="n">
        <v>49352.5</v>
      </c>
      <c r="G1909" t="n">
        <v>1236519.9</v>
      </c>
      <c r="H1909" t="n">
        <v>1237750.5</v>
      </c>
      <c r="I1909">
        <f>DAY(EOMONTH(DATE(VALUE(LEFT(E1909,4)),VALUE(RIGHT(E1909,2)),1),0))</f>
        <v/>
      </c>
      <c r="J1909">
        <f>VALUE(LEFT(E1909,4))*12+VALUE(RIGHT(E1909,2))-1</f>
        <v/>
      </c>
    </row>
    <row r="1910">
      <c r="A1910" t="inlineStr">
        <is>
          <t>Diadema</t>
        </is>
      </c>
      <c r="B1910" t="inlineStr">
        <is>
          <t>Golfo San Jorge</t>
        </is>
      </c>
      <c r="C1910" t="inlineStr">
        <is>
          <t>COMPAÑÍAS ASOCIADAS PETROLERAS S.A.</t>
        </is>
      </c>
      <c r="D1910" t="inlineStr">
        <is>
          <t>convencional</t>
        </is>
      </c>
      <c r="E1910" t="inlineStr">
        <is>
          <t>2012-06</t>
        </is>
      </c>
      <c r="F1910" t="n">
        <v>47507.1</v>
      </c>
      <c r="G1910" t="n">
        <v>1213151</v>
      </c>
      <c r="H1910" t="n">
        <v>1209929.5</v>
      </c>
      <c r="I1910">
        <f>DAY(EOMONTH(DATE(VALUE(LEFT(E1910,4)),VALUE(RIGHT(E1910,2)),1),0))</f>
        <v/>
      </c>
      <c r="J1910">
        <f>VALUE(LEFT(E1910,4))*12+VALUE(RIGHT(E1910,2))-1</f>
        <v/>
      </c>
    </row>
    <row r="1911">
      <c r="A1911" t="inlineStr">
        <is>
          <t>Diadema</t>
        </is>
      </c>
      <c r="B1911" t="inlineStr">
        <is>
          <t>Golfo San Jorge</t>
        </is>
      </c>
      <c r="C1911" t="inlineStr">
        <is>
          <t>COMPAÑÍAS ASOCIADAS PETROLERAS S.A.</t>
        </is>
      </c>
      <c r="D1911" t="inlineStr">
        <is>
          <t>convencional</t>
        </is>
      </c>
      <c r="E1911" t="inlineStr">
        <is>
          <t>2012-07</t>
        </is>
      </c>
      <c r="F1911" t="n">
        <v>50343.2</v>
      </c>
      <c r="G1911" t="n">
        <v>1220698.6</v>
      </c>
      <c r="H1911" t="n">
        <v>1218198.8</v>
      </c>
      <c r="I1911">
        <f>DAY(EOMONTH(DATE(VALUE(LEFT(E1911,4)),VALUE(RIGHT(E1911,2)),1),0))</f>
        <v/>
      </c>
      <c r="J1911">
        <f>VALUE(LEFT(E1911,4))*12+VALUE(RIGHT(E1911,2))-1</f>
        <v/>
      </c>
    </row>
    <row r="1912">
      <c r="A1912" t="inlineStr">
        <is>
          <t>Diadema</t>
        </is>
      </c>
      <c r="B1912" t="inlineStr">
        <is>
          <t>Golfo San Jorge</t>
        </is>
      </c>
      <c r="C1912" t="inlineStr">
        <is>
          <t>COMPAÑÍAS ASOCIADAS PETROLERAS S.A.</t>
        </is>
      </c>
      <c r="D1912" t="inlineStr">
        <is>
          <t>convencional</t>
        </is>
      </c>
      <c r="E1912" t="inlineStr">
        <is>
          <t>2012-08</t>
        </is>
      </c>
      <c r="F1912" t="n">
        <v>52688</v>
      </c>
      <c r="G1912" t="n">
        <v>1233708.5</v>
      </c>
      <c r="H1912" t="n">
        <v>1233031.5</v>
      </c>
      <c r="I1912">
        <f>DAY(EOMONTH(DATE(VALUE(LEFT(E1912,4)),VALUE(RIGHT(E1912,2)),1),0))</f>
        <v/>
      </c>
      <c r="J1912">
        <f>VALUE(LEFT(E1912,4))*12+VALUE(RIGHT(E1912,2))-1</f>
        <v/>
      </c>
    </row>
    <row r="1913">
      <c r="A1913" t="inlineStr">
        <is>
          <t>Diadema</t>
        </is>
      </c>
      <c r="B1913" t="inlineStr">
        <is>
          <t>Golfo San Jorge</t>
        </is>
      </c>
      <c r="C1913" t="inlineStr">
        <is>
          <t>COMPAÑÍAS ASOCIADAS PETROLERAS S.A.</t>
        </is>
      </c>
      <c r="D1913" t="inlineStr">
        <is>
          <t>convencional</t>
        </is>
      </c>
      <c r="E1913" t="inlineStr">
        <is>
          <t>2012-09</t>
        </is>
      </c>
      <c r="F1913" t="n">
        <v>52110.1</v>
      </c>
      <c r="G1913" t="n">
        <v>1213489.8</v>
      </c>
      <c r="H1913" t="n">
        <v>1211974</v>
      </c>
      <c r="I1913">
        <f>DAY(EOMONTH(DATE(VALUE(LEFT(E1913,4)),VALUE(RIGHT(E1913,2)),1),0))</f>
        <v/>
      </c>
      <c r="J1913">
        <f>VALUE(LEFT(E1913,4))*12+VALUE(RIGHT(E1913,2))-1</f>
        <v/>
      </c>
    </row>
    <row r="1914">
      <c r="A1914" t="inlineStr">
        <is>
          <t>Diadema</t>
        </is>
      </c>
      <c r="B1914" t="inlineStr">
        <is>
          <t>Golfo San Jorge</t>
        </is>
      </c>
      <c r="C1914" t="inlineStr">
        <is>
          <t>COMPAÑÍAS ASOCIADAS PETROLERAS S.A.</t>
        </is>
      </c>
      <c r="D1914" t="inlineStr">
        <is>
          <t>convencional</t>
        </is>
      </c>
      <c r="E1914" t="inlineStr">
        <is>
          <t>2012-10</t>
        </is>
      </c>
      <c r="F1914" t="n">
        <v>50935.2</v>
      </c>
      <c r="G1914" t="n">
        <v>1264202.1</v>
      </c>
      <c r="H1914" t="n">
        <v>1263111.4</v>
      </c>
      <c r="I1914">
        <f>DAY(EOMONTH(DATE(VALUE(LEFT(E1914,4)),VALUE(RIGHT(E1914,2)),1),0))</f>
        <v/>
      </c>
      <c r="J1914">
        <f>VALUE(LEFT(E1914,4))*12+VALUE(RIGHT(E1914,2))-1</f>
        <v/>
      </c>
    </row>
    <row r="1915">
      <c r="A1915" t="inlineStr">
        <is>
          <t>Diadema</t>
        </is>
      </c>
      <c r="B1915" t="inlineStr">
        <is>
          <t>Golfo San Jorge</t>
        </is>
      </c>
      <c r="C1915" t="inlineStr">
        <is>
          <t>COMPAÑÍAS ASOCIADAS PETROLERAS S.A.</t>
        </is>
      </c>
      <c r="D1915" t="inlineStr">
        <is>
          <t>convencional</t>
        </is>
      </c>
      <c r="E1915" t="inlineStr">
        <is>
          <t>2012-11</t>
        </is>
      </c>
      <c r="F1915" t="n">
        <v>45814.1</v>
      </c>
      <c r="G1915" t="n">
        <v>1185980.4</v>
      </c>
      <c r="H1915" t="n">
        <v>1185541.2</v>
      </c>
      <c r="I1915">
        <f>DAY(EOMONTH(DATE(VALUE(LEFT(E1915,4)),VALUE(RIGHT(E1915,2)),1),0))</f>
        <v/>
      </c>
      <c r="J1915">
        <f>VALUE(LEFT(E1915,4))*12+VALUE(RIGHT(E1915,2))-1</f>
        <v/>
      </c>
    </row>
    <row r="1916">
      <c r="A1916" t="inlineStr">
        <is>
          <t>Diadema</t>
        </is>
      </c>
      <c r="B1916" t="inlineStr">
        <is>
          <t>Golfo San Jorge</t>
        </is>
      </c>
      <c r="C1916" t="inlineStr">
        <is>
          <t>COMPAÑÍAS ASOCIADAS PETROLERAS S.A.</t>
        </is>
      </c>
      <c r="D1916" t="inlineStr">
        <is>
          <t>convencional</t>
        </is>
      </c>
      <c r="E1916" t="inlineStr">
        <is>
          <t>2012-12</t>
        </is>
      </c>
      <c r="F1916" t="n">
        <v>51902.8</v>
      </c>
      <c r="G1916" t="n">
        <v>1240183.2</v>
      </c>
      <c r="H1916" t="n">
        <v>1239747.1</v>
      </c>
      <c r="I1916">
        <f>DAY(EOMONTH(DATE(VALUE(LEFT(E1916,4)),VALUE(RIGHT(E1916,2)),1),0))</f>
        <v/>
      </c>
      <c r="J1916">
        <f>VALUE(LEFT(E1916,4))*12+VALUE(RIGHT(E1916,2))-1</f>
        <v/>
      </c>
    </row>
    <row r="1917">
      <c r="A1917" t="inlineStr">
        <is>
          <t>Diadema</t>
        </is>
      </c>
      <c r="B1917" t="inlineStr">
        <is>
          <t>Golfo San Jorge</t>
        </is>
      </c>
      <c r="C1917" t="inlineStr">
        <is>
          <t>COMPAÑÍAS ASOCIADAS PETROLERAS S.A.</t>
        </is>
      </c>
      <c r="D1917" t="inlineStr">
        <is>
          <t>convencional</t>
        </is>
      </c>
      <c r="E1917" t="inlineStr">
        <is>
          <t>2013-01</t>
        </is>
      </c>
      <c r="F1917" t="n">
        <v>50053.9</v>
      </c>
      <c r="G1917" t="n">
        <v>1219499.1</v>
      </c>
      <c r="H1917" t="n">
        <v>1219051.6</v>
      </c>
      <c r="I1917">
        <f>DAY(EOMONTH(DATE(VALUE(LEFT(E1917,4)),VALUE(RIGHT(E1917,2)),1),0))</f>
        <v/>
      </c>
      <c r="J1917">
        <f>VALUE(LEFT(E1917,4))*12+VALUE(RIGHT(E1917,2))-1</f>
        <v/>
      </c>
    </row>
    <row r="1918">
      <c r="A1918" t="inlineStr">
        <is>
          <t>Diadema</t>
        </is>
      </c>
      <c r="B1918" t="inlineStr">
        <is>
          <t>Golfo San Jorge</t>
        </is>
      </c>
      <c r="C1918" t="inlineStr">
        <is>
          <t>COMPAÑÍAS ASOCIADAS PETROLERAS S.A.</t>
        </is>
      </c>
      <c r="D1918" t="inlineStr">
        <is>
          <t>convencional</t>
        </is>
      </c>
      <c r="E1918" t="inlineStr">
        <is>
          <t>2013-02</t>
        </is>
      </c>
      <c r="F1918" t="n">
        <v>43464.2</v>
      </c>
      <c r="G1918" t="n">
        <v>1094026.2</v>
      </c>
      <c r="H1918" t="n">
        <v>1093683.2</v>
      </c>
      <c r="I1918">
        <f>DAY(EOMONTH(DATE(VALUE(LEFT(E1918,4)),VALUE(RIGHT(E1918,2)),1),0))</f>
        <v/>
      </c>
      <c r="J1918">
        <f>VALUE(LEFT(E1918,4))*12+VALUE(RIGHT(E1918,2))-1</f>
        <v/>
      </c>
    </row>
    <row r="1919">
      <c r="A1919" t="inlineStr">
        <is>
          <t>Diadema</t>
        </is>
      </c>
      <c r="B1919" t="inlineStr">
        <is>
          <t>Golfo San Jorge</t>
        </is>
      </c>
      <c r="C1919" t="inlineStr">
        <is>
          <t>COMPAÑÍAS ASOCIADAS PETROLERAS S.A.</t>
        </is>
      </c>
      <c r="D1919" t="inlineStr">
        <is>
          <t>convencional</t>
        </is>
      </c>
      <c r="E1919" t="inlineStr">
        <is>
          <t>2013-03</t>
        </is>
      </c>
      <c r="F1919" t="n">
        <v>48799.8</v>
      </c>
      <c r="G1919" t="n">
        <v>1178589.9</v>
      </c>
      <c r="H1919" t="n">
        <v>1178607.9</v>
      </c>
      <c r="I1919">
        <f>DAY(EOMONTH(DATE(VALUE(LEFT(E1919,4)),VALUE(RIGHT(E1919,2)),1),0))</f>
        <v/>
      </c>
      <c r="J1919">
        <f>VALUE(LEFT(E1919,4))*12+VALUE(RIGHT(E1919,2))-1</f>
        <v/>
      </c>
    </row>
    <row r="1920">
      <c r="A1920" t="inlineStr">
        <is>
          <t>Diadema</t>
        </is>
      </c>
      <c r="B1920" t="inlineStr">
        <is>
          <t>Golfo San Jorge</t>
        </is>
      </c>
      <c r="C1920" t="inlineStr">
        <is>
          <t>COMPAÑÍAS ASOCIADAS PETROLERAS S.A.</t>
        </is>
      </c>
      <c r="D1920" t="inlineStr">
        <is>
          <t>convencional</t>
        </is>
      </c>
      <c r="E1920" t="inlineStr">
        <is>
          <t>2013-04</t>
        </is>
      </c>
      <c r="F1920" t="n">
        <v>46999.5</v>
      </c>
      <c r="G1920" t="n">
        <v>1143373</v>
      </c>
      <c r="H1920" t="n">
        <v>1143359.9</v>
      </c>
      <c r="I1920">
        <f>DAY(EOMONTH(DATE(VALUE(LEFT(E1920,4)),VALUE(RIGHT(E1920,2)),1),0))</f>
        <v/>
      </c>
      <c r="J1920">
        <f>VALUE(LEFT(E1920,4))*12+VALUE(RIGHT(E1920,2))-1</f>
        <v/>
      </c>
    </row>
    <row r="1921">
      <c r="A1921" t="inlineStr">
        <is>
          <t>Diadema</t>
        </is>
      </c>
      <c r="B1921" t="inlineStr">
        <is>
          <t>Golfo San Jorge</t>
        </is>
      </c>
      <c r="C1921" t="inlineStr">
        <is>
          <t>COMPAÑÍAS ASOCIADAS PETROLERAS S.A.</t>
        </is>
      </c>
      <c r="D1921" t="inlineStr">
        <is>
          <t>convencional</t>
        </is>
      </c>
      <c r="E1921" t="inlineStr">
        <is>
          <t>2013-05</t>
        </is>
      </c>
      <c r="F1921" t="n">
        <v>48819.1</v>
      </c>
      <c r="G1921" t="n">
        <v>1203374.8</v>
      </c>
      <c r="H1921" t="n">
        <v>1203244.2</v>
      </c>
      <c r="I1921">
        <f>DAY(EOMONTH(DATE(VALUE(LEFT(E1921,4)),VALUE(RIGHT(E1921,2)),1),0))</f>
        <v/>
      </c>
      <c r="J1921">
        <f>VALUE(LEFT(E1921,4))*12+VALUE(RIGHT(E1921,2))-1</f>
        <v/>
      </c>
    </row>
    <row r="1922">
      <c r="A1922" t="inlineStr">
        <is>
          <t>Diadema</t>
        </is>
      </c>
      <c r="B1922" t="inlineStr">
        <is>
          <t>Golfo San Jorge</t>
        </is>
      </c>
      <c r="C1922" t="inlineStr">
        <is>
          <t>COMPAÑÍAS ASOCIADAS PETROLERAS S.A.</t>
        </is>
      </c>
      <c r="D1922" t="inlineStr">
        <is>
          <t>convencional</t>
        </is>
      </c>
      <c r="E1922" t="inlineStr">
        <is>
          <t>2013-06</t>
        </is>
      </c>
      <c r="F1922" t="n">
        <v>47172.1</v>
      </c>
      <c r="G1922" t="n">
        <v>1170470.5</v>
      </c>
      <c r="H1922" t="n">
        <v>1170389.2</v>
      </c>
      <c r="I1922">
        <f>DAY(EOMONTH(DATE(VALUE(LEFT(E1922,4)),VALUE(RIGHT(E1922,2)),1),0))</f>
        <v/>
      </c>
      <c r="J1922">
        <f>VALUE(LEFT(E1922,4))*12+VALUE(RIGHT(E1922,2))-1</f>
        <v/>
      </c>
    </row>
    <row r="1923">
      <c r="A1923" t="inlineStr">
        <is>
          <t>Diadema</t>
        </is>
      </c>
      <c r="B1923" t="inlineStr">
        <is>
          <t>Golfo San Jorge</t>
        </is>
      </c>
      <c r="C1923" t="inlineStr">
        <is>
          <t>COMPAÑÍAS ASOCIADAS PETROLERAS S.A.</t>
        </is>
      </c>
      <c r="D1923" t="inlineStr">
        <is>
          <t>convencional</t>
        </is>
      </c>
      <c r="E1923" t="inlineStr">
        <is>
          <t>2013-07</t>
        </is>
      </c>
      <c r="F1923" t="n">
        <v>47618.3</v>
      </c>
      <c r="G1923" t="n">
        <v>1219560.7</v>
      </c>
      <c r="H1923" t="n">
        <v>1219718.8</v>
      </c>
      <c r="I1923">
        <f>DAY(EOMONTH(DATE(VALUE(LEFT(E1923,4)),VALUE(RIGHT(E1923,2)),1),0))</f>
        <v/>
      </c>
      <c r="J1923">
        <f>VALUE(LEFT(E1923,4))*12+VALUE(RIGHT(E1923,2))-1</f>
        <v/>
      </c>
    </row>
    <row r="1924">
      <c r="A1924" t="inlineStr">
        <is>
          <t>Diadema</t>
        </is>
      </c>
      <c r="B1924" t="inlineStr">
        <is>
          <t>Golfo San Jorge</t>
        </is>
      </c>
      <c r="C1924" t="inlineStr">
        <is>
          <t>COMPAÑÍAS ASOCIADAS PETROLERAS S.A.</t>
        </is>
      </c>
      <c r="D1924" t="inlineStr">
        <is>
          <t>convencional</t>
        </is>
      </c>
      <c r="E1924" t="inlineStr">
        <is>
          <t>2013-08</t>
        </is>
      </c>
      <c r="F1924" t="n">
        <v>47563.9</v>
      </c>
      <c r="G1924" t="n">
        <v>1261008.4</v>
      </c>
      <c r="H1924" t="n">
        <v>1260573.6</v>
      </c>
      <c r="I1924">
        <f>DAY(EOMONTH(DATE(VALUE(LEFT(E1924,4)),VALUE(RIGHT(E1924,2)),1),0))</f>
        <v/>
      </c>
      <c r="J1924">
        <f>VALUE(LEFT(E1924,4))*12+VALUE(RIGHT(E1924,2))-1</f>
        <v/>
      </c>
    </row>
    <row r="1925">
      <c r="A1925" t="inlineStr">
        <is>
          <t>Diadema</t>
        </is>
      </c>
      <c r="B1925" t="inlineStr">
        <is>
          <t>Golfo San Jorge</t>
        </is>
      </c>
      <c r="C1925" t="inlineStr">
        <is>
          <t>COMPAÑÍAS ASOCIADAS PETROLERAS S.A.</t>
        </is>
      </c>
      <c r="D1925" t="inlineStr">
        <is>
          <t>convencional</t>
        </is>
      </c>
      <c r="E1925" t="inlineStr">
        <is>
          <t>2013-09</t>
        </is>
      </c>
      <c r="F1925" t="n">
        <v>47953.7</v>
      </c>
      <c r="G1925" t="n">
        <v>1240480</v>
      </c>
      <c r="H1925" t="n">
        <v>1240482.3</v>
      </c>
      <c r="I1925">
        <f>DAY(EOMONTH(DATE(VALUE(LEFT(E1925,4)),VALUE(RIGHT(E1925,2)),1),0))</f>
        <v/>
      </c>
      <c r="J1925">
        <f>VALUE(LEFT(E1925,4))*12+VALUE(RIGHT(E1925,2))-1</f>
        <v/>
      </c>
    </row>
    <row r="1926">
      <c r="A1926" t="inlineStr">
        <is>
          <t>Diadema</t>
        </is>
      </c>
      <c r="B1926" t="inlineStr">
        <is>
          <t>Golfo San Jorge</t>
        </is>
      </c>
      <c r="C1926" t="inlineStr">
        <is>
          <t>COMPAÑÍAS ASOCIADAS PETROLERAS S.A.</t>
        </is>
      </c>
      <c r="D1926" t="inlineStr">
        <is>
          <t>convencional</t>
        </is>
      </c>
      <c r="E1926" t="inlineStr">
        <is>
          <t>2013-10</t>
        </is>
      </c>
      <c r="F1926" t="n">
        <v>49155.6</v>
      </c>
      <c r="G1926" t="n">
        <v>1254802.6</v>
      </c>
      <c r="H1926" t="n">
        <v>1254445.3</v>
      </c>
      <c r="I1926">
        <f>DAY(EOMONTH(DATE(VALUE(LEFT(E1926,4)),VALUE(RIGHT(E1926,2)),1),0))</f>
        <v/>
      </c>
      <c r="J1926">
        <f>VALUE(LEFT(E1926,4))*12+VALUE(RIGHT(E1926,2))-1</f>
        <v/>
      </c>
    </row>
    <row r="1927">
      <c r="A1927" t="inlineStr">
        <is>
          <t>Diadema</t>
        </is>
      </c>
      <c r="B1927" t="inlineStr">
        <is>
          <t>Golfo San Jorge</t>
        </is>
      </c>
      <c r="C1927" t="inlineStr">
        <is>
          <t>COMPAÑÍAS ASOCIADAS PETROLERAS S.A.</t>
        </is>
      </c>
      <c r="D1927" t="inlineStr">
        <is>
          <t>convencional</t>
        </is>
      </c>
      <c r="E1927" t="inlineStr">
        <is>
          <t>2013-11</t>
        </is>
      </c>
      <c r="F1927" t="n">
        <v>46516.4</v>
      </c>
      <c r="G1927" t="n">
        <v>1186452.8</v>
      </c>
      <c r="H1927" t="n">
        <v>1186981.6</v>
      </c>
      <c r="I1927">
        <f>DAY(EOMONTH(DATE(VALUE(LEFT(E1927,4)),VALUE(RIGHT(E1927,2)),1),0))</f>
        <v/>
      </c>
      <c r="J1927">
        <f>VALUE(LEFT(E1927,4))*12+VALUE(RIGHT(E1927,2))-1</f>
        <v/>
      </c>
    </row>
    <row r="1928">
      <c r="A1928" t="inlineStr">
        <is>
          <t>Diadema</t>
        </is>
      </c>
      <c r="B1928" t="inlineStr">
        <is>
          <t>Golfo San Jorge</t>
        </is>
      </c>
      <c r="C1928" t="inlineStr">
        <is>
          <t>COMPAÑÍAS ASOCIADAS PETROLERAS S.A.</t>
        </is>
      </c>
      <c r="D1928" t="inlineStr">
        <is>
          <t>convencional</t>
        </is>
      </c>
      <c r="E1928" t="inlineStr">
        <is>
          <t>2013-12</t>
        </is>
      </c>
      <c r="F1928" t="n">
        <v>47688.8</v>
      </c>
      <c r="G1928" t="n">
        <v>1247211.8</v>
      </c>
      <c r="H1928" t="n">
        <v>1247414.2</v>
      </c>
      <c r="I1928">
        <f>DAY(EOMONTH(DATE(VALUE(LEFT(E1928,4)),VALUE(RIGHT(E1928,2)),1),0))</f>
        <v/>
      </c>
      <c r="J1928">
        <f>VALUE(LEFT(E1928,4))*12+VALUE(RIGHT(E1928,2))-1</f>
        <v/>
      </c>
    </row>
    <row r="1929">
      <c r="A1929" t="inlineStr">
        <is>
          <t>Diadema</t>
        </is>
      </c>
      <c r="B1929" t="inlineStr">
        <is>
          <t>Golfo San Jorge</t>
        </is>
      </c>
      <c r="C1929" t="inlineStr">
        <is>
          <t>COMPAÑÍAS ASOCIADAS PETROLERAS S.A.</t>
        </is>
      </c>
      <c r="D1929" t="inlineStr">
        <is>
          <t>convencional</t>
        </is>
      </c>
      <c r="E1929" t="inlineStr">
        <is>
          <t>2014-01</t>
        </is>
      </c>
      <c r="F1929" t="n">
        <v>47592</v>
      </c>
      <c r="G1929" t="n">
        <v>1244265.5</v>
      </c>
      <c r="H1929" t="n">
        <v>1244458.5</v>
      </c>
      <c r="I1929">
        <f>DAY(EOMONTH(DATE(VALUE(LEFT(E1929,4)),VALUE(RIGHT(E1929,2)),1),0))</f>
        <v/>
      </c>
      <c r="J1929">
        <f>VALUE(LEFT(E1929,4))*12+VALUE(RIGHT(E1929,2))-1</f>
        <v/>
      </c>
    </row>
    <row r="1930">
      <c r="A1930" t="inlineStr">
        <is>
          <t>Diadema</t>
        </is>
      </c>
      <c r="B1930" t="inlineStr">
        <is>
          <t>Golfo San Jorge</t>
        </is>
      </c>
      <c r="C1930" t="inlineStr">
        <is>
          <t>COMPAÑÍAS ASOCIADAS PETROLERAS S.A.</t>
        </is>
      </c>
      <c r="D1930" t="inlineStr">
        <is>
          <t>convencional</t>
        </is>
      </c>
      <c r="E1930" t="inlineStr">
        <is>
          <t>2014-02</t>
        </is>
      </c>
      <c r="F1930" t="n">
        <v>45706.1</v>
      </c>
      <c r="G1930" t="n">
        <v>1119523.1</v>
      </c>
      <c r="H1930" t="n">
        <v>1119754.5</v>
      </c>
      <c r="I1930">
        <f>DAY(EOMONTH(DATE(VALUE(LEFT(E1930,4)),VALUE(RIGHT(E1930,2)),1),0))</f>
        <v/>
      </c>
      <c r="J1930">
        <f>VALUE(LEFT(E1930,4))*12+VALUE(RIGHT(E1930,2))-1</f>
        <v/>
      </c>
    </row>
    <row r="1931">
      <c r="A1931" t="inlineStr">
        <is>
          <t>Diadema</t>
        </is>
      </c>
      <c r="B1931" t="inlineStr">
        <is>
          <t>Golfo San Jorge</t>
        </is>
      </c>
      <c r="C1931" t="inlineStr">
        <is>
          <t>COMPAÑÍAS ASOCIADAS PETROLERAS S.A.</t>
        </is>
      </c>
      <c r="D1931" t="inlineStr">
        <is>
          <t>convencional</t>
        </is>
      </c>
      <c r="E1931" t="inlineStr">
        <is>
          <t>2014-03</t>
        </is>
      </c>
      <c r="F1931" t="n">
        <v>52895.4</v>
      </c>
      <c r="G1931" t="n">
        <v>1256177.3</v>
      </c>
      <c r="H1931" t="n">
        <v>1256506.6</v>
      </c>
      <c r="I1931">
        <f>DAY(EOMONTH(DATE(VALUE(LEFT(E1931,4)),VALUE(RIGHT(E1931,2)),1),0))</f>
        <v/>
      </c>
      <c r="J1931">
        <f>VALUE(LEFT(E1931,4))*12+VALUE(RIGHT(E1931,2))-1</f>
        <v/>
      </c>
    </row>
    <row r="1932">
      <c r="A1932" t="inlineStr">
        <is>
          <t>Diadema</t>
        </is>
      </c>
      <c r="B1932" t="inlineStr">
        <is>
          <t>Golfo San Jorge</t>
        </is>
      </c>
      <c r="C1932" t="inlineStr">
        <is>
          <t>COMPAÑÍAS ASOCIADAS PETROLERAS S.A.</t>
        </is>
      </c>
      <c r="D1932" t="inlineStr">
        <is>
          <t>convencional</t>
        </is>
      </c>
      <c r="E1932" t="inlineStr">
        <is>
          <t>2014-04</t>
        </is>
      </c>
      <c r="F1932" t="n">
        <v>49025.8</v>
      </c>
      <c r="G1932" t="n">
        <v>1205412.8</v>
      </c>
      <c r="H1932" t="n">
        <v>1206447.3</v>
      </c>
      <c r="I1932">
        <f>DAY(EOMONTH(DATE(VALUE(LEFT(E1932,4)),VALUE(RIGHT(E1932,2)),1),0))</f>
        <v/>
      </c>
      <c r="J1932">
        <f>VALUE(LEFT(E1932,4))*12+VALUE(RIGHT(E1932,2))-1</f>
        <v/>
      </c>
    </row>
    <row r="1933">
      <c r="A1933" t="inlineStr">
        <is>
          <t>Diadema</t>
        </is>
      </c>
      <c r="B1933" t="inlineStr">
        <is>
          <t>Golfo San Jorge</t>
        </is>
      </c>
      <c r="C1933" t="inlineStr">
        <is>
          <t>COMPAÑÍAS ASOCIADAS PETROLERAS S.A.</t>
        </is>
      </c>
      <c r="D1933" t="inlineStr">
        <is>
          <t>convencional</t>
        </is>
      </c>
      <c r="E1933" t="inlineStr">
        <is>
          <t>2014-05</t>
        </is>
      </c>
      <c r="F1933" t="n">
        <v>51748.9</v>
      </c>
      <c r="G1933" t="n">
        <v>1237280.4</v>
      </c>
      <c r="H1933" t="n">
        <v>1237866.3</v>
      </c>
      <c r="I1933">
        <f>DAY(EOMONTH(DATE(VALUE(LEFT(E1933,4)),VALUE(RIGHT(E1933,2)),1),0))</f>
        <v/>
      </c>
      <c r="J1933">
        <f>VALUE(LEFT(E1933,4))*12+VALUE(RIGHT(E1933,2))-1</f>
        <v/>
      </c>
    </row>
    <row r="1934">
      <c r="A1934" t="inlineStr">
        <is>
          <t>Diadema</t>
        </is>
      </c>
      <c r="B1934" t="inlineStr">
        <is>
          <t>Golfo San Jorge</t>
        </is>
      </c>
      <c r="C1934" t="inlineStr">
        <is>
          <t>COMPAÑÍAS ASOCIADAS PETROLERAS S.A.</t>
        </is>
      </c>
      <c r="D1934" t="inlineStr">
        <is>
          <t>convencional</t>
        </is>
      </c>
      <c r="E1934" t="inlineStr">
        <is>
          <t>2014-06</t>
        </is>
      </c>
      <c r="F1934" t="n">
        <v>48752.7</v>
      </c>
      <c r="G1934" t="n">
        <v>1139682.7</v>
      </c>
      <c r="H1934" t="n">
        <v>1138867</v>
      </c>
      <c r="I1934">
        <f>DAY(EOMONTH(DATE(VALUE(LEFT(E1934,4)),VALUE(RIGHT(E1934,2)),1),0))</f>
        <v/>
      </c>
      <c r="J1934">
        <f>VALUE(LEFT(E1934,4))*12+VALUE(RIGHT(E1934,2))-1</f>
        <v/>
      </c>
    </row>
    <row r="1935">
      <c r="A1935" t="inlineStr">
        <is>
          <t>Diadema</t>
        </is>
      </c>
      <c r="B1935" t="inlineStr">
        <is>
          <t>Golfo San Jorge</t>
        </is>
      </c>
      <c r="C1935" t="inlineStr">
        <is>
          <t>COMPAÑÍAS ASOCIADAS PETROLERAS S.A.</t>
        </is>
      </c>
      <c r="D1935" t="inlineStr">
        <is>
          <t>convencional</t>
        </is>
      </c>
      <c r="E1935" t="inlineStr">
        <is>
          <t>2014-07</t>
        </is>
      </c>
      <c r="F1935" t="n">
        <v>50216.4</v>
      </c>
      <c r="G1935" t="n">
        <v>1215091.6</v>
      </c>
      <c r="H1935" t="n">
        <v>1215875.8</v>
      </c>
      <c r="I1935">
        <f>DAY(EOMONTH(DATE(VALUE(LEFT(E1935,4)),VALUE(RIGHT(E1935,2)),1),0))</f>
        <v/>
      </c>
      <c r="J1935">
        <f>VALUE(LEFT(E1935,4))*12+VALUE(RIGHT(E1935,2))-1</f>
        <v/>
      </c>
    </row>
    <row r="1936">
      <c r="A1936" t="inlineStr">
        <is>
          <t>Diadema</t>
        </is>
      </c>
      <c r="B1936" t="inlineStr">
        <is>
          <t>Golfo San Jorge</t>
        </is>
      </c>
      <c r="C1936" t="inlineStr">
        <is>
          <t>COMPAÑÍAS ASOCIADAS PETROLERAS S.A.</t>
        </is>
      </c>
      <c r="D1936" t="inlineStr">
        <is>
          <t>convencional</t>
        </is>
      </c>
      <c r="E1936" t="inlineStr">
        <is>
          <t>2014-08</t>
        </is>
      </c>
      <c r="F1936" t="n">
        <v>49576.1</v>
      </c>
      <c r="G1936" t="n">
        <v>1219161</v>
      </c>
      <c r="H1936" t="n">
        <v>1220054.2</v>
      </c>
      <c r="I1936">
        <f>DAY(EOMONTH(DATE(VALUE(LEFT(E1936,4)),VALUE(RIGHT(E1936,2)),1),0))</f>
        <v/>
      </c>
      <c r="J1936">
        <f>VALUE(LEFT(E1936,4))*12+VALUE(RIGHT(E1936,2))-1</f>
        <v/>
      </c>
    </row>
    <row r="1937">
      <c r="A1937" t="inlineStr">
        <is>
          <t>Diadema</t>
        </is>
      </c>
      <c r="B1937" t="inlineStr">
        <is>
          <t>Golfo San Jorge</t>
        </is>
      </c>
      <c r="C1937" t="inlineStr">
        <is>
          <t>COMPAÑÍAS ASOCIADAS PETROLERAS S.A.</t>
        </is>
      </c>
      <c r="D1937" t="inlineStr">
        <is>
          <t>convencional</t>
        </is>
      </c>
      <c r="E1937" t="inlineStr">
        <is>
          <t>2014-09</t>
        </is>
      </c>
      <c r="F1937" t="n">
        <v>50165.3</v>
      </c>
      <c r="G1937" t="n">
        <v>1201011.5</v>
      </c>
      <c r="H1937" t="n">
        <v>1202233.8</v>
      </c>
      <c r="I1937">
        <f>DAY(EOMONTH(DATE(VALUE(LEFT(E1937,4)),VALUE(RIGHT(E1937,2)),1),0))</f>
        <v/>
      </c>
      <c r="J1937">
        <f>VALUE(LEFT(E1937,4))*12+VALUE(RIGHT(E1937,2))-1</f>
        <v/>
      </c>
    </row>
    <row r="1938">
      <c r="A1938" t="inlineStr">
        <is>
          <t>Diadema</t>
        </is>
      </c>
      <c r="B1938" t="inlineStr">
        <is>
          <t>Golfo San Jorge</t>
        </is>
      </c>
      <c r="C1938" t="inlineStr">
        <is>
          <t>COMPAÑÍAS ASOCIADAS PETROLERAS S.A.</t>
        </is>
      </c>
      <c r="D1938" t="inlineStr">
        <is>
          <t>convencional</t>
        </is>
      </c>
      <c r="E1938" t="inlineStr">
        <is>
          <t>2014-10</t>
        </is>
      </c>
      <c r="F1938" t="n">
        <v>51922.2</v>
      </c>
      <c r="G1938" t="n">
        <v>1254958.5</v>
      </c>
      <c r="H1938" t="n">
        <v>1254619.8</v>
      </c>
      <c r="I1938">
        <f>DAY(EOMONTH(DATE(VALUE(LEFT(E1938,4)),VALUE(RIGHT(E1938,2)),1),0))</f>
        <v/>
      </c>
      <c r="J1938">
        <f>VALUE(LEFT(E1938,4))*12+VALUE(RIGHT(E1938,2))-1</f>
        <v/>
      </c>
    </row>
    <row r="1939">
      <c r="A1939" t="inlineStr">
        <is>
          <t>Diadema</t>
        </is>
      </c>
      <c r="B1939" t="inlineStr">
        <is>
          <t>Golfo San Jorge</t>
        </is>
      </c>
      <c r="C1939" t="inlineStr">
        <is>
          <t>COMPAÑÍAS ASOCIADAS PETROLERAS S.A.</t>
        </is>
      </c>
      <c r="D1939" t="inlineStr">
        <is>
          <t>convencional</t>
        </is>
      </c>
      <c r="E1939" t="inlineStr">
        <is>
          <t>2014-11</t>
        </is>
      </c>
      <c r="F1939" t="n">
        <v>49736.2</v>
      </c>
      <c r="G1939" t="n">
        <v>1201677.6</v>
      </c>
      <c r="H1939" t="n">
        <v>1203562.5</v>
      </c>
      <c r="I1939">
        <f>DAY(EOMONTH(DATE(VALUE(LEFT(E1939,4)),VALUE(RIGHT(E1939,2)),1),0))</f>
        <v/>
      </c>
      <c r="J1939">
        <f>VALUE(LEFT(E1939,4))*12+VALUE(RIGHT(E1939,2))-1</f>
        <v/>
      </c>
    </row>
    <row r="1940">
      <c r="A1940" t="inlineStr">
        <is>
          <t>Diadema</t>
        </is>
      </c>
      <c r="B1940" t="inlineStr">
        <is>
          <t>Golfo San Jorge</t>
        </is>
      </c>
      <c r="C1940" t="inlineStr">
        <is>
          <t>COMPAÑÍAS ASOCIADAS PETROLERAS S.A.</t>
        </is>
      </c>
      <c r="D1940" t="inlineStr">
        <is>
          <t>convencional</t>
        </is>
      </c>
      <c r="E1940" t="inlineStr">
        <is>
          <t>2014-12</t>
        </is>
      </c>
      <c r="F1940" t="n">
        <v>51563</v>
      </c>
      <c r="G1940" t="n">
        <v>1257213.9</v>
      </c>
      <c r="H1940" t="n">
        <v>1258432.4</v>
      </c>
      <c r="I1940">
        <f>DAY(EOMONTH(DATE(VALUE(LEFT(E1940,4)),VALUE(RIGHT(E1940,2)),1),0))</f>
        <v/>
      </c>
      <c r="J1940">
        <f>VALUE(LEFT(E1940,4))*12+VALUE(RIGHT(E1940,2))-1</f>
        <v/>
      </c>
    </row>
    <row r="1941">
      <c r="A1941" t="inlineStr">
        <is>
          <t>Diadema</t>
        </is>
      </c>
      <c r="B1941" t="inlineStr">
        <is>
          <t>Golfo San Jorge</t>
        </is>
      </c>
      <c r="C1941" t="inlineStr">
        <is>
          <t>COMPAÑÍAS ASOCIADAS PETROLERAS S.A.</t>
        </is>
      </c>
      <c r="D1941" t="inlineStr">
        <is>
          <t>convencional</t>
        </is>
      </c>
      <c r="E1941" t="inlineStr">
        <is>
          <t>2015-01</t>
        </is>
      </c>
      <c r="F1941" t="n">
        <v>51863</v>
      </c>
      <c r="G1941" t="n">
        <v>1254728.8</v>
      </c>
      <c r="H1941" t="n">
        <v>1254231.3</v>
      </c>
      <c r="I1941">
        <f>DAY(EOMONTH(DATE(VALUE(LEFT(E1941,4)),VALUE(RIGHT(E1941,2)),1),0))</f>
        <v/>
      </c>
      <c r="J1941">
        <f>VALUE(LEFT(E1941,4))*12+VALUE(RIGHT(E1941,2))-1</f>
        <v/>
      </c>
    </row>
    <row r="1942">
      <c r="A1942" t="inlineStr">
        <is>
          <t>Diadema</t>
        </is>
      </c>
      <c r="B1942" t="inlineStr">
        <is>
          <t>Golfo San Jorge</t>
        </is>
      </c>
      <c r="C1942" t="inlineStr">
        <is>
          <t>COMPAÑÍAS ASOCIADAS PETROLERAS S.A.</t>
        </is>
      </c>
      <c r="D1942" t="inlineStr">
        <is>
          <t>convencional</t>
        </is>
      </c>
      <c r="E1942" t="inlineStr">
        <is>
          <t>2015-02</t>
        </is>
      </c>
      <c r="F1942" t="n">
        <v>47400</v>
      </c>
      <c r="G1942" t="n">
        <v>1124778.9</v>
      </c>
      <c r="H1942" t="n">
        <v>1124464.4</v>
      </c>
      <c r="I1942">
        <f>DAY(EOMONTH(DATE(VALUE(LEFT(E1942,4)),VALUE(RIGHT(E1942,2)),1),0))</f>
        <v/>
      </c>
      <c r="J1942">
        <f>VALUE(LEFT(E1942,4))*12+VALUE(RIGHT(E1942,2))-1</f>
        <v/>
      </c>
    </row>
    <row r="1943">
      <c r="A1943" t="inlineStr">
        <is>
          <t>Diadema</t>
        </is>
      </c>
      <c r="B1943" t="inlineStr">
        <is>
          <t>Golfo San Jorge</t>
        </is>
      </c>
      <c r="C1943" t="inlineStr">
        <is>
          <t>COMPAÑÍAS ASOCIADAS PETROLERAS S.A.</t>
        </is>
      </c>
      <c r="D1943" t="inlineStr">
        <is>
          <t>convencional</t>
        </is>
      </c>
      <c r="E1943" t="inlineStr">
        <is>
          <t>2015-03</t>
        </is>
      </c>
      <c r="F1943" t="n">
        <v>51443.2</v>
      </c>
      <c r="G1943" t="n">
        <v>1246150.1</v>
      </c>
      <c r="H1943" t="n">
        <v>1246584.2</v>
      </c>
      <c r="I1943">
        <f>DAY(EOMONTH(DATE(VALUE(LEFT(E1943,4)),VALUE(RIGHT(E1943,2)),1),0))</f>
        <v/>
      </c>
      <c r="J1943">
        <f>VALUE(LEFT(E1943,4))*12+VALUE(RIGHT(E1943,2))-1</f>
        <v/>
      </c>
    </row>
    <row r="1944">
      <c r="A1944" t="inlineStr">
        <is>
          <t>Diadema</t>
        </is>
      </c>
      <c r="B1944" t="inlineStr">
        <is>
          <t>Golfo San Jorge</t>
        </is>
      </c>
      <c r="C1944" t="inlineStr">
        <is>
          <t>COMPAÑÍAS ASOCIADAS PETROLERAS S.A.</t>
        </is>
      </c>
      <c r="D1944" t="inlineStr">
        <is>
          <t>convencional</t>
        </is>
      </c>
      <c r="E1944" t="inlineStr">
        <is>
          <t>2015-04</t>
        </is>
      </c>
      <c r="F1944" t="n">
        <v>50651.8</v>
      </c>
      <c r="G1944" t="n">
        <v>1199572.7</v>
      </c>
      <c r="H1944" t="n">
        <v>1200883.5</v>
      </c>
      <c r="I1944">
        <f>DAY(EOMONTH(DATE(VALUE(LEFT(E1944,4)),VALUE(RIGHT(E1944,2)),1),0))</f>
        <v/>
      </c>
      <c r="J1944">
        <f>VALUE(LEFT(E1944,4))*12+VALUE(RIGHT(E1944,2))-1</f>
        <v/>
      </c>
    </row>
    <row r="1945">
      <c r="A1945" t="inlineStr">
        <is>
          <t>Diadema</t>
        </is>
      </c>
      <c r="B1945" t="inlineStr">
        <is>
          <t>Golfo San Jorge</t>
        </is>
      </c>
      <c r="C1945" t="inlineStr">
        <is>
          <t>COMPAÑÍAS ASOCIADAS PETROLERAS S.A.</t>
        </is>
      </c>
      <c r="D1945" t="inlineStr">
        <is>
          <t>convencional</t>
        </is>
      </c>
      <c r="E1945" t="inlineStr">
        <is>
          <t>2015-05</t>
        </is>
      </c>
      <c r="F1945" t="n">
        <v>52718.1</v>
      </c>
      <c r="G1945" t="n">
        <v>1265673.2</v>
      </c>
      <c r="H1945" t="n">
        <v>1266788.5</v>
      </c>
      <c r="I1945">
        <f>DAY(EOMONTH(DATE(VALUE(LEFT(E1945,4)),VALUE(RIGHT(E1945,2)),1),0))</f>
        <v/>
      </c>
      <c r="J1945">
        <f>VALUE(LEFT(E1945,4))*12+VALUE(RIGHT(E1945,2))-1</f>
        <v/>
      </c>
    </row>
    <row r="1946">
      <c r="A1946" t="inlineStr">
        <is>
          <t>Diadema</t>
        </is>
      </c>
      <c r="B1946" t="inlineStr">
        <is>
          <t>Golfo San Jorge</t>
        </is>
      </c>
      <c r="C1946" t="inlineStr">
        <is>
          <t>COMPAÑÍAS ASOCIADAS PETROLERAS S.A.</t>
        </is>
      </c>
      <c r="D1946" t="inlineStr">
        <is>
          <t>convencional</t>
        </is>
      </c>
      <c r="E1946" t="inlineStr">
        <is>
          <t>2015-06</t>
        </is>
      </c>
      <c r="F1946" t="n">
        <v>49408</v>
      </c>
      <c r="G1946" t="n">
        <v>1235250.1</v>
      </c>
      <c r="H1946" t="n">
        <v>1236812.4</v>
      </c>
      <c r="I1946">
        <f>DAY(EOMONTH(DATE(VALUE(LEFT(E1946,4)),VALUE(RIGHT(E1946,2)),1),0))</f>
        <v/>
      </c>
      <c r="J1946">
        <f>VALUE(LEFT(E1946,4))*12+VALUE(RIGHT(E1946,2))-1</f>
        <v/>
      </c>
    </row>
    <row r="1947">
      <c r="A1947" t="inlineStr">
        <is>
          <t>Diadema</t>
        </is>
      </c>
      <c r="B1947" t="inlineStr">
        <is>
          <t>Golfo San Jorge</t>
        </is>
      </c>
      <c r="C1947" t="inlineStr">
        <is>
          <t>COMPAÑÍAS ASOCIADAS PETROLERAS S.A.</t>
        </is>
      </c>
      <c r="D1947" t="inlineStr">
        <is>
          <t>convencional</t>
        </is>
      </c>
      <c r="E1947" t="inlineStr">
        <is>
          <t>2015-07</t>
        </is>
      </c>
      <c r="F1947" t="n">
        <v>53303.3</v>
      </c>
      <c r="G1947" t="n">
        <v>1288016.2</v>
      </c>
      <c r="H1947" t="n">
        <v>1286810.4</v>
      </c>
      <c r="I1947">
        <f>DAY(EOMONTH(DATE(VALUE(LEFT(E1947,4)),VALUE(RIGHT(E1947,2)),1),0))</f>
        <v/>
      </c>
      <c r="J1947">
        <f>VALUE(LEFT(E1947,4))*12+VALUE(RIGHT(E1947,2))-1</f>
        <v/>
      </c>
    </row>
    <row r="1948">
      <c r="A1948" t="inlineStr">
        <is>
          <t>Diadema</t>
        </is>
      </c>
      <c r="B1948" t="inlineStr">
        <is>
          <t>Golfo San Jorge</t>
        </is>
      </c>
      <c r="C1948" t="inlineStr">
        <is>
          <t>COMPAÑÍAS ASOCIADAS PETROLERAS S.A.</t>
        </is>
      </c>
      <c r="D1948" t="inlineStr">
        <is>
          <t>convencional</t>
        </is>
      </c>
      <c r="E1948" t="inlineStr">
        <is>
          <t>2015-08</t>
        </is>
      </c>
      <c r="F1948" t="n">
        <v>52337.8</v>
      </c>
      <c r="G1948" t="n">
        <v>1283438.6</v>
      </c>
      <c r="H1948" t="n">
        <v>1282051</v>
      </c>
      <c r="I1948">
        <f>DAY(EOMONTH(DATE(VALUE(LEFT(E1948,4)),VALUE(RIGHT(E1948,2)),1),0))</f>
        <v/>
      </c>
      <c r="J1948">
        <f>VALUE(LEFT(E1948,4))*12+VALUE(RIGHT(E1948,2))-1</f>
        <v/>
      </c>
    </row>
    <row r="1949">
      <c r="A1949" t="inlineStr">
        <is>
          <t>Diadema</t>
        </is>
      </c>
      <c r="B1949" t="inlineStr">
        <is>
          <t>Golfo San Jorge</t>
        </is>
      </c>
      <c r="C1949" t="inlineStr">
        <is>
          <t>COMPAÑÍAS ASOCIADAS PETROLERAS S.A.</t>
        </is>
      </c>
      <c r="D1949" t="inlineStr">
        <is>
          <t>convencional</t>
        </is>
      </c>
      <c r="E1949" t="inlineStr">
        <is>
          <t>2015-09</t>
        </is>
      </c>
      <c r="F1949" t="n">
        <v>48941.4</v>
      </c>
      <c r="G1949" t="n">
        <v>1223615.4</v>
      </c>
      <c r="H1949" t="n">
        <v>1221902.2</v>
      </c>
      <c r="I1949">
        <f>DAY(EOMONTH(DATE(VALUE(LEFT(E1949,4)),VALUE(RIGHT(E1949,2)),1),0))</f>
        <v/>
      </c>
      <c r="J1949">
        <f>VALUE(LEFT(E1949,4))*12+VALUE(RIGHT(E1949,2))-1</f>
        <v/>
      </c>
    </row>
    <row r="1950">
      <c r="A1950" t="inlineStr">
        <is>
          <t>Diadema</t>
        </is>
      </c>
      <c r="B1950" t="inlineStr">
        <is>
          <t>Golfo San Jorge</t>
        </is>
      </c>
      <c r="C1950" t="inlineStr">
        <is>
          <t>COMPAÑÍAS ASOCIADAS PETROLERAS S.A.</t>
        </is>
      </c>
      <c r="D1950" t="inlineStr">
        <is>
          <t>convencional</t>
        </is>
      </c>
      <c r="E1950" t="inlineStr">
        <is>
          <t>2015-10</t>
        </is>
      </c>
      <c r="F1950" t="n">
        <v>53206.6</v>
      </c>
      <c r="G1950" t="n">
        <v>1272384.6</v>
      </c>
      <c r="H1950" t="n">
        <v>1270630.8</v>
      </c>
      <c r="I1950">
        <f>DAY(EOMONTH(DATE(VALUE(LEFT(E1950,4)),VALUE(RIGHT(E1950,2)),1),0))</f>
        <v/>
      </c>
      <c r="J1950">
        <f>VALUE(LEFT(E1950,4))*12+VALUE(RIGHT(E1950,2))-1</f>
        <v/>
      </c>
    </row>
    <row r="1951">
      <c r="A1951" t="inlineStr">
        <is>
          <t>Diadema</t>
        </is>
      </c>
      <c r="B1951" t="inlineStr">
        <is>
          <t>Golfo San Jorge</t>
        </is>
      </c>
      <c r="C1951" t="inlineStr">
        <is>
          <t>COMPAÑÍAS ASOCIADAS PETROLERAS S.A.</t>
        </is>
      </c>
      <c r="D1951" t="inlineStr">
        <is>
          <t>convencional</t>
        </is>
      </c>
      <c r="E1951" t="inlineStr">
        <is>
          <t>2015-11</t>
        </is>
      </c>
      <c r="F1951" t="n">
        <v>50681.7</v>
      </c>
      <c r="G1951" t="n">
        <v>1238964.9</v>
      </c>
      <c r="H1951" t="n">
        <v>1238044.2</v>
      </c>
      <c r="I1951">
        <f>DAY(EOMONTH(DATE(VALUE(LEFT(E1951,4)),VALUE(RIGHT(E1951,2)),1),0))</f>
        <v/>
      </c>
      <c r="J1951">
        <f>VALUE(LEFT(E1951,4))*12+VALUE(RIGHT(E1951,2))-1</f>
        <v/>
      </c>
    </row>
    <row r="1952">
      <c r="A1952" t="inlineStr">
        <is>
          <t>Diadema</t>
        </is>
      </c>
      <c r="B1952" t="inlineStr">
        <is>
          <t>Golfo San Jorge</t>
        </is>
      </c>
      <c r="C1952" t="inlineStr">
        <is>
          <t>COMPAÑÍAS ASOCIADAS PETROLERAS S.A.</t>
        </is>
      </c>
      <c r="D1952" t="inlineStr">
        <is>
          <t>convencional</t>
        </is>
      </c>
      <c r="E1952" t="inlineStr">
        <is>
          <t>2015-12</t>
        </is>
      </c>
      <c r="F1952" t="n">
        <v>50135.6</v>
      </c>
      <c r="G1952" t="n">
        <v>1290253.1</v>
      </c>
      <c r="H1952" t="n">
        <v>1288994.6</v>
      </c>
      <c r="I1952">
        <f>DAY(EOMONTH(DATE(VALUE(LEFT(E1952,4)),VALUE(RIGHT(E1952,2)),1),0))</f>
        <v/>
      </c>
      <c r="J1952">
        <f>VALUE(LEFT(E1952,4))*12+VALUE(RIGHT(E1952,2))-1</f>
        <v/>
      </c>
    </row>
    <row r="1953">
      <c r="A1953" t="inlineStr">
        <is>
          <t>Diadema</t>
        </is>
      </c>
      <c r="B1953" t="inlineStr">
        <is>
          <t>Golfo San Jorge</t>
        </is>
      </c>
      <c r="C1953" t="inlineStr">
        <is>
          <t>COMPAÑÍAS ASOCIADAS PETROLERAS S.A.</t>
        </is>
      </c>
      <c r="D1953" t="inlineStr">
        <is>
          <t>convencional</t>
        </is>
      </c>
      <c r="E1953" t="inlineStr">
        <is>
          <t>2016-01</t>
        </is>
      </c>
      <c r="F1953" t="n">
        <v>53630.9</v>
      </c>
      <c r="G1953" t="n">
        <v>1272533.7</v>
      </c>
      <c r="H1953" t="n">
        <v>1271641.1</v>
      </c>
      <c r="I1953">
        <f>DAY(EOMONTH(DATE(VALUE(LEFT(E1953,4)),VALUE(RIGHT(E1953,2)),1),0))</f>
        <v/>
      </c>
      <c r="J1953">
        <f>VALUE(LEFT(E1953,4))*12+VALUE(RIGHT(E1953,2))-1</f>
        <v/>
      </c>
    </row>
    <row r="1954">
      <c r="A1954" t="inlineStr">
        <is>
          <t>Diadema</t>
        </is>
      </c>
      <c r="B1954" t="inlineStr">
        <is>
          <t>Golfo San Jorge</t>
        </is>
      </c>
      <c r="C1954" t="inlineStr">
        <is>
          <t>COMPAÑÍAS ASOCIADAS PETROLERAS S.A.</t>
        </is>
      </c>
      <c r="D1954" t="inlineStr">
        <is>
          <t>convencional</t>
        </is>
      </c>
      <c r="E1954" t="inlineStr">
        <is>
          <t>2016-02</t>
        </is>
      </c>
      <c r="F1954" t="n">
        <v>50061.3</v>
      </c>
      <c r="G1954" t="n">
        <v>1179461.5</v>
      </c>
      <c r="H1954" t="n">
        <v>1177267.4</v>
      </c>
      <c r="I1954">
        <f>DAY(EOMONTH(DATE(VALUE(LEFT(E1954,4)),VALUE(RIGHT(E1954,2)),1),0))</f>
        <v/>
      </c>
      <c r="J1954">
        <f>VALUE(LEFT(E1954,4))*12+VALUE(RIGHT(E1954,2))-1</f>
        <v/>
      </c>
    </row>
    <row r="1955">
      <c r="A1955" t="inlineStr">
        <is>
          <t>Diadema</t>
        </is>
      </c>
      <c r="B1955" t="inlineStr">
        <is>
          <t>Golfo San Jorge</t>
        </is>
      </c>
      <c r="C1955" t="inlineStr">
        <is>
          <t>COMPAÑÍAS ASOCIADAS PETROLERAS S.A.</t>
        </is>
      </c>
      <c r="D1955" t="inlineStr">
        <is>
          <t>convencional</t>
        </is>
      </c>
      <c r="E1955" t="inlineStr">
        <is>
          <t>2016-03</t>
        </is>
      </c>
      <c r="F1955" t="n">
        <v>54978.7</v>
      </c>
      <c r="G1955" t="n">
        <v>1314877.1</v>
      </c>
      <c r="H1955" t="n">
        <v>1314540.1</v>
      </c>
      <c r="I1955">
        <f>DAY(EOMONTH(DATE(VALUE(LEFT(E1955,4)),VALUE(RIGHT(E1955,2)),1),0))</f>
        <v/>
      </c>
      <c r="J1955">
        <f>VALUE(LEFT(E1955,4))*12+VALUE(RIGHT(E1955,2))-1</f>
        <v/>
      </c>
    </row>
    <row r="1956">
      <c r="A1956" t="inlineStr">
        <is>
          <t>Diadema</t>
        </is>
      </c>
      <c r="B1956" t="inlineStr">
        <is>
          <t>Golfo San Jorge</t>
        </is>
      </c>
      <c r="C1956" t="inlineStr">
        <is>
          <t>COMPAÑÍAS ASOCIADAS PETROLERAS S.A.</t>
        </is>
      </c>
      <c r="D1956" t="inlineStr">
        <is>
          <t>convencional</t>
        </is>
      </c>
      <c r="E1956" t="inlineStr">
        <is>
          <t>2016-04</t>
        </is>
      </c>
      <c r="F1956" t="n">
        <v>52438.3</v>
      </c>
      <c r="G1956" t="n">
        <v>1281241.5</v>
      </c>
      <c r="H1956" t="n">
        <v>1281020.4</v>
      </c>
      <c r="I1956">
        <f>DAY(EOMONTH(DATE(VALUE(LEFT(E1956,4)),VALUE(RIGHT(E1956,2)),1),0))</f>
        <v/>
      </c>
      <c r="J1956">
        <f>VALUE(LEFT(E1956,4))*12+VALUE(RIGHT(E1956,2))-1</f>
        <v/>
      </c>
    </row>
    <row r="1957">
      <c r="A1957" t="inlineStr">
        <is>
          <t>Diadema</t>
        </is>
      </c>
      <c r="B1957" t="inlineStr">
        <is>
          <t>Golfo San Jorge</t>
        </is>
      </c>
      <c r="C1957" t="inlineStr">
        <is>
          <t>COMPAÑÍAS ASOCIADAS PETROLERAS S.A.</t>
        </is>
      </c>
      <c r="D1957" t="inlineStr">
        <is>
          <t>convencional</t>
        </is>
      </c>
      <c r="E1957" t="inlineStr">
        <is>
          <t>2016-05</t>
        </is>
      </c>
      <c r="F1957" t="n">
        <v>54490.1</v>
      </c>
      <c r="G1957" t="n">
        <v>1343727.9</v>
      </c>
      <c r="H1957" t="n">
        <v>1343037.3</v>
      </c>
      <c r="I1957">
        <f>DAY(EOMONTH(DATE(VALUE(LEFT(E1957,4)),VALUE(RIGHT(E1957,2)),1),0))</f>
        <v/>
      </c>
      <c r="J1957">
        <f>VALUE(LEFT(E1957,4))*12+VALUE(RIGHT(E1957,2))-1</f>
        <v/>
      </c>
    </row>
    <row r="1958">
      <c r="A1958" t="inlineStr">
        <is>
          <t>Diadema</t>
        </is>
      </c>
      <c r="B1958" t="inlineStr">
        <is>
          <t>Golfo San Jorge</t>
        </is>
      </c>
      <c r="C1958" t="inlineStr">
        <is>
          <t>COMPAÑÍAS ASOCIADAS PETROLERAS S.A.</t>
        </is>
      </c>
      <c r="D1958" t="inlineStr">
        <is>
          <t>convencional</t>
        </is>
      </c>
      <c r="E1958" t="inlineStr">
        <is>
          <t>2016-06</t>
        </is>
      </c>
      <c r="F1958" t="n">
        <v>53870.3</v>
      </c>
      <c r="G1958" t="n">
        <v>1291762.2</v>
      </c>
      <c r="H1958" t="n">
        <v>1291778.1</v>
      </c>
      <c r="I1958">
        <f>DAY(EOMONTH(DATE(VALUE(LEFT(E1958,4)),VALUE(RIGHT(E1958,2)),1),0))</f>
        <v/>
      </c>
      <c r="J1958">
        <f>VALUE(LEFT(E1958,4))*12+VALUE(RIGHT(E1958,2))-1</f>
        <v/>
      </c>
    </row>
    <row r="1959">
      <c r="A1959" t="inlineStr">
        <is>
          <t>Diadema</t>
        </is>
      </c>
      <c r="B1959" t="inlineStr">
        <is>
          <t>Golfo San Jorge</t>
        </is>
      </c>
      <c r="C1959" t="inlineStr">
        <is>
          <t>COMPAÑÍAS ASOCIADAS PETROLERAS S.A.</t>
        </is>
      </c>
      <c r="D1959" t="inlineStr">
        <is>
          <t>convencional</t>
        </is>
      </c>
      <c r="E1959" t="inlineStr">
        <is>
          <t>2016-07</t>
        </is>
      </c>
      <c r="F1959" t="n">
        <v>53945.2</v>
      </c>
      <c r="G1959" t="n">
        <v>1308975</v>
      </c>
      <c r="H1959" t="n">
        <v>1308456.1</v>
      </c>
      <c r="I1959">
        <f>DAY(EOMONTH(DATE(VALUE(LEFT(E1959,4)),VALUE(RIGHT(E1959,2)),1),0))</f>
        <v/>
      </c>
      <c r="J1959">
        <f>VALUE(LEFT(E1959,4))*12+VALUE(RIGHT(E1959,2))-1</f>
        <v/>
      </c>
    </row>
    <row r="1960">
      <c r="A1960" t="inlineStr">
        <is>
          <t>Diadema</t>
        </is>
      </c>
      <c r="B1960" t="inlineStr">
        <is>
          <t>Golfo San Jorge</t>
        </is>
      </c>
      <c r="C1960" t="inlineStr">
        <is>
          <t>COMPAÑÍAS ASOCIADAS PETROLERAS S.A.</t>
        </is>
      </c>
      <c r="D1960" t="inlineStr">
        <is>
          <t>convencional</t>
        </is>
      </c>
      <c r="E1960" t="inlineStr">
        <is>
          <t>2016-08</t>
        </is>
      </c>
      <c r="F1960" t="n">
        <v>53960.1</v>
      </c>
      <c r="G1960" t="n">
        <v>1320163.5</v>
      </c>
      <c r="H1960" t="n">
        <v>1318266.4</v>
      </c>
      <c r="I1960">
        <f>DAY(EOMONTH(DATE(VALUE(LEFT(E1960,4)),VALUE(RIGHT(E1960,2)),1),0))</f>
        <v/>
      </c>
      <c r="J1960">
        <f>VALUE(LEFT(E1960,4))*12+VALUE(RIGHT(E1960,2))-1</f>
        <v/>
      </c>
    </row>
    <row r="1961">
      <c r="A1961" t="inlineStr">
        <is>
          <t>Diadema</t>
        </is>
      </c>
      <c r="B1961" t="inlineStr">
        <is>
          <t>Golfo San Jorge</t>
        </is>
      </c>
      <c r="C1961" t="inlineStr">
        <is>
          <t>COMPAÑÍAS ASOCIADAS PETROLERAS S.A.</t>
        </is>
      </c>
      <c r="D1961" t="inlineStr">
        <is>
          <t>convencional</t>
        </is>
      </c>
      <c r="E1961" t="inlineStr">
        <is>
          <t>2016-09</t>
        </is>
      </c>
      <c r="F1961" t="n">
        <v>53361.9</v>
      </c>
      <c r="G1961" t="n">
        <v>1297251.1</v>
      </c>
      <c r="H1961" t="n">
        <v>1297087.2</v>
      </c>
      <c r="I1961">
        <f>DAY(EOMONTH(DATE(VALUE(LEFT(E1961,4)),VALUE(RIGHT(E1961,2)),1),0))</f>
        <v/>
      </c>
      <c r="J1961">
        <f>VALUE(LEFT(E1961,4))*12+VALUE(RIGHT(E1961,2))-1</f>
        <v/>
      </c>
    </row>
    <row r="1962">
      <c r="A1962" t="inlineStr">
        <is>
          <t>Diadema</t>
        </is>
      </c>
      <c r="B1962" t="inlineStr">
        <is>
          <t>Golfo San Jorge</t>
        </is>
      </c>
      <c r="C1962" t="inlineStr">
        <is>
          <t>COMPAÑÍAS ASOCIADAS PETROLERAS S.A.</t>
        </is>
      </c>
      <c r="D1962" t="inlineStr">
        <is>
          <t>convencional</t>
        </is>
      </c>
      <c r="E1962" t="inlineStr">
        <is>
          <t>2016-10</t>
        </is>
      </c>
      <c r="F1962" t="n">
        <v>55147.2</v>
      </c>
      <c r="G1962" t="n">
        <v>1351002.4</v>
      </c>
      <c r="H1962" t="n">
        <v>1351829.9</v>
      </c>
      <c r="I1962">
        <f>DAY(EOMONTH(DATE(VALUE(LEFT(E1962,4)),VALUE(RIGHT(E1962,2)),1),0))</f>
        <v/>
      </c>
      <c r="J1962">
        <f>VALUE(LEFT(E1962,4))*12+VALUE(RIGHT(E1962,2))-1</f>
        <v/>
      </c>
    </row>
    <row r="1963">
      <c r="A1963" t="inlineStr">
        <is>
          <t>Diadema</t>
        </is>
      </c>
      <c r="B1963" t="inlineStr">
        <is>
          <t>Golfo San Jorge</t>
        </is>
      </c>
      <c r="C1963" t="inlineStr">
        <is>
          <t>COMPAÑÍAS ASOCIADAS PETROLERAS S.A.</t>
        </is>
      </c>
      <c r="D1963" t="inlineStr">
        <is>
          <t>convencional</t>
        </is>
      </c>
      <c r="E1963" t="inlineStr">
        <is>
          <t>2016-11</t>
        </is>
      </c>
      <c r="F1963" t="n">
        <v>52543.3</v>
      </c>
      <c r="G1963" t="n">
        <v>1276260</v>
      </c>
      <c r="H1963" t="n">
        <v>1276949.4</v>
      </c>
      <c r="I1963">
        <f>DAY(EOMONTH(DATE(VALUE(LEFT(E1963,4)),VALUE(RIGHT(E1963,2)),1),0))</f>
        <v/>
      </c>
      <c r="J1963">
        <f>VALUE(LEFT(E1963,4))*12+VALUE(RIGHT(E1963,2))-1</f>
        <v/>
      </c>
    </row>
    <row r="1964">
      <c r="A1964" t="inlineStr">
        <is>
          <t>Diadema</t>
        </is>
      </c>
      <c r="B1964" t="inlineStr">
        <is>
          <t>Golfo San Jorge</t>
        </is>
      </c>
      <c r="C1964" t="inlineStr">
        <is>
          <t>COMPAÑÍAS ASOCIADAS PETROLERAS S.A.</t>
        </is>
      </c>
      <c r="D1964" t="inlineStr">
        <is>
          <t>convencional</t>
        </is>
      </c>
      <c r="E1964" t="inlineStr">
        <is>
          <t>2016-12</t>
        </is>
      </c>
      <c r="F1964" t="n">
        <v>55090.5</v>
      </c>
      <c r="G1964" t="n">
        <v>1327052.2</v>
      </c>
      <c r="H1964" t="n">
        <v>1326384.7</v>
      </c>
      <c r="I1964">
        <f>DAY(EOMONTH(DATE(VALUE(LEFT(E1964,4)),VALUE(RIGHT(E1964,2)),1),0))</f>
        <v/>
      </c>
      <c r="J1964">
        <f>VALUE(LEFT(E1964,4))*12+VALUE(RIGHT(E1964,2))-1</f>
        <v/>
      </c>
    </row>
    <row r="1965">
      <c r="A1965" t="inlineStr">
        <is>
          <t>Diadema</t>
        </is>
      </c>
      <c r="B1965" t="inlineStr">
        <is>
          <t>Golfo San Jorge</t>
        </is>
      </c>
      <c r="C1965" t="inlineStr">
        <is>
          <t>COMPAÑÍAS ASOCIADAS PETROLERAS S.A.</t>
        </is>
      </c>
      <c r="D1965" t="inlineStr">
        <is>
          <t>convencional</t>
        </is>
      </c>
      <c r="E1965" t="inlineStr">
        <is>
          <t>2017-01</t>
        </is>
      </c>
      <c r="F1965" t="n">
        <v>57379.5</v>
      </c>
      <c r="G1965" t="n">
        <v>1296874.4</v>
      </c>
      <c r="H1965" t="n">
        <v>1296109.3</v>
      </c>
      <c r="I1965">
        <f>DAY(EOMONTH(DATE(VALUE(LEFT(E1965,4)),VALUE(RIGHT(E1965,2)),1),0))</f>
        <v/>
      </c>
      <c r="J1965">
        <f>VALUE(LEFT(E1965,4))*12+VALUE(RIGHT(E1965,2))-1</f>
        <v/>
      </c>
    </row>
    <row r="1966">
      <c r="A1966" t="inlineStr">
        <is>
          <t>Diadema</t>
        </is>
      </c>
      <c r="B1966" t="inlineStr">
        <is>
          <t>Golfo San Jorge</t>
        </is>
      </c>
      <c r="C1966" t="inlineStr">
        <is>
          <t>COMPAÑÍAS ASOCIADAS PETROLERAS S.A.</t>
        </is>
      </c>
      <c r="D1966" t="inlineStr">
        <is>
          <t>convencional</t>
        </is>
      </c>
      <c r="E1966" t="inlineStr">
        <is>
          <t>2017-02</t>
        </is>
      </c>
      <c r="F1966" t="n">
        <v>50420.9</v>
      </c>
      <c r="G1966" t="n">
        <v>1152515.3</v>
      </c>
      <c r="H1966" t="n">
        <v>1151455.6</v>
      </c>
      <c r="I1966">
        <f>DAY(EOMONTH(DATE(VALUE(LEFT(E1966,4)),VALUE(RIGHT(E1966,2)),1),0))</f>
        <v/>
      </c>
      <c r="J1966">
        <f>VALUE(LEFT(E1966,4))*12+VALUE(RIGHT(E1966,2))-1</f>
        <v/>
      </c>
    </row>
    <row r="1967">
      <c r="A1967" t="inlineStr">
        <is>
          <t>Diadema</t>
        </is>
      </c>
      <c r="B1967" t="inlineStr">
        <is>
          <t>Golfo San Jorge</t>
        </is>
      </c>
      <c r="C1967" t="inlineStr">
        <is>
          <t>COMPAÑÍAS ASOCIADAS PETROLERAS S.A.</t>
        </is>
      </c>
      <c r="D1967" t="inlineStr">
        <is>
          <t>convencional</t>
        </is>
      </c>
      <c r="E1967" t="inlineStr">
        <is>
          <t>2017-03</t>
        </is>
      </c>
      <c r="F1967" t="n">
        <v>52748.8</v>
      </c>
      <c r="G1967" t="n">
        <v>1247685.9</v>
      </c>
      <c r="H1967" t="n">
        <v>1245726.8</v>
      </c>
      <c r="I1967">
        <f>DAY(EOMONTH(DATE(VALUE(LEFT(E1967,4)),VALUE(RIGHT(E1967,2)),1),0))</f>
        <v/>
      </c>
      <c r="J1967">
        <f>VALUE(LEFT(E1967,4))*12+VALUE(RIGHT(E1967,2))-1</f>
        <v/>
      </c>
    </row>
    <row r="1968">
      <c r="A1968" t="inlineStr">
        <is>
          <t>Diadema</t>
        </is>
      </c>
      <c r="B1968" t="inlineStr">
        <is>
          <t>Golfo San Jorge</t>
        </is>
      </c>
      <c r="C1968" t="inlineStr">
        <is>
          <t>COMPAÑÍAS ASOCIADAS PETROLERAS S.A.</t>
        </is>
      </c>
      <c r="D1968" t="inlineStr">
        <is>
          <t>convencional</t>
        </is>
      </c>
      <c r="E1968" t="inlineStr">
        <is>
          <t>2017-04</t>
        </is>
      </c>
      <c r="F1968" t="n">
        <v>45516.5</v>
      </c>
      <c r="G1968" t="n">
        <v>1010583.1</v>
      </c>
      <c r="H1968" t="n">
        <v>1009529.3</v>
      </c>
      <c r="I1968">
        <f>DAY(EOMONTH(DATE(VALUE(LEFT(E1968,4)),VALUE(RIGHT(E1968,2)),1),0))</f>
        <v/>
      </c>
      <c r="J1968">
        <f>VALUE(LEFT(E1968,4))*12+VALUE(RIGHT(E1968,2))-1</f>
        <v/>
      </c>
    </row>
    <row r="1969">
      <c r="A1969" t="inlineStr">
        <is>
          <t>Diadema</t>
        </is>
      </c>
      <c r="B1969" t="inlineStr">
        <is>
          <t>Golfo San Jorge</t>
        </is>
      </c>
      <c r="C1969" t="inlineStr">
        <is>
          <t>COMPAÑÍAS ASOCIADAS PETROLERAS S.A.</t>
        </is>
      </c>
      <c r="D1969" t="inlineStr">
        <is>
          <t>convencional</t>
        </is>
      </c>
      <c r="E1969" t="inlineStr">
        <is>
          <t>2017-05</t>
        </is>
      </c>
      <c r="F1969" t="n">
        <v>49469.2</v>
      </c>
      <c r="G1969" t="n">
        <v>1143724.4</v>
      </c>
      <c r="H1969" t="n">
        <v>1146030.7</v>
      </c>
      <c r="I1969">
        <f>DAY(EOMONTH(DATE(VALUE(LEFT(E1969,4)),VALUE(RIGHT(E1969,2)),1),0))</f>
        <v/>
      </c>
      <c r="J1969">
        <f>VALUE(LEFT(E1969,4))*12+VALUE(RIGHT(E1969,2))-1</f>
        <v/>
      </c>
    </row>
    <row r="1970">
      <c r="A1970" t="inlineStr">
        <is>
          <t>Diadema</t>
        </is>
      </c>
      <c r="B1970" t="inlineStr">
        <is>
          <t>Golfo San Jorge</t>
        </is>
      </c>
      <c r="C1970" t="inlineStr">
        <is>
          <t>COMPAÑÍAS ASOCIADAS PETROLERAS S.A.</t>
        </is>
      </c>
      <c r="D1970" t="inlineStr">
        <is>
          <t>convencional</t>
        </is>
      </c>
      <c r="E1970" t="inlineStr">
        <is>
          <t>2017-06</t>
        </is>
      </c>
      <c r="F1970" t="n">
        <v>44659.2</v>
      </c>
      <c r="G1970" t="n">
        <v>1107232.5</v>
      </c>
      <c r="H1970" t="n">
        <v>1107073.2</v>
      </c>
      <c r="I1970">
        <f>DAY(EOMONTH(DATE(VALUE(LEFT(E1970,4)),VALUE(RIGHT(E1970,2)),1),0))</f>
        <v/>
      </c>
      <c r="J1970">
        <f>VALUE(LEFT(E1970,4))*12+VALUE(RIGHT(E1970,2))-1</f>
        <v/>
      </c>
    </row>
    <row r="1971">
      <c r="A1971" t="inlineStr">
        <is>
          <t>Diadema</t>
        </is>
      </c>
      <c r="B1971" t="inlineStr">
        <is>
          <t>Golfo San Jorge</t>
        </is>
      </c>
      <c r="C1971" t="inlineStr">
        <is>
          <t>COMPAÑÍAS ASOCIADAS PETROLERAS S.A.</t>
        </is>
      </c>
      <c r="D1971" t="inlineStr">
        <is>
          <t>convencional</t>
        </is>
      </c>
      <c r="E1971" t="inlineStr">
        <is>
          <t>2017-07</t>
        </is>
      </c>
      <c r="F1971" t="n">
        <v>51586.1</v>
      </c>
      <c r="G1971" t="n">
        <v>1270733.8</v>
      </c>
      <c r="H1971" t="n">
        <v>1270297.5</v>
      </c>
      <c r="I1971">
        <f>DAY(EOMONTH(DATE(VALUE(LEFT(E1971,4)),VALUE(RIGHT(E1971,2)),1),0))</f>
        <v/>
      </c>
      <c r="J1971">
        <f>VALUE(LEFT(E1971,4))*12+VALUE(RIGHT(E1971,2))-1</f>
        <v/>
      </c>
    </row>
    <row r="1972">
      <c r="A1972" t="inlineStr">
        <is>
          <t>Diadema</t>
        </is>
      </c>
      <c r="B1972" t="inlineStr">
        <is>
          <t>Golfo San Jorge</t>
        </is>
      </c>
      <c r="C1972" t="inlineStr">
        <is>
          <t>COMPAÑÍAS ASOCIADAS PETROLERAS S.A.</t>
        </is>
      </c>
      <c r="D1972" t="inlineStr">
        <is>
          <t>convencional</t>
        </is>
      </c>
      <c r="E1972" t="inlineStr">
        <is>
          <t>2017-08</t>
        </is>
      </c>
      <c r="F1972" t="n">
        <v>52530.9</v>
      </c>
      <c r="G1972" t="n">
        <v>1262688.5</v>
      </c>
      <c r="H1972" t="n">
        <v>1262625.1</v>
      </c>
      <c r="I1972">
        <f>DAY(EOMONTH(DATE(VALUE(LEFT(E1972,4)),VALUE(RIGHT(E1972,2)),1),0))</f>
        <v/>
      </c>
      <c r="J1972">
        <f>VALUE(LEFT(E1972,4))*12+VALUE(RIGHT(E1972,2))-1</f>
        <v/>
      </c>
    </row>
    <row r="1973">
      <c r="A1973" t="inlineStr">
        <is>
          <t>Diadema</t>
        </is>
      </c>
      <c r="B1973" t="inlineStr">
        <is>
          <t>Golfo San Jorge</t>
        </is>
      </c>
      <c r="C1973" t="inlineStr">
        <is>
          <t>COMPAÑÍAS ASOCIADAS PETROLERAS S.A.</t>
        </is>
      </c>
      <c r="D1973" t="inlineStr">
        <is>
          <t>convencional</t>
        </is>
      </c>
      <c r="E1973" t="inlineStr">
        <is>
          <t>2017-09</t>
        </is>
      </c>
      <c r="F1973" t="n">
        <v>52266</v>
      </c>
      <c r="G1973" t="n">
        <v>1242146.8</v>
      </c>
      <c r="H1973" t="n">
        <v>1243105.5</v>
      </c>
      <c r="I1973">
        <f>DAY(EOMONTH(DATE(VALUE(LEFT(E1973,4)),VALUE(RIGHT(E1973,2)),1),0))</f>
        <v/>
      </c>
      <c r="J1973">
        <f>VALUE(LEFT(E1973,4))*12+VALUE(RIGHT(E1973,2))-1</f>
        <v/>
      </c>
    </row>
    <row r="1974">
      <c r="A1974" t="inlineStr">
        <is>
          <t>Diadema</t>
        </is>
      </c>
      <c r="B1974" t="inlineStr">
        <is>
          <t>Golfo San Jorge</t>
        </is>
      </c>
      <c r="C1974" t="inlineStr">
        <is>
          <t>COMPAÑÍAS ASOCIADAS PETROLERAS S.A.</t>
        </is>
      </c>
      <c r="D1974" t="inlineStr">
        <is>
          <t>convencional</t>
        </is>
      </c>
      <c r="E1974" t="inlineStr">
        <is>
          <t>2017-10</t>
        </is>
      </c>
      <c r="F1974" t="n">
        <v>55607.7</v>
      </c>
      <c r="G1974" t="n">
        <v>1337713.4</v>
      </c>
      <c r="H1974" t="n">
        <v>1338187.2</v>
      </c>
      <c r="I1974">
        <f>DAY(EOMONTH(DATE(VALUE(LEFT(E1974,4)),VALUE(RIGHT(E1974,2)),1),0))</f>
        <v/>
      </c>
      <c r="J1974">
        <f>VALUE(LEFT(E1974,4))*12+VALUE(RIGHT(E1974,2))-1</f>
        <v/>
      </c>
    </row>
    <row r="1975">
      <c r="A1975" t="inlineStr">
        <is>
          <t>Diadema</t>
        </is>
      </c>
      <c r="B1975" t="inlineStr">
        <is>
          <t>Golfo San Jorge</t>
        </is>
      </c>
      <c r="C1975" t="inlineStr">
        <is>
          <t>COMPAÑÍAS ASOCIADAS PETROLERAS S.A.</t>
        </is>
      </c>
      <c r="D1975" t="inlineStr">
        <is>
          <t>convencional</t>
        </is>
      </c>
      <c r="E1975" t="inlineStr">
        <is>
          <t>2017-11</t>
        </is>
      </c>
      <c r="F1975" t="n">
        <v>52650.6</v>
      </c>
      <c r="G1975" t="n">
        <v>1278545.8</v>
      </c>
      <c r="H1975" t="n">
        <v>1279207.4</v>
      </c>
      <c r="I1975">
        <f>DAY(EOMONTH(DATE(VALUE(LEFT(E1975,4)),VALUE(RIGHT(E1975,2)),1),0))</f>
        <v/>
      </c>
      <c r="J1975">
        <f>VALUE(LEFT(E1975,4))*12+VALUE(RIGHT(E1975,2))-1</f>
        <v/>
      </c>
    </row>
    <row r="1976">
      <c r="A1976" t="inlineStr">
        <is>
          <t>Diadema</t>
        </is>
      </c>
      <c r="B1976" t="inlineStr">
        <is>
          <t>Golfo San Jorge</t>
        </is>
      </c>
      <c r="C1976" t="inlineStr">
        <is>
          <t>COMPAÑÍAS ASOCIADAS PETROLERAS S.A.</t>
        </is>
      </c>
      <c r="D1976" t="inlineStr">
        <is>
          <t>convencional</t>
        </is>
      </c>
      <c r="E1976" t="inlineStr">
        <is>
          <t>2017-12</t>
        </is>
      </c>
      <c r="F1976" t="n">
        <v>54027</v>
      </c>
      <c r="G1976" t="n">
        <v>1318978.7</v>
      </c>
      <c r="H1976" t="n">
        <v>1319961.6</v>
      </c>
      <c r="I1976">
        <f>DAY(EOMONTH(DATE(VALUE(LEFT(E1976,4)),VALUE(RIGHT(E1976,2)),1),0))</f>
        <v/>
      </c>
      <c r="J1976">
        <f>VALUE(LEFT(E1976,4))*12+VALUE(RIGHT(E1976,2))-1</f>
        <v/>
      </c>
    </row>
    <row r="1977">
      <c r="A1977" t="inlineStr">
        <is>
          <t>Diadema</t>
        </is>
      </c>
      <c r="B1977" t="inlineStr">
        <is>
          <t>Golfo San Jorge</t>
        </is>
      </c>
      <c r="C1977" t="inlineStr">
        <is>
          <t>COMPAÑÍAS ASOCIADAS PETROLERAS S.A.</t>
        </is>
      </c>
      <c r="D1977" t="inlineStr">
        <is>
          <t>convencional</t>
        </is>
      </c>
      <c r="E1977" t="inlineStr">
        <is>
          <t>2018-01</t>
        </is>
      </c>
      <c r="F1977" t="n">
        <v>53470</v>
      </c>
      <c r="G1977" t="n">
        <v>1317004.4</v>
      </c>
      <c r="H1977" t="n">
        <v>1317901.5</v>
      </c>
      <c r="I1977">
        <f>DAY(EOMONTH(DATE(VALUE(LEFT(E1977,4)),VALUE(RIGHT(E1977,2)),1),0))</f>
        <v/>
      </c>
      <c r="J1977">
        <f>VALUE(LEFT(E1977,4))*12+VALUE(RIGHT(E1977,2))-1</f>
        <v/>
      </c>
    </row>
    <row r="1978">
      <c r="A1978" t="inlineStr">
        <is>
          <t>Diadema</t>
        </is>
      </c>
      <c r="B1978" t="inlineStr">
        <is>
          <t>Golfo San Jorge</t>
        </is>
      </c>
      <c r="C1978" t="inlineStr">
        <is>
          <t>COMPAÑÍAS ASOCIADAS PETROLERAS S.A.</t>
        </is>
      </c>
      <c r="D1978" t="inlineStr">
        <is>
          <t>convencional</t>
        </is>
      </c>
      <c r="E1978" t="inlineStr">
        <is>
          <t>2018-02</t>
        </is>
      </c>
      <c r="F1978" t="n">
        <v>49420</v>
      </c>
      <c r="G1978" t="n">
        <v>1245367.7</v>
      </c>
      <c r="H1978" t="n">
        <v>1244672.3</v>
      </c>
      <c r="I1978">
        <f>DAY(EOMONTH(DATE(VALUE(LEFT(E1978,4)),VALUE(RIGHT(E1978,2)),1),0))</f>
        <v/>
      </c>
      <c r="J1978">
        <f>VALUE(LEFT(E1978,4))*12+VALUE(RIGHT(E1978,2))-1</f>
        <v/>
      </c>
    </row>
    <row r="1979">
      <c r="A1979" t="inlineStr">
        <is>
          <t>Diadema</t>
        </is>
      </c>
      <c r="B1979" t="inlineStr">
        <is>
          <t>Golfo San Jorge</t>
        </is>
      </c>
      <c r="C1979" t="inlineStr">
        <is>
          <t>COMPAÑÍAS ASOCIADAS PETROLERAS S.A.</t>
        </is>
      </c>
      <c r="D1979" t="inlineStr">
        <is>
          <t>convencional</t>
        </is>
      </c>
      <c r="E1979" t="inlineStr">
        <is>
          <t>2018-03</t>
        </is>
      </c>
      <c r="F1979" t="n">
        <v>55367.6</v>
      </c>
      <c r="G1979" t="n">
        <v>1351981.6</v>
      </c>
      <c r="H1979" t="n">
        <v>1356750.1</v>
      </c>
      <c r="I1979">
        <f>DAY(EOMONTH(DATE(VALUE(LEFT(E1979,4)),VALUE(RIGHT(E1979,2)),1),0))</f>
        <v/>
      </c>
      <c r="J1979">
        <f>VALUE(LEFT(E1979,4))*12+VALUE(RIGHT(E1979,2))-1</f>
        <v/>
      </c>
    </row>
    <row r="1980">
      <c r="A1980" t="inlineStr">
        <is>
          <t>Diadema</t>
        </is>
      </c>
      <c r="B1980" t="inlineStr">
        <is>
          <t>Golfo San Jorge</t>
        </is>
      </c>
      <c r="C1980" t="inlineStr">
        <is>
          <t>COMPAÑÍAS ASOCIADAS PETROLERAS S.A.</t>
        </is>
      </c>
      <c r="D1980" t="inlineStr">
        <is>
          <t>convencional</t>
        </is>
      </c>
      <c r="E1980" t="inlineStr">
        <is>
          <t>2018-04</t>
        </is>
      </c>
      <c r="F1980" t="n">
        <v>55573.8</v>
      </c>
      <c r="G1980" t="n">
        <v>1355188.9</v>
      </c>
      <c r="H1980" t="n">
        <v>1357757.9</v>
      </c>
      <c r="I1980">
        <f>DAY(EOMONTH(DATE(VALUE(LEFT(E1980,4)),VALUE(RIGHT(E1980,2)),1),0))</f>
        <v/>
      </c>
      <c r="J1980">
        <f>VALUE(LEFT(E1980,4))*12+VALUE(RIGHT(E1980,2))-1</f>
        <v/>
      </c>
    </row>
    <row r="1981">
      <c r="A1981" t="inlineStr">
        <is>
          <t>Diadema</t>
        </is>
      </c>
      <c r="B1981" t="inlineStr">
        <is>
          <t>Golfo San Jorge</t>
        </is>
      </c>
      <c r="C1981" t="inlineStr">
        <is>
          <t>COMPAÑÍAS ASOCIADAS PETROLERAS S.A.</t>
        </is>
      </c>
      <c r="D1981" t="inlineStr">
        <is>
          <t>convencional</t>
        </is>
      </c>
      <c r="E1981" t="inlineStr">
        <is>
          <t>2018-05</t>
        </is>
      </c>
      <c r="F1981" t="n">
        <v>55880.9</v>
      </c>
      <c r="G1981" t="n">
        <v>1351292.6</v>
      </c>
      <c r="H1981" t="n">
        <v>1353508</v>
      </c>
      <c r="I1981">
        <f>DAY(EOMONTH(DATE(VALUE(LEFT(E1981,4)),VALUE(RIGHT(E1981,2)),1),0))</f>
        <v/>
      </c>
      <c r="J1981">
        <f>VALUE(LEFT(E1981,4))*12+VALUE(RIGHT(E1981,2))-1</f>
        <v/>
      </c>
    </row>
    <row r="1982">
      <c r="A1982" t="inlineStr">
        <is>
          <t>Diadema</t>
        </is>
      </c>
      <c r="B1982" t="inlineStr">
        <is>
          <t>Golfo San Jorge</t>
        </is>
      </c>
      <c r="C1982" t="inlineStr">
        <is>
          <t>COMPAÑÍAS ASOCIADAS PETROLERAS S.A.</t>
        </is>
      </c>
      <c r="D1982" t="inlineStr">
        <is>
          <t>convencional</t>
        </is>
      </c>
      <c r="E1982" t="inlineStr">
        <is>
          <t>2018-06</t>
        </is>
      </c>
      <c r="F1982" t="n">
        <v>53982.9</v>
      </c>
      <c r="G1982" t="n">
        <v>1290263.7</v>
      </c>
      <c r="H1982" t="n">
        <v>1292573.2</v>
      </c>
      <c r="I1982">
        <f>DAY(EOMONTH(DATE(VALUE(LEFT(E1982,4)),VALUE(RIGHT(E1982,2)),1),0))</f>
        <v/>
      </c>
      <c r="J1982">
        <f>VALUE(LEFT(E1982,4))*12+VALUE(RIGHT(E1982,2))-1</f>
        <v/>
      </c>
    </row>
    <row r="1983">
      <c r="A1983" t="inlineStr">
        <is>
          <t>Diadema</t>
        </is>
      </c>
      <c r="B1983" t="inlineStr">
        <is>
          <t>Golfo San Jorge</t>
        </is>
      </c>
      <c r="C1983" t="inlineStr">
        <is>
          <t>COMPAÑÍAS ASOCIADAS PETROLERAS S.A.</t>
        </is>
      </c>
      <c r="D1983" t="inlineStr">
        <is>
          <t>convencional</t>
        </is>
      </c>
      <c r="E1983" t="inlineStr">
        <is>
          <t>2018-07</t>
        </is>
      </c>
      <c r="F1983" t="n">
        <v>56188.7</v>
      </c>
      <c r="G1983" t="n">
        <v>1332541.8</v>
      </c>
      <c r="H1983" t="n">
        <v>1334527.9</v>
      </c>
      <c r="I1983">
        <f>DAY(EOMONTH(DATE(VALUE(LEFT(E1983,4)),VALUE(RIGHT(E1983,2)),1),0))</f>
        <v/>
      </c>
      <c r="J1983">
        <f>VALUE(LEFT(E1983,4))*12+VALUE(RIGHT(E1983,2))-1</f>
        <v/>
      </c>
    </row>
    <row r="1984">
      <c r="A1984" t="inlineStr">
        <is>
          <t>Diadema</t>
        </is>
      </c>
      <c r="B1984" t="inlineStr">
        <is>
          <t>Golfo San Jorge</t>
        </is>
      </c>
      <c r="C1984" t="inlineStr">
        <is>
          <t>COMPAÑÍAS ASOCIADAS PETROLERAS S.A.</t>
        </is>
      </c>
      <c r="D1984" t="inlineStr">
        <is>
          <t>convencional</t>
        </is>
      </c>
      <c r="E1984" t="inlineStr">
        <is>
          <t>2018-08</t>
        </is>
      </c>
      <c r="F1984" t="n">
        <v>57158.9</v>
      </c>
      <c r="G1984" t="n">
        <v>1341589.7</v>
      </c>
      <c r="H1984" t="n">
        <v>1342903.9</v>
      </c>
      <c r="I1984">
        <f>DAY(EOMONTH(DATE(VALUE(LEFT(E1984,4)),VALUE(RIGHT(E1984,2)),1),0))</f>
        <v/>
      </c>
      <c r="J1984">
        <f>VALUE(LEFT(E1984,4))*12+VALUE(RIGHT(E1984,2))-1</f>
        <v/>
      </c>
    </row>
    <row r="1985">
      <c r="A1985" t="inlineStr">
        <is>
          <t>Diadema</t>
        </is>
      </c>
      <c r="B1985" t="inlineStr">
        <is>
          <t>Golfo San Jorge</t>
        </is>
      </c>
      <c r="C1985" t="inlineStr">
        <is>
          <t>COMPAÑÍAS ASOCIADAS PETROLERAS S.A.</t>
        </is>
      </c>
      <c r="D1985" t="inlineStr">
        <is>
          <t>convencional</t>
        </is>
      </c>
      <c r="E1985" t="inlineStr">
        <is>
          <t>2018-09</t>
        </is>
      </c>
      <c r="F1985" t="n">
        <v>56270</v>
      </c>
      <c r="G1985" t="n">
        <v>1297347.5</v>
      </c>
      <c r="H1985" t="n">
        <v>1298757.8</v>
      </c>
      <c r="I1985">
        <f>DAY(EOMONTH(DATE(VALUE(LEFT(E1985,4)),VALUE(RIGHT(E1985,2)),1),0))</f>
        <v/>
      </c>
      <c r="J1985">
        <f>VALUE(LEFT(E1985,4))*12+VALUE(RIGHT(E1985,2))-1</f>
        <v/>
      </c>
    </row>
    <row r="1986">
      <c r="A1986" t="inlineStr">
        <is>
          <t>Diadema</t>
        </is>
      </c>
      <c r="B1986" t="inlineStr">
        <is>
          <t>Golfo San Jorge</t>
        </is>
      </c>
      <c r="C1986" t="inlineStr">
        <is>
          <t>COMPAÑÍAS ASOCIADAS PETROLERAS S.A.</t>
        </is>
      </c>
      <c r="D1986" t="inlineStr">
        <is>
          <t>convencional</t>
        </is>
      </c>
      <c r="E1986" t="inlineStr">
        <is>
          <t>2018-10</t>
        </is>
      </c>
      <c r="F1986" t="n">
        <v>56972.1</v>
      </c>
      <c r="G1986" t="n">
        <v>1325283.9</v>
      </c>
      <c r="H1986" t="n">
        <v>1328185.9</v>
      </c>
      <c r="I1986">
        <f>DAY(EOMONTH(DATE(VALUE(LEFT(E1986,4)),VALUE(RIGHT(E1986,2)),1),0))</f>
        <v/>
      </c>
      <c r="J1986">
        <f>VALUE(LEFT(E1986,4))*12+VALUE(RIGHT(E1986,2))-1</f>
        <v/>
      </c>
    </row>
    <row r="1987">
      <c r="A1987" t="inlineStr">
        <is>
          <t>Diadema</t>
        </is>
      </c>
      <c r="B1987" t="inlineStr">
        <is>
          <t>Golfo San Jorge</t>
        </is>
      </c>
      <c r="C1987" t="inlineStr">
        <is>
          <t>COMPAÑÍAS ASOCIADAS PETROLERAS S.A.</t>
        </is>
      </c>
      <c r="D1987" t="inlineStr">
        <is>
          <t>convencional</t>
        </is>
      </c>
      <c r="E1987" t="inlineStr">
        <is>
          <t>2018-11</t>
        </is>
      </c>
      <c r="F1987" t="n">
        <v>55395.7</v>
      </c>
      <c r="G1987" t="n">
        <v>1327273.7</v>
      </c>
      <c r="H1987" t="n">
        <v>1325779.9</v>
      </c>
      <c r="I1987">
        <f>DAY(EOMONTH(DATE(VALUE(LEFT(E1987,4)),VALUE(RIGHT(E1987,2)),1),0))</f>
        <v/>
      </c>
      <c r="J1987">
        <f>VALUE(LEFT(E1987,4))*12+VALUE(RIGHT(E1987,2))-1</f>
        <v/>
      </c>
    </row>
    <row r="1988">
      <c r="A1988" t="inlineStr">
        <is>
          <t>Diadema</t>
        </is>
      </c>
      <c r="B1988" t="inlineStr">
        <is>
          <t>Golfo San Jorge</t>
        </is>
      </c>
      <c r="C1988" t="inlineStr">
        <is>
          <t>COMPAÑÍAS ASOCIADAS PETROLERAS S.A.</t>
        </is>
      </c>
      <c r="D1988" t="inlineStr">
        <is>
          <t>convencional</t>
        </is>
      </c>
      <c r="E1988" t="inlineStr">
        <is>
          <t>2018-12</t>
        </is>
      </c>
      <c r="F1988" t="n">
        <v>57863.5</v>
      </c>
      <c r="G1988" t="n">
        <v>1386250.4</v>
      </c>
      <c r="H1988" t="n">
        <v>1383644</v>
      </c>
      <c r="I1988">
        <f>DAY(EOMONTH(DATE(VALUE(LEFT(E1988,4)),VALUE(RIGHT(E1988,2)),1),0))</f>
        <v/>
      </c>
      <c r="J1988">
        <f>VALUE(LEFT(E1988,4))*12+VALUE(RIGHT(E1988,2))-1</f>
        <v/>
      </c>
    </row>
    <row r="1989">
      <c r="A1989" t="inlineStr">
        <is>
          <t>Diadema</t>
        </is>
      </c>
      <c r="B1989" t="inlineStr">
        <is>
          <t>Golfo San Jorge</t>
        </is>
      </c>
      <c r="C1989" t="inlineStr">
        <is>
          <t>COMPAÑÍAS ASOCIADAS PETROLERAS S.A.</t>
        </is>
      </c>
      <c r="D1989" t="inlineStr">
        <is>
          <t>convencional</t>
        </is>
      </c>
      <c r="E1989" t="inlineStr">
        <is>
          <t>2019-01</t>
        </is>
      </c>
      <c r="F1989" t="n">
        <v>56959</v>
      </c>
      <c r="G1989" t="n">
        <v>1366221.1</v>
      </c>
      <c r="H1989" t="n">
        <v>1361651.8</v>
      </c>
      <c r="I1989">
        <f>DAY(EOMONTH(DATE(VALUE(LEFT(E1989,4)),VALUE(RIGHT(E1989,2)),1),0))</f>
        <v/>
      </c>
      <c r="J1989">
        <f>VALUE(LEFT(E1989,4))*12+VALUE(RIGHT(E1989,2))-1</f>
        <v/>
      </c>
    </row>
    <row r="1990">
      <c r="A1990" t="inlineStr">
        <is>
          <t>Diadema</t>
        </is>
      </c>
      <c r="B1990" t="inlineStr">
        <is>
          <t>Golfo San Jorge</t>
        </is>
      </c>
      <c r="C1990" t="inlineStr">
        <is>
          <t>COMPAÑÍAS ASOCIADAS PETROLERAS S.A.</t>
        </is>
      </c>
      <c r="D1990" t="inlineStr">
        <is>
          <t>convencional</t>
        </is>
      </c>
      <c r="E1990" t="inlineStr">
        <is>
          <t>2019-02</t>
        </is>
      </c>
      <c r="F1990" t="n">
        <v>53964.4</v>
      </c>
      <c r="G1990" t="n">
        <v>1278990.2</v>
      </c>
      <c r="H1990" t="n">
        <v>1277404.6</v>
      </c>
      <c r="I1990">
        <f>DAY(EOMONTH(DATE(VALUE(LEFT(E1990,4)),VALUE(RIGHT(E1990,2)),1),0))</f>
        <v/>
      </c>
      <c r="J1990">
        <f>VALUE(LEFT(E1990,4))*12+VALUE(RIGHT(E1990,2))-1</f>
        <v/>
      </c>
    </row>
    <row r="1991">
      <c r="A1991" t="inlineStr">
        <is>
          <t>Diadema</t>
        </is>
      </c>
      <c r="B1991" t="inlineStr">
        <is>
          <t>Golfo San Jorge</t>
        </is>
      </c>
      <c r="C1991" t="inlineStr">
        <is>
          <t>COMPAÑÍAS ASOCIADAS PETROLERAS S.A.</t>
        </is>
      </c>
      <c r="D1991" t="inlineStr">
        <is>
          <t>convencional</t>
        </is>
      </c>
      <c r="E1991" t="inlineStr">
        <is>
          <t>2019-03</t>
        </is>
      </c>
      <c r="F1991" t="n">
        <v>59832.9</v>
      </c>
      <c r="G1991" t="n">
        <v>1369662</v>
      </c>
      <c r="H1991" t="n">
        <v>1370088.1</v>
      </c>
      <c r="I1991">
        <f>DAY(EOMONTH(DATE(VALUE(LEFT(E1991,4)),VALUE(RIGHT(E1991,2)),1),0))</f>
        <v/>
      </c>
      <c r="J1991">
        <f>VALUE(LEFT(E1991,4))*12+VALUE(RIGHT(E1991,2))-1</f>
        <v/>
      </c>
    </row>
    <row r="1992">
      <c r="A1992" t="inlineStr">
        <is>
          <t>Diadema</t>
        </is>
      </c>
      <c r="B1992" t="inlineStr">
        <is>
          <t>Golfo San Jorge</t>
        </is>
      </c>
      <c r="C1992" t="inlineStr">
        <is>
          <t>COMPAÑÍAS ASOCIADAS PETROLERAS S.A.</t>
        </is>
      </c>
      <c r="D1992" t="inlineStr">
        <is>
          <t>convencional</t>
        </is>
      </c>
      <c r="E1992" t="inlineStr">
        <is>
          <t>2019-04</t>
        </is>
      </c>
      <c r="F1992" t="n">
        <v>57485.5</v>
      </c>
      <c r="G1992" t="n">
        <v>1303815.4</v>
      </c>
      <c r="H1992" t="n">
        <v>1307547</v>
      </c>
      <c r="I1992">
        <f>DAY(EOMONTH(DATE(VALUE(LEFT(E1992,4)),VALUE(RIGHT(E1992,2)),1),0))</f>
        <v/>
      </c>
      <c r="J1992">
        <f>VALUE(LEFT(E1992,4))*12+VALUE(RIGHT(E1992,2))-1</f>
        <v/>
      </c>
    </row>
    <row r="1993">
      <c r="A1993" t="inlineStr">
        <is>
          <t>Diadema</t>
        </is>
      </c>
      <c r="B1993" t="inlineStr">
        <is>
          <t>Golfo San Jorge</t>
        </is>
      </c>
      <c r="C1993" t="inlineStr">
        <is>
          <t>COMPAÑÍAS ASOCIADAS PETROLERAS S.A.</t>
        </is>
      </c>
      <c r="D1993" t="inlineStr">
        <is>
          <t>convencional</t>
        </is>
      </c>
      <c r="E1993" t="inlineStr">
        <is>
          <t>2019-05</t>
        </is>
      </c>
      <c r="F1993" t="n">
        <v>59263.6</v>
      </c>
      <c r="G1993" t="n">
        <v>1368639.1</v>
      </c>
      <c r="H1993" t="n">
        <v>1362441.1</v>
      </c>
      <c r="I1993">
        <f>DAY(EOMONTH(DATE(VALUE(LEFT(E1993,4)),VALUE(RIGHT(E1993,2)),1),0))</f>
        <v/>
      </c>
      <c r="J1993">
        <f>VALUE(LEFT(E1993,4))*12+VALUE(RIGHT(E1993,2))-1</f>
        <v/>
      </c>
    </row>
    <row r="1994">
      <c r="A1994" t="inlineStr">
        <is>
          <t>Diadema</t>
        </is>
      </c>
      <c r="B1994" t="inlineStr">
        <is>
          <t>Golfo San Jorge</t>
        </is>
      </c>
      <c r="C1994" t="inlineStr">
        <is>
          <t>COMPAÑÍAS ASOCIADAS PETROLERAS S.A.</t>
        </is>
      </c>
      <c r="D1994" t="inlineStr">
        <is>
          <t>convencional</t>
        </is>
      </c>
      <c r="E1994" t="inlineStr">
        <is>
          <t>2019-06</t>
        </is>
      </c>
      <c r="F1994" t="n">
        <v>54460.8</v>
      </c>
      <c r="G1994" t="n">
        <v>1264867.1</v>
      </c>
      <c r="H1994" t="n">
        <v>1256748.6</v>
      </c>
      <c r="I1994">
        <f>DAY(EOMONTH(DATE(VALUE(LEFT(E1994,4)),VALUE(RIGHT(E1994,2)),1),0))</f>
        <v/>
      </c>
      <c r="J1994">
        <f>VALUE(LEFT(E1994,4))*12+VALUE(RIGHT(E1994,2))-1</f>
        <v/>
      </c>
    </row>
    <row r="1995">
      <c r="A1995" t="inlineStr">
        <is>
          <t>Diadema</t>
        </is>
      </c>
      <c r="B1995" t="inlineStr">
        <is>
          <t>Golfo San Jorge</t>
        </is>
      </c>
      <c r="C1995" t="inlineStr">
        <is>
          <t>COMPAÑÍAS ASOCIADAS PETROLERAS S.A.</t>
        </is>
      </c>
      <c r="D1995" t="inlineStr">
        <is>
          <t>convencional</t>
        </is>
      </c>
      <c r="E1995" t="inlineStr">
        <is>
          <t>2019-07</t>
        </is>
      </c>
      <c r="F1995" t="n">
        <v>56824.5</v>
      </c>
      <c r="G1995" t="n">
        <v>1345464.6</v>
      </c>
      <c r="H1995" t="n">
        <v>1338192.7</v>
      </c>
      <c r="I1995">
        <f>DAY(EOMONTH(DATE(VALUE(LEFT(E1995,4)),VALUE(RIGHT(E1995,2)),1),0))</f>
        <v/>
      </c>
      <c r="J1995">
        <f>VALUE(LEFT(E1995,4))*12+VALUE(RIGHT(E1995,2))-1</f>
        <v/>
      </c>
    </row>
    <row r="1996">
      <c r="A1996" t="inlineStr">
        <is>
          <t>Diadema</t>
        </is>
      </c>
      <c r="B1996" t="inlineStr">
        <is>
          <t>Golfo San Jorge</t>
        </is>
      </c>
      <c r="C1996" t="inlineStr">
        <is>
          <t>COMPAÑÍAS ASOCIADAS PETROLERAS S.A.</t>
        </is>
      </c>
      <c r="D1996" t="inlineStr">
        <is>
          <t>convencional</t>
        </is>
      </c>
      <c r="E1996" t="inlineStr">
        <is>
          <t>2019-08</t>
        </is>
      </c>
      <c r="F1996" t="n">
        <v>57258.6</v>
      </c>
      <c r="G1996" t="n">
        <v>1336621.4</v>
      </c>
      <c r="H1996" t="n">
        <v>1331666.3</v>
      </c>
      <c r="I1996">
        <f>DAY(EOMONTH(DATE(VALUE(LEFT(E1996,4)),VALUE(RIGHT(E1996,2)),1),0))</f>
        <v/>
      </c>
      <c r="J1996">
        <f>VALUE(LEFT(E1996,4))*12+VALUE(RIGHT(E1996,2))-1</f>
        <v/>
      </c>
    </row>
    <row r="1997">
      <c r="A1997" t="inlineStr">
        <is>
          <t>Diadema</t>
        </is>
      </c>
      <c r="B1997" t="inlineStr">
        <is>
          <t>Golfo San Jorge</t>
        </is>
      </c>
      <c r="C1997" t="inlineStr">
        <is>
          <t>COMPAÑÍAS ASOCIADAS PETROLERAS S.A.</t>
        </is>
      </c>
      <c r="D1997" t="inlineStr">
        <is>
          <t>convencional</t>
        </is>
      </c>
      <c r="E1997" t="inlineStr">
        <is>
          <t>2019-09</t>
        </is>
      </c>
      <c r="F1997" t="n">
        <v>54885</v>
      </c>
      <c r="G1997" t="n">
        <v>1238233.3</v>
      </c>
      <c r="H1997" t="n">
        <v>1233860.3</v>
      </c>
      <c r="I1997">
        <f>DAY(EOMONTH(DATE(VALUE(LEFT(E1997,4)),VALUE(RIGHT(E1997,2)),1),0))</f>
        <v/>
      </c>
      <c r="J1997">
        <f>VALUE(LEFT(E1997,4))*12+VALUE(RIGHT(E1997,2))-1</f>
        <v/>
      </c>
    </row>
    <row r="1998">
      <c r="A1998" t="inlineStr">
        <is>
          <t>Diadema</t>
        </is>
      </c>
      <c r="B1998" t="inlineStr">
        <is>
          <t>Golfo San Jorge</t>
        </is>
      </c>
      <c r="C1998" t="inlineStr">
        <is>
          <t>COMPAÑÍAS ASOCIADAS PETROLERAS S.A.</t>
        </is>
      </c>
      <c r="D1998" t="inlineStr">
        <is>
          <t>convencional</t>
        </is>
      </c>
      <c r="E1998" t="inlineStr">
        <is>
          <t>2019-10</t>
        </is>
      </c>
      <c r="F1998" t="n">
        <v>57069.6</v>
      </c>
      <c r="G1998" t="n">
        <v>1281307.5</v>
      </c>
      <c r="H1998" t="n">
        <v>1273944.8</v>
      </c>
      <c r="I1998">
        <f>DAY(EOMONTH(DATE(VALUE(LEFT(E1998,4)),VALUE(RIGHT(E1998,2)),1),0))</f>
        <v/>
      </c>
      <c r="J1998">
        <f>VALUE(LEFT(E1998,4))*12+VALUE(RIGHT(E1998,2))-1</f>
        <v/>
      </c>
    </row>
    <row r="1999">
      <c r="A1999" t="inlineStr">
        <is>
          <t>Diadema</t>
        </is>
      </c>
      <c r="B1999" t="inlineStr">
        <is>
          <t>Golfo San Jorge</t>
        </is>
      </c>
      <c r="C1999" t="inlineStr">
        <is>
          <t>COMPAÑÍAS ASOCIADAS PETROLERAS S.A.</t>
        </is>
      </c>
      <c r="D1999" t="inlineStr">
        <is>
          <t>convencional</t>
        </is>
      </c>
      <c r="E1999" t="inlineStr">
        <is>
          <t>2019-11</t>
        </is>
      </c>
      <c r="F1999" t="n">
        <v>55719.6</v>
      </c>
      <c r="G1999" t="n">
        <v>1228372.1</v>
      </c>
      <c r="H1999" t="n">
        <v>1224045.2</v>
      </c>
      <c r="I1999">
        <f>DAY(EOMONTH(DATE(VALUE(LEFT(E1999,4)),VALUE(RIGHT(E1999,2)),1),0))</f>
        <v/>
      </c>
      <c r="J1999">
        <f>VALUE(LEFT(E1999,4))*12+VALUE(RIGHT(E1999,2))-1</f>
        <v/>
      </c>
    </row>
    <row r="2000">
      <c r="A2000" t="inlineStr">
        <is>
          <t>Diadema</t>
        </is>
      </c>
      <c r="B2000" t="inlineStr">
        <is>
          <t>Golfo San Jorge</t>
        </is>
      </c>
      <c r="C2000" t="inlineStr">
        <is>
          <t>COMPAÑÍAS ASOCIADAS PETROLERAS S.A.</t>
        </is>
      </c>
      <c r="D2000" t="inlineStr">
        <is>
          <t>convencional</t>
        </is>
      </c>
      <c r="E2000" t="inlineStr">
        <is>
          <t>2019-12</t>
        </is>
      </c>
      <c r="F2000" t="n">
        <v>58258.5</v>
      </c>
      <c r="G2000" t="n">
        <v>1255914.8</v>
      </c>
      <c r="H2000" t="n">
        <v>1258357.4</v>
      </c>
      <c r="I2000">
        <f>DAY(EOMONTH(DATE(VALUE(LEFT(E2000,4)),VALUE(RIGHT(E2000,2)),1),0))</f>
        <v/>
      </c>
      <c r="J2000">
        <f>VALUE(LEFT(E2000,4))*12+VALUE(RIGHT(E2000,2))-1</f>
        <v/>
      </c>
    </row>
    <row r="2001">
      <c r="A2001" t="inlineStr">
        <is>
          <t>Diadema</t>
        </is>
      </c>
      <c r="B2001" t="inlineStr">
        <is>
          <t>Golfo San Jorge</t>
        </is>
      </c>
      <c r="C2001" t="inlineStr">
        <is>
          <t>COMPAÑÍAS ASOCIADAS PETROLERAS S.A.</t>
        </is>
      </c>
      <c r="D2001" t="inlineStr">
        <is>
          <t>convencional</t>
        </is>
      </c>
      <c r="E2001" t="inlineStr">
        <is>
          <t>2020-01</t>
        </is>
      </c>
      <c r="F2001" t="n">
        <v>56619.7</v>
      </c>
      <c r="G2001" t="n">
        <v>1255204.5</v>
      </c>
      <c r="H2001" t="n">
        <v>1252705</v>
      </c>
      <c r="I2001">
        <f>DAY(EOMONTH(DATE(VALUE(LEFT(E2001,4)),VALUE(RIGHT(E2001,2)),1),0))</f>
        <v/>
      </c>
      <c r="J2001">
        <f>VALUE(LEFT(E2001,4))*12+VALUE(RIGHT(E2001,2))-1</f>
        <v/>
      </c>
    </row>
    <row r="2002">
      <c r="A2002" t="inlineStr">
        <is>
          <t>Diadema</t>
        </is>
      </c>
      <c r="B2002" t="inlineStr">
        <is>
          <t>Golfo San Jorge</t>
        </is>
      </c>
      <c r="C2002" t="inlineStr">
        <is>
          <t>COMPAÑÍAS ASOCIADAS PETROLERAS S.A.</t>
        </is>
      </c>
      <c r="D2002" t="inlineStr">
        <is>
          <t>convencional</t>
        </is>
      </c>
      <c r="E2002" t="inlineStr">
        <is>
          <t>2020-02</t>
        </is>
      </c>
      <c r="F2002" t="n">
        <v>54200.7</v>
      </c>
      <c r="G2002" t="n">
        <v>1178795</v>
      </c>
      <c r="H2002" t="n">
        <v>1175571.2</v>
      </c>
      <c r="I2002">
        <f>DAY(EOMONTH(DATE(VALUE(LEFT(E2002,4)),VALUE(RIGHT(E2002,2)),1),0))</f>
        <v/>
      </c>
      <c r="J2002">
        <f>VALUE(LEFT(E2002,4))*12+VALUE(RIGHT(E2002,2))-1</f>
        <v/>
      </c>
    </row>
    <row r="2003">
      <c r="A2003" t="inlineStr">
        <is>
          <t>Diadema</t>
        </is>
      </c>
      <c r="B2003" t="inlineStr">
        <is>
          <t>Golfo San Jorge</t>
        </is>
      </c>
      <c r="C2003" t="inlineStr">
        <is>
          <t>COMPAÑÍAS ASOCIADAS PETROLERAS S.A.</t>
        </is>
      </c>
      <c r="D2003" t="inlineStr">
        <is>
          <t>convencional</t>
        </is>
      </c>
      <c r="E2003" t="inlineStr">
        <is>
          <t>2020-03</t>
        </is>
      </c>
      <c r="F2003" t="n">
        <v>57864.7</v>
      </c>
      <c r="G2003" t="n">
        <v>1303664.9</v>
      </c>
      <c r="H2003" t="n">
        <v>1298573.2</v>
      </c>
      <c r="I2003">
        <f>DAY(EOMONTH(DATE(VALUE(LEFT(E2003,4)),VALUE(RIGHT(E2003,2)),1),0))</f>
        <v/>
      </c>
      <c r="J2003">
        <f>VALUE(LEFT(E2003,4))*12+VALUE(RIGHT(E2003,2))-1</f>
        <v/>
      </c>
    </row>
    <row r="2004">
      <c r="A2004" t="inlineStr">
        <is>
          <t>Diadema</t>
        </is>
      </c>
      <c r="B2004" t="inlineStr">
        <is>
          <t>Golfo San Jorge</t>
        </is>
      </c>
      <c r="C2004" t="inlineStr">
        <is>
          <t>COMPAÑÍAS ASOCIADAS PETROLERAS S.A.</t>
        </is>
      </c>
      <c r="D2004" t="inlineStr">
        <is>
          <t>convencional</t>
        </is>
      </c>
      <c r="E2004" t="inlineStr">
        <is>
          <t>2020-04</t>
        </is>
      </c>
      <c r="F2004" t="n">
        <v>54517.5</v>
      </c>
      <c r="G2004" t="n">
        <v>1234318.4</v>
      </c>
      <c r="H2004" t="n">
        <v>1236644.8</v>
      </c>
      <c r="I2004">
        <f>DAY(EOMONTH(DATE(VALUE(LEFT(E2004,4)),VALUE(RIGHT(E2004,2)),1),0))</f>
        <v/>
      </c>
      <c r="J2004">
        <f>VALUE(LEFT(E2004,4))*12+VALUE(RIGHT(E2004,2))-1</f>
        <v/>
      </c>
    </row>
    <row r="2005">
      <c r="A2005" t="inlineStr">
        <is>
          <t>Diadema</t>
        </is>
      </c>
      <c r="B2005" t="inlineStr">
        <is>
          <t>Golfo San Jorge</t>
        </is>
      </c>
      <c r="C2005" t="inlineStr">
        <is>
          <t>COMPAÑÍAS ASOCIADAS PETROLERAS S.A.</t>
        </is>
      </c>
      <c r="D2005" t="inlineStr">
        <is>
          <t>convencional</t>
        </is>
      </c>
      <c r="E2005" t="inlineStr">
        <is>
          <t>2020-05</t>
        </is>
      </c>
      <c r="F2005" t="n">
        <v>52901.3</v>
      </c>
      <c r="G2005" t="n">
        <v>1185422.3</v>
      </c>
      <c r="H2005" t="n">
        <v>1186025.7</v>
      </c>
      <c r="I2005">
        <f>DAY(EOMONTH(DATE(VALUE(LEFT(E2005,4)),VALUE(RIGHT(E2005,2)),1),0))</f>
        <v/>
      </c>
      <c r="J2005">
        <f>VALUE(LEFT(E2005,4))*12+VALUE(RIGHT(E2005,2))-1</f>
        <v/>
      </c>
    </row>
    <row r="2006">
      <c r="A2006" t="inlineStr">
        <is>
          <t>Diadema</t>
        </is>
      </c>
      <c r="B2006" t="inlineStr">
        <is>
          <t>Golfo San Jorge</t>
        </is>
      </c>
      <c r="C2006" t="inlineStr">
        <is>
          <t>COMPAÑÍAS ASOCIADAS PETROLERAS S.A.</t>
        </is>
      </c>
      <c r="D2006" t="inlineStr">
        <is>
          <t>convencional</t>
        </is>
      </c>
      <c r="E2006" t="inlineStr">
        <is>
          <t>2020-06</t>
        </is>
      </c>
      <c r="F2006" t="n">
        <v>52835.3</v>
      </c>
      <c r="G2006" t="n">
        <v>1132462.2</v>
      </c>
      <c r="H2006" t="n">
        <v>1132554.1</v>
      </c>
      <c r="I2006">
        <f>DAY(EOMONTH(DATE(VALUE(LEFT(E2006,4)),VALUE(RIGHT(E2006,2)),1),0))</f>
        <v/>
      </c>
      <c r="J2006">
        <f>VALUE(LEFT(E2006,4))*12+VALUE(RIGHT(E2006,2))-1</f>
        <v/>
      </c>
    </row>
    <row r="2007">
      <c r="A2007" t="inlineStr">
        <is>
          <t>Diadema</t>
        </is>
      </c>
      <c r="B2007" t="inlineStr">
        <is>
          <t>Golfo San Jorge</t>
        </is>
      </c>
      <c r="C2007" t="inlineStr">
        <is>
          <t>COMPAÑÍAS ASOCIADAS PETROLERAS S.A.</t>
        </is>
      </c>
      <c r="D2007" t="inlineStr">
        <is>
          <t>convencional</t>
        </is>
      </c>
      <c r="E2007" t="inlineStr">
        <is>
          <t>2020-07</t>
        </is>
      </c>
      <c r="F2007" t="n">
        <v>52424.6</v>
      </c>
      <c r="G2007" t="n">
        <v>1210018.3</v>
      </c>
      <c r="H2007" t="n">
        <v>1209563.7</v>
      </c>
      <c r="I2007">
        <f>DAY(EOMONTH(DATE(VALUE(LEFT(E2007,4)),VALUE(RIGHT(E2007,2)),1),0))</f>
        <v/>
      </c>
      <c r="J2007">
        <f>VALUE(LEFT(E2007,4))*12+VALUE(RIGHT(E2007,2))-1</f>
        <v/>
      </c>
    </row>
    <row r="2008">
      <c r="A2008" t="inlineStr">
        <is>
          <t>Diadema</t>
        </is>
      </c>
      <c r="B2008" t="inlineStr">
        <is>
          <t>Golfo San Jorge</t>
        </is>
      </c>
      <c r="C2008" t="inlineStr">
        <is>
          <t>COMPAÑÍAS ASOCIADAS PETROLERAS S.A.</t>
        </is>
      </c>
      <c r="D2008" t="inlineStr">
        <is>
          <t>convencional</t>
        </is>
      </c>
      <c r="E2008" t="inlineStr">
        <is>
          <t>2020-08</t>
        </is>
      </c>
      <c r="F2008" t="n">
        <v>51201.8</v>
      </c>
      <c r="G2008" t="n">
        <v>1165328.1</v>
      </c>
      <c r="H2008" t="n">
        <v>1166824.7</v>
      </c>
      <c r="I2008">
        <f>DAY(EOMONTH(DATE(VALUE(LEFT(E2008,4)),VALUE(RIGHT(E2008,2)),1),0))</f>
        <v/>
      </c>
      <c r="J2008">
        <f>VALUE(LEFT(E2008,4))*12+VALUE(RIGHT(E2008,2))-1</f>
        <v/>
      </c>
    </row>
    <row r="2009">
      <c r="A2009" t="inlineStr">
        <is>
          <t>Diadema</t>
        </is>
      </c>
      <c r="B2009" t="inlineStr">
        <is>
          <t>Golfo San Jorge</t>
        </is>
      </c>
      <c r="C2009" t="inlineStr">
        <is>
          <t>COMPAÑÍAS ASOCIADAS PETROLERAS S.A.</t>
        </is>
      </c>
      <c r="D2009" t="inlineStr">
        <is>
          <t>convencional</t>
        </is>
      </c>
      <c r="E2009" t="inlineStr">
        <is>
          <t>2020-09</t>
        </is>
      </c>
      <c r="F2009" t="n">
        <v>47986.2</v>
      </c>
      <c r="G2009" t="n">
        <v>1208768</v>
      </c>
      <c r="H2009" t="n">
        <v>1207315.2</v>
      </c>
      <c r="I2009">
        <f>DAY(EOMONTH(DATE(VALUE(LEFT(E2009,4)),VALUE(RIGHT(E2009,2)),1),0))</f>
        <v/>
      </c>
      <c r="J2009">
        <f>VALUE(LEFT(E2009,4))*12+VALUE(RIGHT(E2009,2))-1</f>
        <v/>
      </c>
    </row>
    <row r="2010">
      <c r="A2010" t="inlineStr">
        <is>
          <t>Diadema</t>
        </is>
      </c>
      <c r="B2010" t="inlineStr">
        <is>
          <t>Golfo San Jorge</t>
        </is>
      </c>
      <c r="C2010" t="inlineStr">
        <is>
          <t>COMPAÑÍAS ASOCIADAS PETROLERAS S.A.</t>
        </is>
      </c>
      <c r="D2010" t="inlineStr">
        <is>
          <t>convencional</t>
        </is>
      </c>
      <c r="E2010" t="inlineStr">
        <is>
          <t>2020-10</t>
        </is>
      </c>
      <c r="F2010" t="n">
        <v>49753.3</v>
      </c>
      <c r="G2010" t="n">
        <v>1235904.1</v>
      </c>
      <c r="H2010" t="n">
        <v>1233936.3</v>
      </c>
      <c r="I2010">
        <f>DAY(EOMONTH(DATE(VALUE(LEFT(E2010,4)),VALUE(RIGHT(E2010,2)),1),0))</f>
        <v/>
      </c>
      <c r="J2010">
        <f>VALUE(LEFT(E2010,4))*12+VALUE(RIGHT(E2010,2))-1</f>
        <v/>
      </c>
    </row>
    <row r="2011">
      <c r="A2011" t="inlineStr">
        <is>
          <t>Diadema</t>
        </is>
      </c>
      <c r="B2011" t="inlineStr">
        <is>
          <t>Golfo San Jorge</t>
        </is>
      </c>
      <c r="C2011" t="inlineStr">
        <is>
          <t>COMPAÑÍAS ASOCIADAS PETROLERAS S.A.</t>
        </is>
      </c>
      <c r="D2011" t="inlineStr">
        <is>
          <t>convencional</t>
        </is>
      </c>
      <c r="E2011" t="inlineStr">
        <is>
          <t>2020-11</t>
        </is>
      </c>
      <c r="F2011" t="n">
        <v>49264.3</v>
      </c>
      <c r="G2011" t="n">
        <v>1232137.6</v>
      </c>
      <c r="H2011" t="n">
        <v>1224575.2</v>
      </c>
      <c r="I2011">
        <f>DAY(EOMONTH(DATE(VALUE(LEFT(E2011,4)),VALUE(RIGHT(E2011,2)),1),0))</f>
        <v/>
      </c>
      <c r="J2011">
        <f>VALUE(LEFT(E2011,4))*12+VALUE(RIGHT(E2011,2))-1</f>
        <v/>
      </c>
    </row>
    <row r="2012">
      <c r="A2012" t="inlineStr">
        <is>
          <t>Diadema</t>
        </is>
      </c>
      <c r="B2012" t="inlineStr">
        <is>
          <t>Golfo San Jorge</t>
        </is>
      </c>
      <c r="C2012" t="inlineStr">
        <is>
          <t>COMPAÑÍAS ASOCIADAS PETROLERAS S.A.</t>
        </is>
      </c>
      <c r="D2012" t="inlineStr">
        <is>
          <t>convencional</t>
        </is>
      </c>
      <c r="E2012" t="inlineStr">
        <is>
          <t>2020-12</t>
        </is>
      </c>
      <c r="F2012" t="n">
        <v>50979.6</v>
      </c>
      <c r="G2012" t="n">
        <v>1288201</v>
      </c>
      <c r="H2012" t="n">
        <v>1282991.4</v>
      </c>
      <c r="I2012">
        <f>DAY(EOMONTH(DATE(VALUE(LEFT(E2012,4)),VALUE(RIGHT(E2012,2)),1),0))</f>
        <v/>
      </c>
      <c r="J2012">
        <f>VALUE(LEFT(E2012,4))*12+VALUE(RIGHT(E2012,2))-1</f>
        <v/>
      </c>
    </row>
    <row r="2013">
      <c r="A2013" t="inlineStr">
        <is>
          <t>Diadema</t>
        </is>
      </c>
      <c r="B2013" t="inlineStr">
        <is>
          <t>Golfo San Jorge</t>
        </is>
      </c>
      <c r="C2013" t="inlineStr">
        <is>
          <t>COMPAÑÍAS ASOCIADAS PETROLERAS S.A.</t>
        </is>
      </c>
      <c r="D2013" t="inlineStr">
        <is>
          <t>convencional</t>
        </is>
      </c>
      <c r="E2013" t="inlineStr">
        <is>
          <t>2021-01</t>
        </is>
      </c>
      <c r="F2013" t="n">
        <v>51856.4</v>
      </c>
      <c r="G2013" t="n">
        <v>1295003.6</v>
      </c>
      <c r="H2013" t="n">
        <v>1292615.2</v>
      </c>
      <c r="I2013">
        <f>DAY(EOMONTH(DATE(VALUE(LEFT(E2013,4)),VALUE(RIGHT(E2013,2)),1),0))</f>
        <v/>
      </c>
      <c r="J2013">
        <f>VALUE(LEFT(E2013,4))*12+VALUE(RIGHT(E2013,2))-1</f>
        <v/>
      </c>
    </row>
    <row r="2014">
      <c r="A2014" t="inlineStr">
        <is>
          <t>Diadema</t>
        </is>
      </c>
      <c r="B2014" t="inlineStr">
        <is>
          <t>Golfo San Jorge</t>
        </is>
      </c>
      <c r="C2014" t="inlineStr">
        <is>
          <t>COMPAÑÍAS ASOCIADAS PETROLERAS S.A.</t>
        </is>
      </c>
      <c r="D2014" t="inlineStr">
        <is>
          <t>convencional</t>
        </is>
      </c>
      <c r="E2014" t="inlineStr">
        <is>
          <t>2021-02</t>
        </is>
      </c>
      <c r="F2014" t="n">
        <v>47364.2</v>
      </c>
      <c r="G2014" t="n">
        <v>1148436.4</v>
      </c>
      <c r="H2014" t="n">
        <v>1143362.2</v>
      </c>
      <c r="I2014">
        <f>DAY(EOMONTH(DATE(VALUE(LEFT(E2014,4)),VALUE(RIGHT(E2014,2)),1),0))</f>
        <v/>
      </c>
      <c r="J2014">
        <f>VALUE(LEFT(E2014,4))*12+VALUE(RIGHT(E2014,2))-1</f>
        <v/>
      </c>
    </row>
    <row r="2015">
      <c r="A2015" t="inlineStr">
        <is>
          <t>Diadema</t>
        </is>
      </c>
      <c r="B2015" t="inlineStr">
        <is>
          <t>Golfo San Jorge</t>
        </is>
      </c>
      <c r="C2015" t="inlineStr">
        <is>
          <t>COMPAÑÍAS ASOCIADAS PETROLERAS S.A.</t>
        </is>
      </c>
      <c r="D2015" t="inlineStr">
        <is>
          <t>convencional</t>
        </is>
      </c>
      <c r="E2015" t="inlineStr">
        <is>
          <t>2021-03</t>
        </is>
      </c>
      <c r="F2015" t="n">
        <v>51047.1</v>
      </c>
      <c r="G2015" t="n">
        <v>1287661.7</v>
      </c>
      <c r="H2015" t="n">
        <v>1281863.8</v>
      </c>
      <c r="I2015">
        <f>DAY(EOMONTH(DATE(VALUE(LEFT(E2015,4)),VALUE(RIGHT(E2015,2)),1),0))</f>
        <v/>
      </c>
      <c r="J2015">
        <f>VALUE(LEFT(E2015,4))*12+VALUE(RIGHT(E2015,2))-1</f>
        <v/>
      </c>
    </row>
    <row r="2016">
      <c r="A2016" t="inlineStr">
        <is>
          <t>Diadema</t>
        </is>
      </c>
      <c r="B2016" t="inlineStr">
        <is>
          <t>Golfo San Jorge</t>
        </is>
      </c>
      <c r="C2016" t="inlineStr">
        <is>
          <t>COMPAÑÍAS ASOCIADAS PETROLERAS S.A.</t>
        </is>
      </c>
      <c r="D2016" t="inlineStr">
        <is>
          <t>convencional</t>
        </is>
      </c>
      <c r="E2016" t="inlineStr">
        <is>
          <t>2021-04</t>
        </is>
      </c>
      <c r="F2016" t="n">
        <v>50666</v>
      </c>
      <c r="G2016" t="n">
        <v>1246884.2</v>
      </c>
      <c r="H2016" t="n">
        <v>1243093.4</v>
      </c>
      <c r="I2016">
        <f>DAY(EOMONTH(DATE(VALUE(LEFT(E2016,4)),VALUE(RIGHT(E2016,2)),1),0))</f>
        <v/>
      </c>
      <c r="J2016">
        <f>VALUE(LEFT(E2016,4))*12+VALUE(RIGHT(E2016,2))-1</f>
        <v/>
      </c>
    </row>
    <row r="2017">
      <c r="A2017" t="inlineStr">
        <is>
          <t>Diadema</t>
        </is>
      </c>
      <c r="B2017" t="inlineStr">
        <is>
          <t>Golfo San Jorge</t>
        </is>
      </c>
      <c r="C2017" t="inlineStr">
        <is>
          <t>COMPAÑÍAS ASOCIADAS PETROLERAS S.A.</t>
        </is>
      </c>
      <c r="D2017" t="inlineStr">
        <is>
          <t>convencional</t>
        </is>
      </c>
      <c r="E2017" t="inlineStr">
        <is>
          <t>2021-05</t>
        </is>
      </c>
      <c r="F2017" t="n">
        <v>53130.4</v>
      </c>
      <c r="G2017" t="n">
        <v>1308883.3</v>
      </c>
      <c r="H2017" t="n">
        <v>1305967.1</v>
      </c>
      <c r="I2017">
        <f>DAY(EOMONTH(DATE(VALUE(LEFT(E2017,4)),VALUE(RIGHT(E2017,2)),1),0))</f>
        <v/>
      </c>
      <c r="J2017">
        <f>VALUE(LEFT(E2017,4))*12+VALUE(RIGHT(E2017,2))-1</f>
        <v/>
      </c>
    </row>
    <row r="2018">
      <c r="A2018" t="inlineStr">
        <is>
          <t>Diadema</t>
        </is>
      </c>
      <c r="B2018" t="inlineStr">
        <is>
          <t>Golfo San Jorge</t>
        </is>
      </c>
      <c r="C2018" t="inlineStr">
        <is>
          <t>COMPAÑÍAS ASOCIADAS PETROLERAS S.A.</t>
        </is>
      </c>
      <c r="D2018" t="inlineStr">
        <is>
          <t>convencional</t>
        </is>
      </c>
      <c r="E2018" t="inlineStr">
        <is>
          <t>2021-06</t>
        </is>
      </c>
      <c r="F2018" t="n">
        <v>51293.4</v>
      </c>
      <c r="G2018" t="n">
        <v>1260212.1</v>
      </c>
      <c r="H2018" t="n">
        <v>1256908.2</v>
      </c>
      <c r="I2018">
        <f>DAY(EOMONTH(DATE(VALUE(LEFT(E2018,4)),VALUE(RIGHT(E2018,2)),1),0))</f>
        <v/>
      </c>
      <c r="J2018">
        <f>VALUE(LEFT(E2018,4))*12+VALUE(RIGHT(E2018,2))-1</f>
        <v/>
      </c>
    </row>
    <row r="2019">
      <c r="A2019" t="inlineStr">
        <is>
          <t>Diadema</t>
        </is>
      </c>
      <c r="B2019" t="inlineStr">
        <is>
          <t>Golfo San Jorge</t>
        </is>
      </c>
      <c r="C2019" t="inlineStr">
        <is>
          <t>COMPAÑÍAS ASOCIADAS PETROLERAS S.A.</t>
        </is>
      </c>
      <c r="D2019" t="inlineStr">
        <is>
          <t>convencional</t>
        </is>
      </c>
      <c r="E2019" t="inlineStr">
        <is>
          <t>2021-07</t>
        </is>
      </c>
      <c r="F2019" t="n">
        <v>51729.2</v>
      </c>
      <c r="G2019" t="n">
        <v>1310756.7</v>
      </c>
      <c r="H2019" t="n">
        <v>1309390.5</v>
      </c>
      <c r="I2019">
        <f>DAY(EOMONTH(DATE(VALUE(LEFT(E2019,4)),VALUE(RIGHT(E2019,2)),1),0))</f>
        <v/>
      </c>
      <c r="J2019">
        <f>VALUE(LEFT(E2019,4))*12+VALUE(RIGHT(E2019,2))-1</f>
        <v/>
      </c>
    </row>
    <row r="2020">
      <c r="A2020" t="inlineStr">
        <is>
          <t>Diadema</t>
        </is>
      </c>
      <c r="B2020" t="inlineStr">
        <is>
          <t>Golfo San Jorge</t>
        </is>
      </c>
      <c r="C2020" t="inlineStr">
        <is>
          <t>COMPAÑÍAS ASOCIADAS PETROLERAS S.A.</t>
        </is>
      </c>
      <c r="D2020" t="inlineStr">
        <is>
          <t>convencional</t>
        </is>
      </c>
      <c r="E2020" t="inlineStr">
        <is>
          <t>2021-08</t>
        </is>
      </c>
      <c r="F2020" t="n">
        <v>52294.9</v>
      </c>
      <c r="G2020" t="n">
        <v>1308883.2</v>
      </c>
      <c r="H2020" t="n">
        <v>1305860.9</v>
      </c>
      <c r="I2020">
        <f>DAY(EOMONTH(DATE(VALUE(LEFT(E2020,4)),VALUE(RIGHT(E2020,2)),1),0))</f>
        <v/>
      </c>
      <c r="J2020">
        <f>VALUE(LEFT(E2020,4))*12+VALUE(RIGHT(E2020,2))-1</f>
        <v/>
      </c>
    </row>
    <row r="2021">
      <c r="A2021" t="inlineStr">
        <is>
          <t>Diadema</t>
        </is>
      </c>
      <c r="B2021" t="inlineStr">
        <is>
          <t>Golfo San Jorge</t>
        </is>
      </c>
      <c r="C2021" t="inlineStr">
        <is>
          <t>COMPAÑÍAS ASOCIADAS PETROLERAS S.A.</t>
        </is>
      </c>
      <c r="D2021" t="inlineStr">
        <is>
          <t>convencional</t>
        </is>
      </c>
      <c r="E2021" t="inlineStr">
        <is>
          <t>2021-09</t>
        </is>
      </c>
      <c r="F2021" t="n">
        <v>51217.1</v>
      </c>
      <c r="G2021" t="n">
        <v>1271045.2</v>
      </c>
      <c r="H2021" t="n">
        <v>1263904.3</v>
      </c>
      <c r="I2021">
        <f>DAY(EOMONTH(DATE(VALUE(LEFT(E2021,4)),VALUE(RIGHT(E2021,2)),1),0))</f>
        <v/>
      </c>
      <c r="J2021">
        <f>VALUE(LEFT(E2021,4))*12+VALUE(RIGHT(E2021,2))-1</f>
        <v/>
      </c>
    </row>
    <row r="2022">
      <c r="A2022" t="inlineStr">
        <is>
          <t>Diadema</t>
        </is>
      </c>
      <c r="B2022" t="inlineStr">
        <is>
          <t>Golfo San Jorge</t>
        </is>
      </c>
      <c r="C2022" t="inlineStr">
        <is>
          <t>COMPAÑÍAS ASOCIADAS PETROLERAS S.A.</t>
        </is>
      </c>
      <c r="D2022" t="inlineStr">
        <is>
          <t>convencional</t>
        </is>
      </c>
      <c r="E2022" t="inlineStr">
        <is>
          <t>2021-10</t>
        </is>
      </c>
      <c r="F2022" t="n">
        <v>51951.4</v>
      </c>
      <c r="G2022" t="n">
        <v>1324976.4</v>
      </c>
      <c r="H2022" t="n">
        <v>1320999</v>
      </c>
      <c r="I2022">
        <f>DAY(EOMONTH(DATE(VALUE(LEFT(E2022,4)),VALUE(RIGHT(E2022,2)),1),0))</f>
        <v/>
      </c>
      <c r="J2022">
        <f>VALUE(LEFT(E2022,4))*12+VALUE(RIGHT(E2022,2))-1</f>
        <v/>
      </c>
    </row>
    <row r="2023">
      <c r="A2023" t="inlineStr">
        <is>
          <t>Diadema</t>
        </is>
      </c>
      <c r="B2023" t="inlineStr">
        <is>
          <t>Golfo San Jorge</t>
        </is>
      </c>
      <c r="C2023" t="inlineStr">
        <is>
          <t>COMPAÑÍAS ASOCIADAS PETROLERAS S.A.</t>
        </is>
      </c>
      <c r="D2023" t="inlineStr">
        <is>
          <t>convencional</t>
        </is>
      </c>
      <c r="E2023" t="inlineStr">
        <is>
          <t>2021-11</t>
        </is>
      </c>
      <c r="F2023" t="n">
        <v>51728.9</v>
      </c>
      <c r="G2023" t="n">
        <v>1332950.8</v>
      </c>
      <c r="H2023" t="n">
        <v>1328139.4</v>
      </c>
      <c r="I2023">
        <f>DAY(EOMONTH(DATE(VALUE(LEFT(E2023,4)),VALUE(RIGHT(E2023,2)),1),0))</f>
        <v/>
      </c>
      <c r="J2023">
        <f>VALUE(LEFT(E2023,4))*12+VALUE(RIGHT(E2023,2))-1</f>
        <v/>
      </c>
    </row>
    <row r="2024">
      <c r="A2024" t="inlineStr">
        <is>
          <t>Diadema</t>
        </is>
      </c>
      <c r="B2024" t="inlineStr">
        <is>
          <t>Golfo San Jorge</t>
        </is>
      </c>
      <c r="C2024" t="inlineStr">
        <is>
          <t>COMPAÑÍAS ASOCIADAS PETROLERAS S.A.</t>
        </is>
      </c>
      <c r="D2024" t="inlineStr">
        <is>
          <t>convencional</t>
        </is>
      </c>
      <c r="E2024" t="inlineStr">
        <is>
          <t>2021-12</t>
        </is>
      </c>
      <c r="F2024" t="n">
        <v>53061.5</v>
      </c>
      <c r="G2024" t="n">
        <v>1394260.4</v>
      </c>
      <c r="H2024" t="n">
        <v>1385357.3</v>
      </c>
      <c r="I2024">
        <f>DAY(EOMONTH(DATE(VALUE(LEFT(E2024,4)),VALUE(RIGHT(E2024,2)),1),0))</f>
        <v/>
      </c>
      <c r="J2024">
        <f>VALUE(LEFT(E2024,4))*12+VALUE(RIGHT(E2024,2))-1</f>
        <v/>
      </c>
    </row>
    <row r="2025">
      <c r="A2025" t="inlineStr">
        <is>
          <t>Diadema</t>
        </is>
      </c>
      <c r="B2025" t="inlineStr">
        <is>
          <t>Golfo San Jorge</t>
        </is>
      </c>
      <c r="C2025" t="inlineStr">
        <is>
          <t>COMPAÑÍAS ASOCIADAS PETROLERAS S.A.</t>
        </is>
      </c>
      <c r="D2025" t="inlineStr">
        <is>
          <t>convencional</t>
        </is>
      </c>
      <c r="E2025" t="inlineStr">
        <is>
          <t>2022-01</t>
        </is>
      </c>
      <c r="F2025" t="n">
        <v>53200.8</v>
      </c>
      <c r="G2025" t="n">
        <v>1390334.5</v>
      </c>
      <c r="H2025" t="n">
        <v>1381162.3</v>
      </c>
      <c r="I2025">
        <f>DAY(EOMONTH(DATE(VALUE(LEFT(E2025,4)),VALUE(RIGHT(E2025,2)),1),0))</f>
        <v/>
      </c>
      <c r="J2025">
        <f>VALUE(LEFT(E2025,4))*12+VALUE(RIGHT(E2025,2))-1</f>
        <v/>
      </c>
    </row>
    <row r="2026">
      <c r="A2026" t="inlineStr">
        <is>
          <t>Diadema</t>
        </is>
      </c>
      <c r="B2026" t="inlineStr">
        <is>
          <t>Golfo San Jorge</t>
        </is>
      </c>
      <c r="C2026" t="inlineStr">
        <is>
          <t>COMPAÑÍAS ASOCIADAS PETROLERAS S.A.</t>
        </is>
      </c>
      <c r="D2026" t="inlineStr">
        <is>
          <t>convencional</t>
        </is>
      </c>
      <c r="E2026" t="inlineStr">
        <is>
          <t>2022-02</t>
        </is>
      </c>
      <c r="F2026" t="n">
        <v>48147.4</v>
      </c>
      <c r="G2026" t="n">
        <v>1272957.2</v>
      </c>
      <c r="H2026" t="n">
        <v>1264662.3</v>
      </c>
      <c r="I2026">
        <f>DAY(EOMONTH(DATE(VALUE(LEFT(E2026,4)),VALUE(RIGHT(E2026,2)),1),0))</f>
        <v/>
      </c>
      <c r="J2026">
        <f>VALUE(LEFT(E2026,4))*12+VALUE(RIGHT(E2026,2))-1</f>
        <v/>
      </c>
    </row>
    <row r="2027">
      <c r="A2027" t="inlineStr">
        <is>
          <t>Diadema</t>
        </is>
      </c>
      <c r="B2027" t="inlineStr">
        <is>
          <t>Golfo San Jorge</t>
        </is>
      </c>
      <c r="C2027" t="inlineStr">
        <is>
          <t>COMPAÑÍAS ASOCIADAS PETROLERAS S.A.</t>
        </is>
      </c>
      <c r="D2027" t="inlineStr">
        <is>
          <t>convencional</t>
        </is>
      </c>
      <c r="E2027" t="inlineStr">
        <is>
          <t>2022-03</t>
        </is>
      </c>
      <c r="F2027" t="n">
        <v>52388.6</v>
      </c>
      <c r="G2027" t="n">
        <v>1387394.2</v>
      </c>
      <c r="H2027" t="n">
        <v>1379851.4</v>
      </c>
      <c r="I2027">
        <f>DAY(EOMONTH(DATE(VALUE(LEFT(E2027,4)),VALUE(RIGHT(E2027,2)),1),0))</f>
        <v/>
      </c>
      <c r="J2027">
        <f>VALUE(LEFT(E2027,4))*12+VALUE(RIGHT(E2027,2))-1</f>
        <v/>
      </c>
    </row>
    <row r="2028">
      <c r="A2028" t="inlineStr">
        <is>
          <t>Diadema</t>
        </is>
      </c>
      <c r="B2028" t="inlineStr">
        <is>
          <t>Golfo San Jorge</t>
        </is>
      </c>
      <c r="C2028" t="inlineStr">
        <is>
          <t>COMPAÑÍAS ASOCIADAS PETROLERAS S.A.</t>
        </is>
      </c>
      <c r="D2028" t="inlineStr">
        <is>
          <t>convencional</t>
        </is>
      </c>
      <c r="E2028" t="inlineStr">
        <is>
          <t>2022-04</t>
        </is>
      </c>
      <c r="F2028" t="n">
        <v>50589.4</v>
      </c>
      <c r="G2028" t="n">
        <v>1368842.1</v>
      </c>
      <c r="H2028" t="n">
        <v>1364063.8</v>
      </c>
      <c r="I2028">
        <f>DAY(EOMONTH(DATE(VALUE(LEFT(E2028,4)),VALUE(RIGHT(E2028,2)),1),0))</f>
        <v/>
      </c>
      <c r="J2028">
        <f>VALUE(LEFT(E2028,4))*12+VALUE(RIGHT(E2028,2))-1</f>
        <v/>
      </c>
    </row>
    <row r="2029">
      <c r="A2029" t="inlineStr">
        <is>
          <t>Diadema</t>
        </is>
      </c>
      <c r="B2029" t="inlineStr">
        <is>
          <t>Golfo San Jorge</t>
        </is>
      </c>
      <c r="C2029" t="inlineStr">
        <is>
          <t>COMPAÑÍAS ASOCIADAS PETROLERAS S.A.</t>
        </is>
      </c>
      <c r="D2029" t="inlineStr">
        <is>
          <t>convencional</t>
        </is>
      </c>
      <c r="E2029" t="inlineStr">
        <is>
          <t>2022-05</t>
        </is>
      </c>
      <c r="F2029" t="n">
        <v>52027.4</v>
      </c>
      <c r="G2029" t="n">
        <v>1391744.9</v>
      </c>
      <c r="H2029" t="n">
        <v>1387248.3</v>
      </c>
      <c r="I2029">
        <f>DAY(EOMONTH(DATE(VALUE(LEFT(E2029,4)),VALUE(RIGHT(E2029,2)),1),0))</f>
        <v/>
      </c>
      <c r="J2029">
        <f>VALUE(LEFT(E2029,4))*12+VALUE(RIGHT(E2029,2))-1</f>
        <v/>
      </c>
    </row>
    <row r="2030">
      <c r="A2030" t="inlineStr">
        <is>
          <t>Diadema</t>
        </is>
      </c>
      <c r="B2030" t="inlineStr">
        <is>
          <t>Golfo San Jorge</t>
        </is>
      </c>
      <c r="C2030" t="inlineStr">
        <is>
          <t>COMPAÑÍAS ASOCIADAS PETROLERAS S.A.</t>
        </is>
      </c>
      <c r="D2030" t="inlineStr">
        <is>
          <t>convencional</t>
        </is>
      </c>
      <c r="E2030" t="inlineStr">
        <is>
          <t>2022-06</t>
        </is>
      </c>
      <c r="F2030" t="n">
        <v>50671.3</v>
      </c>
      <c r="G2030" t="n">
        <v>1344128.4</v>
      </c>
      <c r="H2030" t="n">
        <v>1341148</v>
      </c>
      <c r="I2030">
        <f>DAY(EOMONTH(DATE(VALUE(LEFT(E2030,4)),VALUE(RIGHT(E2030,2)),1),0))</f>
        <v/>
      </c>
      <c r="J2030">
        <f>VALUE(LEFT(E2030,4))*12+VALUE(RIGHT(E2030,2))-1</f>
        <v/>
      </c>
    </row>
    <row r="2031">
      <c r="A2031" t="inlineStr">
        <is>
          <t>Diadema</t>
        </is>
      </c>
      <c r="B2031" t="inlineStr">
        <is>
          <t>Golfo San Jorge</t>
        </is>
      </c>
      <c r="C2031" t="inlineStr">
        <is>
          <t>COMPAÑÍAS ASOCIADAS PETROLERAS S.A.</t>
        </is>
      </c>
      <c r="D2031" t="inlineStr">
        <is>
          <t>convencional</t>
        </is>
      </c>
      <c r="E2031" t="inlineStr">
        <is>
          <t>2022-07</t>
        </is>
      </c>
      <c r="F2031" t="n">
        <v>52468.6</v>
      </c>
      <c r="G2031" t="n">
        <v>1357594.7</v>
      </c>
      <c r="H2031" t="n">
        <v>1351032.1</v>
      </c>
      <c r="I2031">
        <f>DAY(EOMONTH(DATE(VALUE(LEFT(E2031,4)),VALUE(RIGHT(E2031,2)),1),0))</f>
        <v/>
      </c>
      <c r="J2031">
        <f>VALUE(LEFT(E2031,4))*12+VALUE(RIGHT(E2031,2))-1</f>
        <v/>
      </c>
    </row>
    <row r="2032">
      <c r="A2032" t="inlineStr">
        <is>
          <t>Diadema</t>
        </is>
      </c>
      <c r="B2032" t="inlineStr">
        <is>
          <t>Golfo San Jorge</t>
        </is>
      </c>
      <c r="C2032" t="inlineStr">
        <is>
          <t>COMPAÑÍAS ASOCIADAS PETROLERAS S.A.</t>
        </is>
      </c>
      <c r="D2032" t="inlineStr">
        <is>
          <t>convencional</t>
        </is>
      </c>
      <c r="E2032" t="inlineStr">
        <is>
          <t>2022-08</t>
        </is>
      </c>
      <c r="F2032" t="n">
        <v>52302.1</v>
      </c>
      <c r="G2032" t="n">
        <v>1367738.7</v>
      </c>
      <c r="H2032" t="n">
        <v>1362328.7</v>
      </c>
      <c r="I2032">
        <f>DAY(EOMONTH(DATE(VALUE(LEFT(E2032,4)),VALUE(RIGHT(E2032,2)),1),0))</f>
        <v/>
      </c>
      <c r="J2032">
        <f>VALUE(LEFT(E2032,4))*12+VALUE(RIGHT(E2032,2))-1</f>
        <v/>
      </c>
    </row>
    <row r="2033">
      <c r="A2033" t="inlineStr">
        <is>
          <t>Diadema</t>
        </is>
      </c>
      <c r="B2033" t="inlineStr">
        <is>
          <t>Golfo San Jorge</t>
        </is>
      </c>
      <c r="C2033" t="inlineStr">
        <is>
          <t>COMPAÑÍAS ASOCIADAS PETROLERAS S.A.</t>
        </is>
      </c>
      <c r="D2033" t="inlineStr">
        <is>
          <t>convencional</t>
        </is>
      </c>
      <c r="E2033" t="inlineStr">
        <is>
          <t>2022-09</t>
        </is>
      </c>
      <c r="F2033" t="n">
        <v>52378.8</v>
      </c>
      <c r="G2033" t="n">
        <v>1313538.5</v>
      </c>
      <c r="H2033" t="n">
        <v>1305533.1</v>
      </c>
      <c r="I2033">
        <f>DAY(EOMONTH(DATE(VALUE(LEFT(E2033,4)),VALUE(RIGHT(E2033,2)),1),0))</f>
        <v/>
      </c>
      <c r="J2033">
        <f>VALUE(LEFT(E2033,4))*12+VALUE(RIGHT(E2033,2))-1</f>
        <v/>
      </c>
    </row>
    <row r="2034">
      <c r="A2034" t="inlineStr">
        <is>
          <t>Diadema</t>
        </is>
      </c>
      <c r="B2034" t="inlineStr">
        <is>
          <t>Golfo San Jorge</t>
        </is>
      </c>
      <c r="C2034" t="inlineStr">
        <is>
          <t>COMPAÑÍAS ASOCIADAS PETROLERAS S.A.</t>
        </is>
      </c>
      <c r="D2034" t="inlineStr">
        <is>
          <t>convencional</t>
        </is>
      </c>
      <c r="E2034" t="inlineStr">
        <is>
          <t>2022-10</t>
        </is>
      </c>
      <c r="F2034" t="n">
        <v>58101.1</v>
      </c>
      <c r="G2034" t="n">
        <v>1376881.7</v>
      </c>
      <c r="H2034" t="n">
        <v>1368852.9</v>
      </c>
      <c r="I2034">
        <f>DAY(EOMONTH(DATE(VALUE(LEFT(E2034,4)),VALUE(RIGHT(E2034,2)),1),0))</f>
        <v/>
      </c>
      <c r="J2034">
        <f>VALUE(LEFT(E2034,4))*12+VALUE(RIGHT(E2034,2))-1</f>
        <v/>
      </c>
    </row>
    <row r="2035">
      <c r="A2035" t="inlineStr">
        <is>
          <t>Diadema</t>
        </is>
      </c>
      <c r="B2035" t="inlineStr">
        <is>
          <t>Golfo San Jorge</t>
        </is>
      </c>
      <c r="C2035" t="inlineStr">
        <is>
          <t>COMPAÑÍAS ASOCIADAS PETROLERAS S.A.</t>
        </is>
      </c>
      <c r="D2035" t="inlineStr">
        <is>
          <t>convencional</t>
        </is>
      </c>
      <c r="E2035" t="inlineStr">
        <is>
          <t>2022-11</t>
        </is>
      </c>
      <c r="F2035" t="n">
        <v>54917.9</v>
      </c>
      <c r="G2035" t="n">
        <v>1335909.6</v>
      </c>
      <c r="H2035" t="n">
        <v>1327315.4</v>
      </c>
      <c r="I2035">
        <f>DAY(EOMONTH(DATE(VALUE(LEFT(E2035,4)),VALUE(RIGHT(E2035,2)),1),0))</f>
        <v/>
      </c>
      <c r="J2035">
        <f>VALUE(LEFT(E2035,4))*12+VALUE(RIGHT(E2035,2))-1</f>
        <v/>
      </c>
    </row>
    <row r="2036">
      <c r="A2036" t="inlineStr">
        <is>
          <t>Diadema</t>
        </is>
      </c>
      <c r="B2036" t="inlineStr">
        <is>
          <t>Golfo San Jorge</t>
        </is>
      </c>
      <c r="C2036" t="inlineStr">
        <is>
          <t>COMPAÑÍAS ASOCIADAS PETROLERAS S.A.</t>
        </is>
      </c>
      <c r="D2036" t="inlineStr">
        <is>
          <t>convencional</t>
        </is>
      </c>
      <c r="E2036" t="inlineStr">
        <is>
          <t>2022-12</t>
        </is>
      </c>
      <c r="F2036" t="n">
        <v>57429.9</v>
      </c>
      <c r="G2036" t="n">
        <v>1361333.8</v>
      </c>
      <c r="H2036" t="n">
        <v>1354786.7</v>
      </c>
      <c r="I2036">
        <f>DAY(EOMONTH(DATE(VALUE(LEFT(E2036,4)),VALUE(RIGHT(E2036,2)),1),0))</f>
        <v/>
      </c>
      <c r="J2036">
        <f>VALUE(LEFT(E2036,4))*12+VALUE(RIGHT(E2036,2))-1</f>
        <v/>
      </c>
    </row>
    <row r="2037">
      <c r="A2037" t="inlineStr">
        <is>
          <t>Diadema</t>
        </is>
      </c>
      <c r="B2037" t="inlineStr">
        <is>
          <t>Golfo San Jorge</t>
        </is>
      </c>
      <c r="C2037" t="inlineStr">
        <is>
          <t>COMPAÑÍAS ASOCIADAS PETROLERAS S.A.</t>
        </is>
      </c>
      <c r="D2037" t="inlineStr">
        <is>
          <t>convencional</t>
        </is>
      </c>
      <c r="E2037" t="inlineStr">
        <is>
          <t>2023-01</t>
        </is>
      </c>
      <c r="F2037" t="n">
        <v>55508.5</v>
      </c>
      <c r="G2037" t="n">
        <v>1352679.9</v>
      </c>
      <c r="H2037" t="n">
        <v>1345519.9</v>
      </c>
      <c r="I2037">
        <f>DAY(EOMONTH(DATE(VALUE(LEFT(E2037,4)),VALUE(RIGHT(E2037,2)),1),0))</f>
        <v/>
      </c>
      <c r="J2037">
        <f>VALUE(LEFT(E2037,4))*12+VALUE(RIGHT(E2037,2))-1</f>
        <v/>
      </c>
    </row>
    <row r="2038">
      <c r="A2038" t="inlineStr">
        <is>
          <t>Diadema</t>
        </is>
      </c>
      <c r="B2038" t="inlineStr">
        <is>
          <t>Golfo San Jorge</t>
        </is>
      </c>
      <c r="C2038" t="inlineStr">
        <is>
          <t>COMPAÑÍAS ASOCIADAS PETROLERAS S.A.</t>
        </is>
      </c>
      <c r="D2038" t="inlineStr">
        <is>
          <t>convencional</t>
        </is>
      </c>
      <c r="E2038" t="inlineStr">
        <is>
          <t>2023-02</t>
        </is>
      </c>
      <c r="F2038" t="n">
        <v>47911.6</v>
      </c>
      <c r="G2038" t="n">
        <v>1210018.8</v>
      </c>
      <c r="H2038" t="n">
        <v>1202392.6</v>
      </c>
      <c r="I2038">
        <f>DAY(EOMONTH(DATE(VALUE(LEFT(E2038,4)),VALUE(RIGHT(E2038,2)),1),0))</f>
        <v/>
      </c>
      <c r="J2038">
        <f>VALUE(LEFT(E2038,4))*12+VALUE(RIGHT(E2038,2))-1</f>
        <v/>
      </c>
    </row>
    <row r="2039">
      <c r="A2039" t="inlineStr">
        <is>
          <t>Diadema</t>
        </is>
      </c>
      <c r="B2039" t="inlineStr">
        <is>
          <t>Golfo San Jorge</t>
        </is>
      </c>
      <c r="C2039" t="inlineStr">
        <is>
          <t>COMPAÑÍAS ASOCIADAS PETROLERAS S.A.</t>
        </is>
      </c>
      <c r="D2039" t="inlineStr">
        <is>
          <t>convencional</t>
        </is>
      </c>
      <c r="E2039" t="inlineStr">
        <is>
          <t>2023-03</t>
        </is>
      </c>
      <c r="F2039" t="n">
        <v>50951.9</v>
      </c>
      <c r="G2039" t="n">
        <v>1330079.4</v>
      </c>
      <c r="H2039" t="n">
        <v>1320551.6</v>
      </c>
      <c r="I2039">
        <f>DAY(EOMONTH(DATE(VALUE(LEFT(E2039,4)),VALUE(RIGHT(E2039,2)),1),0))</f>
        <v/>
      </c>
      <c r="J2039">
        <f>VALUE(LEFT(E2039,4))*12+VALUE(RIGHT(E2039,2))-1</f>
        <v/>
      </c>
    </row>
    <row r="2040">
      <c r="A2040" t="inlineStr">
        <is>
          <t>Diadema</t>
        </is>
      </c>
      <c r="B2040" t="inlineStr">
        <is>
          <t>Golfo San Jorge</t>
        </is>
      </c>
      <c r="C2040" t="inlineStr">
        <is>
          <t>COMPAÑÍAS ASOCIADAS PETROLERAS S.A.</t>
        </is>
      </c>
      <c r="D2040" t="inlineStr">
        <is>
          <t>convencional</t>
        </is>
      </c>
      <c r="E2040" t="inlineStr">
        <is>
          <t>2023-04</t>
        </is>
      </c>
      <c r="F2040" t="n">
        <v>51462.4</v>
      </c>
      <c r="G2040" t="n">
        <v>1308134.9</v>
      </c>
      <c r="H2040" t="n">
        <v>1301999</v>
      </c>
      <c r="I2040">
        <f>DAY(EOMONTH(DATE(VALUE(LEFT(E2040,4)),VALUE(RIGHT(E2040,2)),1),0))</f>
        <v/>
      </c>
      <c r="J2040">
        <f>VALUE(LEFT(E2040,4))*12+VALUE(RIGHT(E2040,2))-1</f>
        <v/>
      </c>
    </row>
    <row r="2041">
      <c r="A2041" t="inlineStr">
        <is>
          <t>Diadema</t>
        </is>
      </c>
      <c r="B2041" t="inlineStr">
        <is>
          <t>Golfo San Jorge</t>
        </is>
      </c>
      <c r="C2041" t="inlineStr">
        <is>
          <t>COMPAÑÍAS ASOCIADAS PETROLERAS S.A.</t>
        </is>
      </c>
      <c r="D2041" t="inlineStr">
        <is>
          <t>convencional</t>
        </is>
      </c>
      <c r="E2041" t="inlineStr">
        <is>
          <t>2023-05</t>
        </is>
      </c>
      <c r="F2041" t="n">
        <v>53900.3</v>
      </c>
      <c r="G2041" t="n">
        <v>1373320</v>
      </c>
      <c r="H2041" t="n">
        <v>1364399.9</v>
      </c>
      <c r="I2041">
        <f>DAY(EOMONTH(DATE(VALUE(LEFT(E2041,4)),VALUE(RIGHT(E2041,2)),1),0))</f>
        <v/>
      </c>
      <c r="J2041">
        <f>VALUE(LEFT(E2041,4))*12+VALUE(RIGHT(E2041,2))-1</f>
        <v/>
      </c>
    </row>
    <row r="2042">
      <c r="A2042" t="inlineStr">
        <is>
          <t>Diadema</t>
        </is>
      </c>
      <c r="B2042" t="inlineStr">
        <is>
          <t>Golfo San Jorge</t>
        </is>
      </c>
      <c r="C2042" t="inlineStr">
        <is>
          <t>COMPAÑÍAS ASOCIADAS PETROLERAS S.A.</t>
        </is>
      </c>
      <c r="D2042" t="inlineStr">
        <is>
          <t>convencional</t>
        </is>
      </c>
      <c r="E2042" t="inlineStr">
        <is>
          <t>2023-06</t>
        </is>
      </c>
      <c r="F2042" t="n">
        <v>52493.6</v>
      </c>
      <c r="G2042" t="n">
        <v>1326460</v>
      </c>
      <c r="H2042" t="n">
        <v>1319076</v>
      </c>
      <c r="I2042">
        <f>DAY(EOMONTH(DATE(VALUE(LEFT(E2042,4)),VALUE(RIGHT(E2042,2)),1),0))</f>
        <v/>
      </c>
      <c r="J2042">
        <f>VALUE(LEFT(E2042,4))*12+VALUE(RIGHT(E2042,2))-1</f>
        <v/>
      </c>
    </row>
    <row r="2043">
      <c r="A2043" t="inlineStr">
        <is>
          <t>Diadema</t>
        </is>
      </c>
      <c r="B2043" t="inlineStr">
        <is>
          <t>Golfo San Jorge</t>
        </is>
      </c>
      <c r="C2043" t="inlineStr">
        <is>
          <t>COMPAÑÍAS ASOCIADAS PETROLERAS S.A.</t>
        </is>
      </c>
      <c r="D2043" t="inlineStr">
        <is>
          <t>convencional</t>
        </is>
      </c>
      <c r="E2043" t="inlineStr">
        <is>
          <t>2023-07</t>
        </is>
      </c>
      <c r="F2043" t="n">
        <v>53259</v>
      </c>
      <c r="G2043" t="n">
        <v>1322040.9</v>
      </c>
      <c r="H2043" t="n">
        <v>1316579.8</v>
      </c>
      <c r="I2043">
        <f>DAY(EOMONTH(DATE(VALUE(LEFT(E2043,4)),VALUE(RIGHT(E2043,2)),1),0))</f>
        <v/>
      </c>
      <c r="J2043">
        <f>VALUE(LEFT(E2043,4))*12+VALUE(RIGHT(E2043,2))-1</f>
        <v/>
      </c>
    </row>
    <row r="2044">
      <c r="A2044" t="inlineStr">
        <is>
          <t>Diadema</t>
        </is>
      </c>
      <c r="B2044" t="inlineStr">
        <is>
          <t>Golfo San Jorge</t>
        </is>
      </c>
      <c r="C2044" t="inlineStr">
        <is>
          <t>COMPAÑÍAS ASOCIADAS PETROLERAS S.A.</t>
        </is>
      </c>
      <c r="D2044" t="inlineStr">
        <is>
          <t>convencional</t>
        </is>
      </c>
      <c r="E2044" t="inlineStr">
        <is>
          <t>2023-08</t>
        </is>
      </c>
      <c r="F2044" t="n">
        <v>50081.7</v>
      </c>
      <c r="G2044" t="n">
        <v>1335801.6</v>
      </c>
      <c r="H2044" t="n">
        <v>1330256</v>
      </c>
      <c r="I2044">
        <f>DAY(EOMONTH(DATE(VALUE(LEFT(E2044,4)),VALUE(RIGHT(E2044,2)),1),0))</f>
        <v/>
      </c>
      <c r="J2044">
        <f>VALUE(LEFT(E2044,4))*12+VALUE(RIGHT(E2044,2))-1</f>
        <v/>
      </c>
    </row>
    <row r="2045">
      <c r="A2045" t="inlineStr">
        <is>
          <t>Diadema</t>
        </is>
      </c>
      <c r="B2045" t="inlineStr">
        <is>
          <t>Golfo San Jorge</t>
        </is>
      </c>
      <c r="C2045" t="inlineStr">
        <is>
          <t>COMPAÑÍAS ASOCIADAS PETROLERAS S.A.</t>
        </is>
      </c>
      <c r="D2045" t="inlineStr">
        <is>
          <t>convencional</t>
        </is>
      </c>
      <c r="E2045" t="inlineStr">
        <is>
          <t>2023-09</t>
        </is>
      </c>
      <c r="F2045" t="n">
        <v>50261</v>
      </c>
      <c r="G2045" t="n">
        <v>1298114.5</v>
      </c>
      <c r="H2045" t="n">
        <v>1291744.1</v>
      </c>
      <c r="I2045">
        <f>DAY(EOMONTH(DATE(VALUE(LEFT(E2045,4)),VALUE(RIGHT(E2045,2)),1),0))</f>
        <v/>
      </c>
      <c r="J2045">
        <f>VALUE(LEFT(E2045,4))*12+VALUE(RIGHT(E2045,2))-1</f>
        <v/>
      </c>
    </row>
    <row r="2046">
      <c r="A2046" t="inlineStr">
        <is>
          <t>Diadema</t>
        </is>
      </c>
      <c r="B2046" t="inlineStr">
        <is>
          <t>Golfo San Jorge</t>
        </is>
      </c>
      <c r="C2046" t="inlineStr">
        <is>
          <t>COMPAÑÍAS ASOCIADAS PETROLERAS S.A.</t>
        </is>
      </c>
      <c r="D2046" t="inlineStr">
        <is>
          <t>convencional</t>
        </is>
      </c>
      <c r="E2046" t="inlineStr">
        <is>
          <t>2023-10</t>
        </is>
      </c>
      <c r="F2046" t="n">
        <v>51674.8</v>
      </c>
      <c r="G2046" t="n">
        <v>1334426.1</v>
      </c>
      <c r="H2046" t="n">
        <v>1326528.2</v>
      </c>
      <c r="I2046">
        <f>DAY(EOMONTH(DATE(VALUE(LEFT(E2046,4)),VALUE(RIGHT(E2046,2)),1),0))</f>
        <v/>
      </c>
      <c r="J2046">
        <f>VALUE(LEFT(E2046,4))*12+VALUE(RIGHT(E2046,2))-1</f>
        <v/>
      </c>
    </row>
    <row r="2047">
      <c r="A2047" t="inlineStr">
        <is>
          <t>Diadema</t>
        </is>
      </c>
      <c r="B2047" t="inlineStr">
        <is>
          <t>Golfo San Jorge</t>
        </is>
      </c>
      <c r="C2047" t="inlineStr">
        <is>
          <t>COMPAÑÍAS ASOCIADAS PETROLERAS S.A.</t>
        </is>
      </c>
      <c r="D2047" t="inlineStr">
        <is>
          <t>convencional</t>
        </is>
      </c>
      <c r="E2047" t="inlineStr">
        <is>
          <t>2023-11</t>
        </is>
      </c>
      <c r="F2047" t="n">
        <v>48578.8</v>
      </c>
      <c r="G2047" t="n">
        <v>1283696.2</v>
      </c>
      <c r="H2047" t="n">
        <v>1280062</v>
      </c>
      <c r="I2047">
        <f>DAY(EOMONTH(DATE(VALUE(LEFT(E2047,4)),VALUE(RIGHT(E2047,2)),1),0))</f>
        <v/>
      </c>
      <c r="J2047">
        <f>VALUE(LEFT(E2047,4))*12+VALUE(RIGHT(E2047,2))-1</f>
        <v/>
      </c>
    </row>
    <row r="2048">
      <c r="A2048" t="inlineStr">
        <is>
          <t>Diadema</t>
        </is>
      </c>
      <c r="B2048" t="inlineStr">
        <is>
          <t>Golfo San Jorge</t>
        </is>
      </c>
      <c r="C2048" t="inlineStr">
        <is>
          <t>COMPAÑÍAS ASOCIADAS PETROLERAS S.A.</t>
        </is>
      </c>
      <c r="D2048" t="inlineStr">
        <is>
          <t>convencional</t>
        </is>
      </c>
      <c r="E2048" t="inlineStr">
        <is>
          <t>2023-12</t>
        </is>
      </c>
      <c r="F2048" t="n">
        <v>50116.1</v>
      </c>
      <c r="G2048" t="n">
        <v>1338059.6</v>
      </c>
      <c r="H2048" t="n">
        <v>1334497.2</v>
      </c>
      <c r="I2048">
        <f>DAY(EOMONTH(DATE(VALUE(LEFT(E2048,4)),VALUE(RIGHT(E2048,2)),1),0))</f>
        <v/>
      </c>
      <c r="J2048">
        <f>VALUE(LEFT(E2048,4))*12+VALUE(RIGHT(E2048,2))-1</f>
        <v/>
      </c>
    </row>
    <row r="2049">
      <c r="A2049" t="inlineStr">
        <is>
          <t>Diadema</t>
        </is>
      </c>
      <c r="B2049" t="inlineStr">
        <is>
          <t>Golfo San Jorge</t>
        </is>
      </c>
      <c r="C2049" t="inlineStr">
        <is>
          <t>COMPAÑÍAS ASOCIADAS PETROLERAS S.A.</t>
        </is>
      </c>
      <c r="D2049" t="inlineStr">
        <is>
          <t>convencional</t>
        </is>
      </c>
      <c r="E2049" t="inlineStr">
        <is>
          <t>2024-01</t>
        </is>
      </c>
      <c r="F2049" t="n">
        <v>52060.8</v>
      </c>
      <c r="G2049" t="n">
        <v>1339191</v>
      </c>
      <c r="H2049" t="n">
        <v>1335603.9</v>
      </c>
      <c r="I2049">
        <f>DAY(EOMONTH(DATE(VALUE(LEFT(E2049,4)),VALUE(RIGHT(E2049,2)),1),0))</f>
        <v/>
      </c>
      <c r="J2049">
        <f>VALUE(LEFT(E2049,4))*12+VALUE(RIGHT(E2049,2))-1</f>
        <v/>
      </c>
    </row>
    <row r="2050">
      <c r="A2050" t="inlineStr">
        <is>
          <t>Diadema</t>
        </is>
      </c>
      <c r="B2050" t="inlineStr">
        <is>
          <t>Golfo San Jorge</t>
        </is>
      </c>
      <c r="C2050" t="inlineStr">
        <is>
          <t>COMPAÑÍAS ASOCIADAS PETROLERAS S.A.</t>
        </is>
      </c>
      <c r="D2050" t="inlineStr">
        <is>
          <t>convencional</t>
        </is>
      </c>
      <c r="E2050" t="inlineStr">
        <is>
          <t>2024-02</t>
        </is>
      </c>
      <c r="F2050" t="n">
        <v>48839.7</v>
      </c>
      <c r="G2050" t="n">
        <v>1250730.9</v>
      </c>
      <c r="H2050" t="n">
        <v>1246358.2</v>
      </c>
      <c r="I2050">
        <f>DAY(EOMONTH(DATE(VALUE(LEFT(E2050,4)),VALUE(RIGHT(E2050,2)),1),0))</f>
        <v/>
      </c>
      <c r="J2050">
        <f>VALUE(LEFT(E2050,4))*12+VALUE(RIGHT(E2050,2))-1</f>
        <v/>
      </c>
    </row>
    <row r="2051">
      <c r="A2051" t="inlineStr">
        <is>
          <t>Diadema</t>
        </is>
      </c>
      <c r="B2051" t="inlineStr">
        <is>
          <t>Golfo San Jorge</t>
        </is>
      </c>
      <c r="C2051" t="inlineStr">
        <is>
          <t>COMPAÑÍAS ASOCIADAS PETROLERAS S.A.</t>
        </is>
      </c>
      <c r="D2051" t="inlineStr">
        <is>
          <t>convencional</t>
        </is>
      </c>
      <c r="E2051" t="inlineStr">
        <is>
          <t>2024-03</t>
        </is>
      </c>
      <c r="F2051" t="n">
        <v>49804.1</v>
      </c>
      <c r="G2051" t="n">
        <v>1311910.7</v>
      </c>
      <c r="H2051" t="n">
        <v>1309251.6</v>
      </c>
      <c r="I2051">
        <f>DAY(EOMONTH(DATE(VALUE(LEFT(E2051,4)),VALUE(RIGHT(E2051,2)),1),0))</f>
        <v/>
      </c>
      <c r="J2051">
        <f>VALUE(LEFT(E2051,4))*12+VALUE(RIGHT(E2051,2))-1</f>
        <v/>
      </c>
    </row>
    <row r="2052">
      <c r="A2052" t="inlineStr">
        <is>
          <t>Diadema</t>
        </is>
      </c>
      <c r="B2052" t="inlineStr">
        <is>
          <t>Golfo San Jorge</t>
        </is>
      </c>
      <c r="C2052" t="inlineStr">
        <is>
          <t>COMPAÑÍAS ASOCIADAS PETROLERAS S.A.</t>
        </is>
      </c>
      <c r="D2052" t="inlineStr">
        <is>
          <t>convencional</t>
        </is>
      </c>
      <c r="E2052" t="inlineStr">
        <is>
          <t>2024-04</t>
        </is>
      </c>
      <c r="F2052" t="n">
        <v>46725.3</v>
      </c>
      <c r="G2052" t="n">
        <v>1263465.3</v>
      </c>
      <c r="H2052" t="n">
        <v>1260677.4</v>
      </c>
      <c r="I2052">
        <f>DAY(EOMONTH(DATE(VALUE(LEFT(E2052,4)),VALUE(RIGHT(E2052,2)),1),0))</f>
        <v/>
      </c>
      <c r="J2052">
        <f>VALUE(LEFT(E2052,4))*12+VALUE(RIGHT(E2052,2))-1</f>
        <v/>
      </c>
    </row>
    <row r="2053">
      <c r="A2053" t="inlineStr">
        <is>
          <t>Diadema</t>
        </is>
      </c>
      <c r="B2053" t="inlineStr">
        <is>
          <t>Golfo San Jorge</t>
        </is>
      </c>
      <c r="C2053" t="inlineStr">
        <is>
          <t>COMPAÑÍAS ASOCIADAS PETROLERAS S.A.</t>
        </is>
      </c>
      <c r="D2053" t="inlineStr">
        <is>
          <t>convencional</t>
        </is>
      </c>
      <c r="E2053" t="inlineStr">
        <is>
          <t>2024-05</t>
        </is>
      </c>
      <c r="F2053" t="n">
        <v>48619.4</v>
      </c>
      <c r="G2053" t="n">
        <v>1322215.3</v>
      </c>
      <c r="H2053" t="n">
        <v>1319304.8</v>
      </c>
      <c r="I2053">
        <f>DAY(EOMONTH(DATE(VALUE(LEFT(E2053,4)),VALUE(RIGHT(E2053,2)),1),0))</f>
        <v/>
      </c>
      <c r="J2053">
        <f>VALUE(LEFT(E2053,4))*12+VALUE(RIGHT(E2053,2))-1</f>
        <v/>
      </c>
    </row>
    <row r="2054">
      <c r="A2054" t="inlineStr">
        <is>
          <t>Diadema</t>
        </is>
      </c>
      <c r="B2054" t="inlineStr">
        <is>
          <t>Golfo San Jorge</t>
        </is>
      </c>
      <c r="C2054" t="inlineStr">
        <is>
          <t>COMPAÑÍAS ASOCIADAS PETROLERAS S.A.</t>
        </is>
      </c>
      <c r="D2054" t="inlineStr">
        <is>
          <t>convencional</t>
        </is>
      </c>
      <c r="E2054" t="inlineStr">
        <is>
          <t>2024-06</t>
        </is>
      </c>
      <c r="F2054" t="n">
        <v>30288.3</v>
      </c>
      <c r="G2054" t="n">
        <v>795134.9</v>
      </c>
      <c r="H2054" t="n">
        <v>793587.3</v>
      </c>
      <c r="I2054">
        <f>DAY(EOMONTH(DATE(VALUE(LEFT(E2054,4)),VALUE(RIGHT(E2054,2)),1),0))</f>
        <v/>
      </c>
      <c r="J2054">
        <f>VALUE(LEFT(E2054,4))*12+VALUE(RIGHT(E2054,2))-1</f>
        <v/>
      </c>
    </row>
    <row r="2055">
      <c r="A2055" t="inlineStr">
        <is>
          <t>Diadema</t>
        </is>
      </c>
      <c r="B2055" t="inlineStr">
        <is>
          <t>Golfo San Jorge</t>
        </is>
      </c>
      <c r="C2055" t="inlineStr">
        <is>
          <t>COMPAÑÍAS ASOCIADAS PETROLERAS S.A.</t>
        </is>
      </c>
      <c r="D2055" t="inlineStr">
        <is>
          <t>convencional</t>
        </is>
      </c>
      <c r="E2055" t="inlineStr">
        <is>
          <t>2024-07</t>
        </is>
      </c>
      <c r="F2055" t="n">
        <v>41800.5</v>
      </c>
      <c r="G2055" t="n">
        <v>1104603.5</v>
      </c>
      <c r="H2055" t="n">
        <v>1103321.3</v>
      </c>
      <c r="I2055">
        <f>DAY(EOMONTH(DATE(VALUE(LEFT(E2055,4)),VALUE(RIGHT(E2055,2)),1),0))</f>
        <v/>
      </c>
      <c r="J2055">
        <f>VALUE(LEFT(E2055,4))*12+VALUE(RIGHT(E2055,2))-1</f>
        <v/>
      </c>
    </row>
    <row r="2056">
      <c r="A2056" t="inlineStr">
        <is>
          <t>Diadema</t>
        </is>
      </c>
      <c r="B2056" t="inlineStr">
        <is>
          <t>Golfo San Jorge</t>
        </is>
      </c>
      <c r="C2056" t="inlineStr">
        <is>
          <t>COMPAÑÍAS ASOCIADAS PETROLERAS S.A.</t>
        </is>
      </c>
      <c r="D2056" t="inlineStr">
        <is>
          <t>convencional</t>
        </is>
      </c>
      <c r="E2056" t="inlineStr">
        <is>
          <t>2024-08</t>
        </is>
      </c>
      <c r="F2056" t="n">
        <v>47393.2</v>
      </c>
      <c r="G2056" t="n">
        <v>1329561.6</v>
      </c>
      <c r="H2056" t="n">
        <v>1327030.2</v>
      </c>
      <c r="I2056">
        <f>DAY(EOMONTH(DATE(VALUE(LEFT(E2056,4)),VALUE(RIGHT(E2056,2)),1),0))</f>
        <v/>
      </c>
      <c r="J2056">
        <f>VALUE(LEFT(E2056,4))*12+VALUE(RIGHT(E2056,2))-1</f>
        <v/>
      </c>
    </row>
    <row r="2057">
      <c r="A2057" t="inlineStr">
        <is>
          <t>Diadema</t>
        </is>
      </c>
      <c r="B2057" t="inlineStr">
        <is>
          <t>Golfo San Jorge</t>
        </is>
      </c>
      <c r="C2057" t="inlineStr">
        <is>
          <t>COMPAÑÍAS ASOCIADAS PETROLERAS S.A.</t>
        </is>
      </c>
      <c r="D2057" t="inlineStr">
        <is>
          <t>convencional</t>
        </is>
      </c>
      <c r="E2057" t="inlineStr">
        <is>
          <t>2024-09</t>
        </is>
      </c>
      <c r="F2057" t="n">
        <v>46378</v>
      </c>
      <c r="G2057" t="n">
        <v>1302458.4</v>
      </c>
      <c r="H2057" t="n">
        <v>1299364.9</v>
      </c>
      <c r="I2057">
        <f>DAY(EOMONTH(DATE(VALUE(LEFT(E2057,4)),VALUE(RIGHT(E2057,2)),1),0))</f>
        <v/>
      </c>
      <c r="J2057">
        <f>VALUE(LEFT(E2057,4))*12+VALUE(RIGHT(E2057,2))-1</f>
        <v/>
      </c>
    </row>
    <row r="2058">
      <c r="A2058" t="inlineStr">
        <is>
          <t>Diadema</t>
        </is>
      </c>
      <c r="B2058" t="inlineStr">
        <is>
          <t>Golfo San Jorge</t>
        </is>
      </c>
      <c r="C2058" t="inlineStr">
        <is>
          <t>COMPAÑÍAS ASOCIADAS PETROLERAS S.A.</t>
        </is>
      </c>
      <c r="D2058" t="inlineStr">
        <is>
          <t>convencional</t>
        </is>
      </c>
      <c r="E2058" t="inlineStr">
        <is>
          <t>2024-10</t>
        </is>
      </c>
      <c r="F2058" t="n">
        <v>49572.4</v>
      </c>
      <c r="G2058" t="n">
        <v>1359120.1</v>
      </c>
      <c r="H2058" t="n">
        <v>1356366.7</v>
      </c>
      <c r="I2058">
        <f>DAY(EOMONTH(DATE(VALUE(LEFT(E2058,4)),VALUE(RIGHT(E2058,2)),1),0))</f>
        <v/>
      </c>
      <c r="J2058">
        <f>VALUE(LEFT(E2058,4))*12+VALUE(RIGHT(E2058,2))-1</f>
        <v/>
      </c>
    </row>
    <row r="2059">
      <c r="A2059" t="inlineStr">
        <is>
          <t>Diadema</t>
        </is>
      </c>
      <c r="B2059" t="inlineStr">
        <is>
          <t>Golfo San Jorge</t>
        </is>
      </c>
      <c r="C2059" t="inlineStr">
        <is>
          <t>COMPAÑÍAS ASOCIADAS PETROLERAS S.A.</t>
        </is>
      </c>
      <c r="D2059" t="inlineStr">
        <is>
          <t>convencional</t>
        </is>
      </c>
      <c r="E2059" t="inlineStr">
        <is>
          <t>2024-11</t>
        </is>
      </c>
      <c r="F2059" t="n">
        <v>48935.5</v>
      </c>
      <c r="G2059" t="n">
        <v>1274158.1</v>
      </c>
      <c r="H2059" t="n">
        <v>1269467.5</v>
      </c>
      <c r="I2059">
        <f>DAY(EOMONTH(DATE(VALUE(LEFT(E2059,4)),VALUE(RIGHT(E2059,2)),1),0))</f>
        <v/>
      </c>
      <c r="J2059">
        <f>VALUE(LEFT(E2059,4))*12+VALUE(RIGHT(E2059,2))-1</f>
        <v/>
      </c>
    </row>
    <row r="2060">
      <c r="A2060" t="inlineStr">
        <is>
          <t>Diadema</t>
        </is>
      </c>
      <c r="B2060" t="inlineStr">
        <is>
          <t>Golfo San Jorge</t>
        </is>
      </c>
      <c r="C2060" t="inlineStr">
        <is>
          <t>COMPAÑÍAS ASOCIADAS PETROLERAS S.A.</t>
        </is>
      </c>
      <c r="D2060" t="inlineStr">
        <is>
          <t>convencional</t>
        </is>
      </c>
      <c r="E2060" t="inlineStr">
        <is>
          <t>2024-12</t>
        </is>
      </c>
      <c r="F2060" t="n">
        <v>50605.6</v>
      </c>
      <c r="G2060" t="n">
        <v>1308789.6</v>
      </c>
      <c r="H2060" t="n">
        <v>1306123</v>
      </c>
      <c r="I2060">
        <f>DAY(EOMONTH(DATE(VALUE(LEFT(E2060,4)),VALUE(RIGHT(E2060,2)),1),0))</f>
        <v/>
      </c>
      <c r="J2060">
        <f>VALUE(LEFT(E2060,4))*12+VALUE(RIGHT(E2060,2))-1</f>
        <v/>
      </c>
    </row>
    <row r="2061">
      <c r="A2061" t="inlineStr">
        <is>
          <t>Diadema</t>
        </is>
      </c>
      <c r="B2061" t="inlineStr">
        <is>
          <t>Golfo San Jorge</t>
        </is>
      </c>
      <c r="C2061" t="inlineStr">
        <is>
          <t>COMPAÑÍAS ASOCIADAS PETROLERAS S.A.</t>
        </is>
      </c>
      <c r="D2061" t="inlineStr">
        <is>
          <t>convencional</t>
        </is>
      </c>
      <c r="E2061" t="inlineStr">
        <is>
          <t>2025-01</t>
        </is>
      </c>
      <c r="F2061" t="n">
        <v>47540.2</v>
      </c>
      <c r="G2061" t="n">
        <v>1282212.6</v>
      </c>
      <c r="H2061" t="n">
        <v>1280163.3</v>
      </c>
      <c r="I2061">
        <f>DAY(EOMONTH(DATE(VALUE(LEFT(E2061,4)),VALUE(RIGHT(E2061,2)),1),0))</f>
        <v/>
      </c>
      <c r="J2061">
        <f>VALUE(LEFT(E2061,4))*12+VALUE(RIGHT(E2061,2))-1</f>
        <v/>
      </c>
    </row>
    <row r="2062">
      <c r="A2062" t="inlineStr">
        <is>
          <t>Diadema</t>
        </is>
      </c>
      <c r="B2062" t="inlineStr">
        <is>
          <t>Golfo San Jorge</t>
        </is>
      </c>
      <c r="C2062" t="inlineStr">
        <is>
          <t>COMPAÑÍAS ASOCIADAS PETROLERAS S.A.</t>
        </is>
      </c>
      <c r="D2062" t="inlineStr">
        <is>
          <t>convencional</t>
        </is>
      </c>
      <c r="E2062" t="inlineStr">
        <is>
          <t>2025-02</t>
        </is>
      </c>
      <c r="F2062" t="n">
        <v>41948.4</v>
      </c>
      <c r="G2062" t="n">
        <v>1216236.2</v>
      </c>
      <c r="H2062" t="n">
        <v>1214360.2</v>
      </c>
      <c r="I2062">
        <f>DAY(EOMONTH(DATE(VALUE(LEFT(E2062,4)),VALUE(RIGHT(E2062,2)),1),0))</f>
        <v/>
      </c>
      <c r="J2062">
        <f>VALUE(LEFT(E2062,4))*12+VALUE(RIGHT(E2062,2))-1</f>
        <v/>
      </c>
    </row>
    <row r="2063">
      <c r="A2063" t="inlineStr">
        <is>
          <t>Diadema</t>
        </is>
      </c>
      <c r="B2063" t="inlineStr">
        <is>
          <t>Golfo San Jorge</t>
        </is>
      </c>
      <c r="C2063" t="inlineStr">
        <is>
          <t>COMPAÑÍAS ASOCIADAS PETROLERAS S.A.</t>
        </is>
      </c>
      <c r="D2063" t="inlineStr">
        <is>
          <t>convencional</t>
        </is>
      </c>
      <c r="E2063" t="inlineStr">
        <is>
          <t>2025-03</t>
        </is>
      </c>
      <c r="F2063" t="n">
        <v>46996.1</v>
      </c>
      <c r="G2063" t="n">
        <v>1385450.8</v>
      </c>
      <c r="H2063" t="n">
        <v>1384286.7</v>
      </c>
      <c r="I2063">
        <f>DAY(EOMONTH(DATE(VALUE(LEFT(E2063,4)),VALUE(RIGHT(E2063,2)),1),0))</f>
        <v/>
      </c>
      <c r="J2063">
        <f>VALUE(LEFT(E2063,4))*12+VALUE(RIGHT(E2063,2))-1</f>
        <v/>
      </c>
    </row>
    <row r="2064">
      <c r="A2064" t="inlineStr">
        <is>
          <t>Diadema</t>
        </is>
      </c>
      <c r="B2064" t="inlineStr">
        <is>
          <t>Golfo San Jorge</t>
        </is>
      </c>
      <c r="C2064" t="inlineStr">
        <is>
          <t>COMPAÑÍAS ASOCIADAS PETROLERAS S.A.</t>
        </is>
      </c>
      <c r="D2064" t="inlineStr">
        <is>
          <t>convencional</t>
        </is>
      </c>
      <c r="E2064" t="inlineStr">
        <is>
          <t>2025-04</t>
        </is>
      </c>
      <c r="F2064" t="n">
        <v>47355</v>
      </c>
      <c r="G2064" t="n">
        <v>1329566.7</v>
      </c>
      <c r="H2064" t="n">
        <v>1329578</v>
      </c>
      <c r="I2064">
        <f>DAY(EOMONTH(DATE(VALUE(LEFT(E2064,4)),VALUE(RIGHT(E2064,2)),1),0))</f>
        <v/>
      </c>
      <c r="J2064">
        <f>VALUE(LEFT(E2064,4))*12+VALUE(RIGHT(E2064,2))-1</f>
        <v/>
      </c>
    </row>
    <row r="2065">
      <c r="A2065" t="inlineStr">
        <is>
          <t>Diadema</t>
        </is>
      </c>
      <c r="B2065" t="inlineStr">
        <is>
          <t>Golfo San Jorge</t>
        </is>
      </c>
      <c r="C2065" t="inlineStr">
        <is>
          <t>COMPAÑÍAS ASOCIADAS PETROLERAS S.A.</t>
        </is>
      </c>
      <c r="D2065" t="inlineStr">
        <is>
          <t>convencional</t>
        </is>
      </c>
      <c r="E2065" t="inlineStr">
        <is>
          <t>2025-05</t>
        </is>
      </c>
      <c r="F2065" t="n">
        <v>48652.2</v>
      </c>
      <c r="G2065" t="n">
        <v>1377825.2</v>
      </c>
      <c r="H2065" t="n">
        <v>1377971.1</v>
      </c>
      <c r="I2065">
        <f>DAY(EOMONTH(DATE(VALUE(LEFT(E2065,4)),VALUE(RIGHT(E2065,2)),1),0))</f>
        <v/>
      </c>
      <c r="J2065">
        <f>VALUE(LEFT(E2065,4))*12+VALUE(RIGHT(E2065,2))-1</f>
        <v/>
      </c>
    </row>
    <row r="2066">
      <c r="A2066" t="inlineStr">
        <is>
          <t>Diadema</t>
        </is>
      </c>
      <c r="B2066" t="inlineStr">
        <is>
          <t>Golfo San Jorge</t>
        </is>
      </c>
      <c r="C2066" t="inlineStr">
        <is>
          <t>COMPAÑÍAS ASOCIADAS PETROLERAS S.A.</t>
        </is>
      </c>
      <c r="D2066" t="inlineStr">
        <is>
          <t>convencional</t>
        </is>
      </c>
      <c r="E2066" t="inlineStr">
        <is>
          <t>2025-06</t>
        </is>
      </c>
      <c r="F2066" t="n">
        <v>49729.3</v>
      </c>
      <c r="G2066" t="n">
        <v>1349640.1</v>
      </c>
      <c r="H2066" t="n">
        <v>1349455</v>
      </c>
      <c r="I2066">
        <f>DAY(EOMONTH(DATE(VALUE(LEFT(E2066,4)),VALUE(RIGHT(E2066,2)),1),0))</f>
        <v/>
      </c>
      <c r="J2066">
        <f>VALUE(LEFT(E2066,4))*12+VALUE(RIGHT(E2066,2))-1</f>
        <v/>
      </c>
    </row>
    <row r="2067">
      <c r="A2067" t="inlineStr">
        <is>
          <t>Diadema</t>
        </is>
      </c>
      <c r="B2067" t="inlineStr">
        <is>
          <t>Golfo San Jorge</t>
        </is>
      </c>
      <c r="C2067" t="inlineStr">
        <is>
          <t>COMPAÑÍAS ASOCIADAS PETROLERAS S.A.</t>
        </is>
      </c>
      <c r="D2067" t="inlineStr">
        <is>
          <t>convencional</t>
        </is>
      </c>
      <c r="E2067" t="inlineStr">
        <is>
          <t>2025-07</t>
        </is>
      </c>
      <c r="F2067" t="n">
        <v>49592.2</v>
      </c>
      <c r="G2067" t="n">
        <v>1378976.3</v>
      </c>
      <c r="H2067" t="n">
        <v>1379029.1</v>
      </c>
      <c r="I2067">
        <f>DAY(EOMONTH(DATE(VALUE(LEFT(E2067,4)),VALUE(RIGHT(E2067,2)),1),0))</f>
        <v/>
      </c>
      <c r="J2067">
        <f>VALUE(LEFT(E2067,4))*12+VALUE(RIGHT(E2067,2))-1</f>
        <v/>
      </c>
    </row>
    <row r="2068">
      <c r="A2068" t="inlineStr">
        <is>
          <t>Diadema</t>
        </is>
      </c>
      <c r="B2068" t="inlineStr">
        <is>
          <t>Golfo San Jorge</t>
        </is>
      </c>
      <c r="C2068" t="inlineStr">
        <is>
          <t>COMPAÑÍAS ASOCIADAS PETROLERAS S.A.</t>
        </is>
      </c>
      <c r="D2068" t="inlineStr">
        <is>
          <t>convencional</t>
        </is>
      </c>
      <c r="E2068" t="inlineStr">
        <is>
          <t>2025-08</t>
        </is>
      </c>
      <c r="F2068" t="n">
        <v>48735</v>
      </c>
      <c r="G2068" t="n">
        <v>1362511.5</v>
      </c>
      <c r="H2068" t="n">
        <v>1362169</v>
      </c>
      <c r="I2068">
        <f>DAY(EOMONTH(DATE(VALUE(LEFT(E2068,4)),VALUE(RIGHT(E2068,2)),1),0))</f>
        <v/>
      </c>
      <c r="J2068">
        <f>VALUE(LEFT(E2068,4))*12+VALUE(RIGHT(E2068,2))-1</f>
        <v/>
      </c>
    </row>
    <row r="2069">
      <c r="A2069" t="inlineStr">
        <is>
          <t>Diadema</t>
        </is>
      </c>
      <c r="B2069" t="inlineStr">
        <is>
          <t>Golfo San Jorge</t>
        </is>
      </c>
      <c r="C2069" t="inlineStr">
        <is>
          <t>COMPAÑÍAS ASOCIADAS PETROLERAS S.A.</t>
        </is>
      </c>
      <c r="D2069" t="inlineStr">
        <is>
          <t>convencional</t>
        </is>
      </c>
      <c r="E2069" t="inlineStr">
        <is>
          <t>2025-09</t>
        </is>
      </c>
      <c r="F2069" t="n">
        <v>46288</v>
      </c>
      <c r="G2069" t="n">
        <v>1328409.4</v>
      </c>
      <c r="H2069" t="n">
        <v>1330095</v>
      </c>
      <c r="I2069">
        <f>DAY(EOMONTH(DATE(VALUE(LEFT(E2069,4)),VALUE(RIGHT(E2069,2)),1),0))</f>
        <v/>
      </c>
      <c r="J2069">
        <f>VALUE(LEFT(E2069,4))*12+VALUE(RIGHT(E2069,2))-1</f>
        <v/>
      </c>
    </row>
    <row r="2070">
      <c r="A2070" t="inlineStr">
        <is>
          <t>Diadema</t>
        </is>
      </c>
      <c r="B2070" t="inlineStr">
        <is>
          <t>Golfo San Jorge</t>
        </is>
      </c>
      <c r="C2070" t="inlineStr">
        <is>
          <t>COMPAÑÍAS ASOCIADAS PETROLERAS S.A.</t>
        </is>
      </c>
      <c r="D2070" t="inlineStr">
        <is>
          <t>convencional</t>
        </is>
      </c>
      <c r="E2070" t="inlineStr">
        <is>
          <t>2025-10</t>
        </is>
      </c>
      <c r="F2070" t="n">
        <v>48812.1</v>
      </c>
      <c r="G2070" t="n">
        <v>1375498.7</v>
      </c>
      <c r="H2070" t="n">
        <v>1377699.9</v>
      </c>
      <c r="I2070">
        <f>DAY(EOMONTH(DATE(VALUE(LEFT(E2070,4)),VALUE(RIGHT(E2070,2)),1),0))</f>
        <v/>
      </c>
      <c r="J2070">
        <f>VALUE(LEFT(E2070,4))*12+VALUE(RIGHT(E2070,2))-1</f>
        <v/>
      </c>
    </row>
    <row r="2071">
      <c r="A2071" t="inlineStr">
        <is>
          <t>Diadema</t>
        </is>
      </c>
      <c r="B2071" t="inlineStr">
        <is>
          <t>Golfo San Jorge</t>
        </is>
      </c>
      <c r="C2071" t="inlineStr">
        <is>
          <t>COMPAÑÍAS ASOCIADAS PETROLERAS S.A.</t>
        </is>
      </c>
      <c r="D2071" t="inlineStr">
        <is>
          <t>convencional</t>
        </is>
      </c>
      <c r="E2071" t="inlineStr">
        <is>
          <t>2025-11</t>
        </is>
      </c>
      <c r="F2071" t="n">
        <v>47840.4</v>
      </c>
      <c r="G2071" t="n">
        <v>1323527.9</v>
      </c>
      <c r="H2071" t="n">
        <v>1325687</v>
      </c>
      <c r="I2071">
        <f>DAY(EOMONTH(DATE(VALUE(LEFT(E2071,4)),VALUE(RIGHT(E2071,2)),1),0))</f>
        <v/>
      </c>
      <c r="J2071">
        <f>VALUE(LEFT(E2071,4))*12+VALUE(RIGHT(E2071,2))-1</f>
        <v/>
      </c>
    </row>
    <row r="2072">
      <c r="A2072" t="inlineStr">
        <is>
          <t>Diadema</t>
        </is>
      </c>
      <c r="B2072" t="inlineStr">
        <is>
          <t>Golfo San Jorge</t>
        </is>
      </c>
      <c r="C2072" t="inlineStr">
        <is>
          <t>COMPAÑÍAS ASOCIADAS PETROLERAS S.A.</t>
        </is>
      </c>
      <c r="D2072" t="inlineStr">
        <is>
          <t>convencional</t>
        </is>
      </c>
      <c r="E2072" t="inlineStr">
        <is>
          <t>2025-12</t>
        </is>
      </c>
      <c r="F2072" t="n">
        <v>49890.3</v>
      </c>
      <c r="G2072" t="n">
        <v>1388452.4</v>
      </c>
      <c r="H2072" t="n">
        <v>1388546.1</v>
      </c>
      <c r="I2072">
        <f>DAY(EOMONTH(DATE(VALUE(LEFT(E2072,4)),VALUE(RIGHT(E2072,2)),1),0))</f>
        <v/>
      </c>
      <c r="J2072">
        <f>VALUE(LEFT(E2072,4))*12+VALUE(RIGHT(E2072,2))-1</f>
        <v/>
      </c>
    </row>
    <row r="2073">
      <c r="A2073" t="inlineStr">
        <is>
          <t>Diadema</t>
        </is>
      </c>
      <c r="B2073" t="inlineStr">
        <is>
          <t>Golfo San Jorge</t>
        </is>
      </c>
      <c r="C2073" t="inlineStr">
        <is>
          <t>COMPAÑÍAS ASOCIADAS PETROLERAS S.A.</t>
        </is>
      </c>
      <c r="D2073" t="inlineStr">
        <is>
          <t>convencional</t>
        </is>
      </c>
      <c r="E2073" t="inlineStr">
        <is>
          <t>2026-01</t>
        </is>
      </c>
      <c r="F2073" t="n">
        <v>48105.6</v>
      </c>
      <c r="G2073" t="n">
        <v>1369035.1</v>
      </c>
      <c r="H2073" t="n">
        <v>1368257</v>
      </c>
      <c r="I2073">
        <f>DAY(EOMONTH(DATE(VALUE(LEFT(E2073,4)),VALUE(RIGHT(E2073,2)),1),0))</f>
        <v/>
      </c>
      <c r="J2073">
        <f>VALUE(LEFT(E2073,4))*12+VALUE(RIGHT(E2073,2))-1</f>
        <v/>
      </c>
    </row>
    <row r="2074">
      <c r="A2074" t="inlineStr">
        <is>
          <t>Diadema</t>
        </is>
      </c>
      <c r="B2074" t="inlineStr">
        <is>
          <t>Golfo San Jorge</t>
        </is>
      </c>
      <c r="C2074" t="inlineStr">
        <is>
          <t>COMPAÑÍAS ASOCIADAS PETROLERAS S.A.</t>
        </is>
      </c>
      <c r="D2074" t="inlineStr">
        <is>
          <t>convencional</t>
        </is>
      </c>
      <c r="E2074" t="inlineStr">
        <is>
          <t>2026-02</t>
        </is>
      </c>
      <c r="F2074" t="n">
        <v>43820.8</v>
      </c>
      <c r="G2074" t="n">
        <v>1226408.4</v>
      </c>
      <c r="H2074" t="n">
        <v>1225979</v>
      </c>
      <c r="I2074">
        <f>DAY(EOMONTH(DATE(VALUE(LEFT(E2074,4)),VALUE(RIGHT(E2074,2)),1),0))</f>
        <v/>
      </c>
      <c r="J2074">
        <f>VALUE(LEFT(E2074,4))*12+VALUE(RIGHT(E2074,2))-1</f>
        <v/>
      </c>
    </row>
    <row r="2075">
      <c r="A2075" t="inlineStr">
        <is>
          <t>Diadema</t>
        </is>
      </c>
      <c r="B2075" t="inlineStr">
        <is>
          <t>Golfo San Jorge</t>
        </is>
      </c>
      <c r="C2075" t="inlineStr">
        <is>
          <t>COMPAÑÍAS ASOCIADAS PETROLERAS S.A.</t>
        </is>
      </c>
      <c r="D2075" t="inlineStr">
        <is>
          <t>convencional</t>
        </is>
      </c>
      <c r="E2075" t="inlineStr">
        <is>
          <t>2026-03</t>
        </is>
      </c>
      <c r="F2075" t="n">
        <v>48528.5</v>
      </c>
      <c r="G2075" t="n">
        <v>1348828.7</v>
      </c>
      <c r="H2075" t="n">
        <v>1348865</v>
      </c>
      <c r="I2075">
        <f>DAY(EOMONTH(DATE(VALUE(LEFT(E2075,4)),VALUE(RIGHT(E2075,2)),1),0))</f>
        <v/>
      </c>
      <c r="J2075">
        <f>VALUE(LEFT(E2075,4))*12+VALUE(RIGHT(E2075,2))-1</f>
        <v/>
      </c>
    </row>
    <row r="2076">
      <c r="A2076" t="inlineStr">
        <is>
          <t>Diadema</t>
        </is>
      </c>
      <c r="B2076" t="inlineStr">
        <is>
          <t>Golfo San Jorge</t>
        </is>
      </c>
      <c r="C2076" t="inlineStr">
        <is>
          <t>COMPAÑÍAS ASOCIADAS PETROLERAS S.A.</t>
        </is>
      </c>
      <c r="D2076" t="inlineStr">
        <is>
          <t>convencional</t>
        </is>
      </c>
      <c r="E2076" t="inlineStr">
        <is>
          <t>2026-04</t>
        </is>
      </c>
      <c r="F2076" t="n">
        <v>46356.9</v>
      </c>
      <c r="G2076" t="n">
        <v>1312581.8</v>
      </c>
      <c r="H2076" t="n">
        <v>1312974</v>
      </c>
      <c r="I2076">
        <f>DAY(EOMONTH(DATE(VALUE(LEFT(E2076,4)),VALUE(RIGHT(E2076,2)),1),0))</f>
        <v/>
      </c>
      <c r="J2076">
        <f>VALUE(LEFT(E2076,4))*12+VALUE(RIGHT(E2076,2))-1</f>
        <v/>
      </c>
    </row>
    <row r="2077">
      <c r="A2077" t="inlineStr">
        <is>
          <t>Diadema</t>
        </is>
      </c>
      <c r="B2077" t="inlineStr">
        <is>
          <t>Golfo San Jorge</t>
        </is>
      </c>
      <c r="C2077" t="inlineStr">
        <is>
          <t>COMPAÑÍAS ASOCIADAS PETROLERAS S.A.</t>
        </is>
      </c>
      <c r="D2077" t="inlineStr">
        <is>
          <t>convencional</t>
        </is>
      </c>
      <c r="E2077" t="inlineStr">
        <is>
          <t>2026-05</t>
        </is>
      </c>
      <c r="F2077" t="n">
        <v>49572.9</v>
      </c>
      <c r="G2077" t="n">
        <v>1362229.2</v>
      </c>
      <c r="H2077" t="n">
        <v>1362191.9</v>
      </c>
      <c r="I2077">
        <f>DAY(EOMONTH(DATE(VALUE(LEFT(E2077,4)),VALUE(RIGHT(E2077,2)),1),0))</f>
        <v/>
      </c>
      <c r="J2077">
        <f>VALUE(LEFT(E2077,4))*12+VALUE(RIGHT(E2077,2))-1</f>
        <v/>
      </c>
    </row>
    <row r="2078">
      <c r="A2078" t="inlineStr">
        <is>
          <t>Diadema</t>
        </is>
      </c>
      <c r="B2078" t="inlineStr">
        <is>
          <t>Golfo San Jorge</t>
        </is>
      </c>
      <c r="C2078" t="inlineStr">
        <is>
          <t>COMPAÑÍAS ASOCIADAS PETROLERAS S.A.</t>
        </is>
      </c>
      <c r="D2078" t="inlineStr">
        <is>
          <t>convencional</t>
        </is>
      </c>
      <c r="E2078" t="inlineStr">
        <is>
          <t>2026-06</t>
        </is>
      </c>
      <c r="F2078" t="n">
        <v>48455</v>
      </c>
      <c r="G2078" t="n">
        <v>1324654.6</v>
      </c>
      <c r="H2078" t="n">
        <v>1322846.9</v>
      </c>
      <c r="I2078">
        <f>DAY(EOMONTH(DATE(VALUE(LEFT(E2078,4)),VALUE(RIGHT(E2078,2)),1),0))</f>
        <v/>
      </c>
      <c r="J2078">
        <f>VALUE(LEFT(E2078,4))*12+VALUE(RIGHT(E2078,2))-1</f>
        <v/>
      </c>
    </row>
    <row r="2079">
      <c r="A2079" t="inlineStr">
        <is>
          <t>Diadema</t>
        </is>
      </c>
      <c r="B2079" t="inlineStr">
        <is>
          <t>Golfo San Jorge</t>
        </is>
      </c>
      <c r="C2079" t="inlineStr">
        <is>
          <t>COMPAÑÍAS ASOCIADAS PETROLERAS S.A.</t>
        </is>
      </c>
      <c r="D2079" t="inlineStr">
        <is>
          <t>convencional</t>
        </is>
      </c>
      <c r="E2079" t="inlineStr">
        <is>
          <t>2026-07</t>
        </is>
      </c>
      <c r="F2079" t="n">
        <v>49306.7</v>
      </c>
      <c r="G2079" t="n">
        <v>1353576.4</v>
      </c>
      <c r="H2079" t="n">
        <v>1351263.9</v>
      </c>
      <c r="I2079">
        <f>DAY(EOMONTH(DATE(VALUE(LEFT(E2079,4)),VALUE(RIGHT(E2079,2)),1),0))</f>
        <v/>
      </c>
      <c r="J2079">
        <f>VALUE(LEFT(E2079,4))*12+VALUE(RIGHT(E2079,2))-1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Mes</t>
        </is>
      </c>
      <c r="C1" t="inlineStr">
        <is>
          <t>Petróleo (m³)</t>
        </is>
      </c>
      <c r="D1" t="inlineStr">
        <is>
          <t>Agua (m³)</t>
        </is>
      </c>
      <c r="E1" t="inlineStr">
        <is>
          <t>Np desde 2006 (m³)</t>
        </is>
      </c>
      <c r="F1" t="inlineStr">
        <is>
          <t>RAP</t>
        </is>
      </c>
    </row>
    <row r="2">
      <c r="A2" t="inlineStr">
        <is>
          <t>El Corcobo Norte</t>
        </is>
      </c>
      <c r="B2" t="inlineStr">
        <is>
          <t>2006-01</t>
        </is>
      </c>
      <c r="C2" t="n">
        <v>503.2</v>
      </c>
      <c r="D2" t="n">
        <v>2</v>
      </c>
      <c r="E2">
        <f>C2</f>
        <v/>
      </c>
      <c r="F2">
        <f>IF(C2&gt;0,D2/C2,NA())</f>
        <v/>
      </c>
    </row>
    <row r="3">
      <c r="A3" t="inlineStr">
        <is>
          <t>El Corcobo Norte</t>
        </is>
      </c>
      <c r="B3" t="inlineStr">
        <is>
          <t>2006-02</t>
        </is>
      </c>
      <c r="C3" t="n">
        <v>1388.5</v>
      </c>
      <c r="D3" t="n">
        <v>58.5</v>
      </c>
      <c r="E3">
        <f>E2+C3</f>
        <v/>
      </c>
      <c r="F3">
        <f>IF(C3&gt;0,D3/C3,NA())</f>
        <v/>
      </c>
    </row>
    <row r="4">
      <c r="A4" t="inlineStr">
        <is>
          <t>El Corcobo Norte</t>
        </is>
      </c>
      <c r="B4" t="inlineStr">
        <is>
          <t>2006-03</t>
        </is>
      </c>
      <c r="C4" t="n">
        <v>2164.3</v>
      </c>
      <c r="D4" t="n">
        <v>55.6</v>
      </c>
      <c r="E4">
        <f>E3+C4</f>
        <v/>
      </c>
      <c r="F4">
        <f>IF(C4&gt;0,D4/C4,NA())</f>
        <v/>
      </c>
    </row>
    <row r="5">
      <c r="A5" t="inlineStr">
        <is>
          <t>El Corcobo Norte</t>
        </is>
      </c>
      <c r="B5" t="inlineStr">
        <is>
          <t>2006-04</t>
        </is>
      </c>
      <c r="C5" t="n">
        <v>3353.8</v>
      </c>
      <c r="D5" t="n">
        <v>141.3</v>
      </c>
      <c r="E5">
        <f>E4+C5</f>
        <v/>
      </c>
      <c r="F5">
        <f>IF(C5&gt;0,D5/C5,NA())</f>
        <v/>
      </c>
    </row>
    <row r="6">
      <c r="A6" t="inlineStr">
        <is>
          <t>El Corcobo Norte</t>
        </is>
      </c>
      <c r="B6" t="inlineStr">
        <is>
          <t>2006-05</t>
        </is>
      </c>
      <c r="C6" t="n">
        <v>4083.4</v>
      </c>
      <c r="D6" t="n">
        <v>499.8</v>
      </c>
      <c r="E6">
        <f>E5+C6</f>
        <v/>
      </c>
      <c r="F6">
        <f>IF(C6&gt;0,D6/C6,NA())</f>
        <v/>
      </c>
    </row>
    <row r="7">
      <c r="A7" t="inlineStr">
        <is>
          <t>El Corcobo Norte</t>
        </is>
      </c>
      <c r="B7" t="inlineStr">
        <is>
          <t>2006-06</t>
        </is>
      </c>
      <c r="C7" t="n">
        <v>4941.3</v>
      </c>
      <c r="D7" t="n">
        <v>723.6</v>
      </c>
      <c r="E7">
        <f>E6+C7</f>
        <v/>
      </c>
      <c r="F7">
        <f>IF(C7&gt;0,D7/C7,NA())</f>
        <v/>
      </c>
    </row>
    <row r="8">
      <c r="A8" t="inlineStr">
        <is>
          <t>El Corcobo Norte</t>
        </is>
      </c>
      <c r="B8" t="inlineStr">
        <is>
          <t>2006-07</t>
        </is>
      </c>
      <c r="C8" t="n">
        <v>5047.2</v>
      </c>
      <c r="D8" t="n">
        <v>1201.8</v>
      </c>
      <c r="E8">
        <f>E7+C8</f>
        <v/>
      </c>
      <c r="F8">
        <f>IF(C8&gt;0,D8/C8,NA())</f>
        <v/>
      </c>
    </row>
    <row r="9">
      <c r="A9" t="inlineStr">
        <is>
          <t>El Corcobo Norte</t>
        </is>
      </c>
      <c r="B9" t="inlineStr">
        <is>
          <t>2006-08</t>
        </is>
      </c>
      <c r="C9" t="n">
        <v>6348.8</v>
      </c>
      <c r="D9" t="n">
        <v>1859.8</v>
      </c>
      <c r="E9">
        <f>E8+C9</f>
        <v/>
      </c>
      <c r="F9">
        <f>IF(C9&gt;0,D9/C9,NA())</f>
        <v/>
      </c>
    </row>
    <row r="10">
      <c r="A10" t="inlineStr">
        <is>
          <t>El Corcobo Norte</t>
        </is>
      </c>
      <c r="B10" t="inlineStr">
        <is>
          <t>2006-09</t>
        </is>
      </c>
      <c r="C10" t="n">
        <v>10565.3</v>
      </c>
      <c r="D10" t="n">
        <v>2794.3</v>
      </c>
      <c r="E10">
        <f>E9+C10</f>
        <v/>
      </c>
      <c r="F10">
        <f>IF(C10&gt;0,D10/C10,NA())</f>
        <v/>
      </c>
    </row>
    <row r="11">
      <c r="A11" t="inlineStr">
        <is>
          <t>El Corcobo Norte</t>
        </is>
      </c>
      <c r="B11" t="inlineStr">
        <is>
          <t>2006-10</t>
        </is>
      </c>
      <c r="C11" t="n">
        <v>17676.7</v>
      </c>
      <c r="D11" t="n">
        <v>4473.8</v>
      </c>
      <c r="E11">
        <f>E10+C11</f>
        <v/>
      </c>
      <c r="F11">
        <f>IF(C11&gt;0,D11/C11,NA())</f>
        <v/>
      </c>
    </row>
    <row r="12">
      <c r="A12" t="inlineStr">
        <is>
          <t>El Corcobo Norte</t>
        </is>
      </c>
      <c r="B12" t="inlineStr">
        <is>
          <t>2006-11</t>
        </is>
      </c>
      <c r="C12" t="n">
        <v>18485</v>
      </c>
      <c r="D12" t="n">
        <v>7762.6</v>
      </c>
      <c r="E12">
        <f>E11+C12</f>
        <v/>
      </c>
      <c r="F12">
        <f>IF(C12&gt;0,D12/C12,NA())</f>
        <v/>
      </c>
    </row>
    <row r="13">
      <c r="A13" t="inlineStr">
        <is>
          <t>El Corcobo Norte</t>
        </is>
      </c>
      <c r="B13" t="inlineStr">
        <is>
          <t>2006-12</t>
        </is>
      </c>
      <c r="C13" t="n">
        <v>20180.1</v>
      </c>
      <c r="D13" t="n">
        <v>8352.700000000001</v>
      </c>
      <c r="E13">
        <f>E12+C13</f>
        <v/>
      </c>
      <c r="F13">
        <f>IF(C13&gt;0,D13/C13,NA())</f>
        <v/>
      </c>
    </row>
    <row r="14">
      <c r="A14" t="inlineStr">
        <is>
          <t>El Corcobo Norte</t>
        </is>
      </c>
      <c r="B14" t="inlineStr">
        <is>
          <t>2007-01</t>
        </is>
      </c>
      <c r="C14" t="n">
        <v>21859.2</v>
      </c>
      <c r="D14" t="n">
        <v>8607.299999999999</v>
      </c>
      <c r="E14">
        <f>E13+C14</f>
        <v/>
      </c>
      <c r="F14">
        <f>IF(C14&gt;0,D14/C14,NA())</f>
        <v/>
      </c>
    </row>
    <row r="15">
      <c r="A15" t="inlineStr">
        <is>
          <t>El Corcobo Norte</t>
        </is>
      </c>
      <c r="B15" t="inlineStr">
        <is>
          <t>2007-02</t>
        </is>
      </c>
      <c r="C15" t="n">
        <v>21268.9</v>
      </c>
      <c r="D15" t="n">
        <v>6423.7</v>
      </c>
      <c r="E15">
        <f>E14+C15</f>
        <v/>
      </c>
      <c r="F15">
        <f>IF(C15&gt;0,D15/C15,NA())</f>
        <v/>
      </c>
    </row>
    <row r="16">
      <c r="A16" t="inlineStr">
        <is>
          <t>El Corcobo Norte</t>
        </is>
      </c>
      <c r="B16" t="inlineStr">
        <is>
          <t>2007-03</t>
        </is>
      </c>
      <c r="C16" t="n">
        <v>27321.2</v>
      </c>
      <c r="D16" t="n">
        <v>4280.9</v>
      </c>
      <c r="E16">
        <f>E15+C16</f>
        <v/>
      </c>
      <c r="F16">
        <f>IF(C16&gt;0,D16/C16,NA())</f>
        <v/>
      </c>
    </row>
    <row r="17">
      <c r="A17" t="inlineStr">
        <is>
          <t>El Corcobo Norte</t>
        </is>
      </c>
      <c r="B17" t="inlineStr">
        <is>
          <t>2007-04</t>
        </is>
      </c>
      <c r="C17" t="n">
        <v>40124.5</v>
      </c>
      <c r="D17" t="n">
        <v>4300.7</v>
      </c>
      <c r="E17">
        <f>E16+C17</f>
        <v/>
      </c>
      <c r="F17">
        <f>IF(C17&gt;0,D17/C17,NA())</f>
        <v/>
      </c>
    </row>
    <row r="18">
      <c r="A18" t="inlineStr">
        <is>
          <t>El Corcobo Norte</t>
        </is>
      </c>
      <c r="B18" t="inlineStr">
        <is>
          <t>2007-05</t>
        </is>
      </c>
      <c r="C18" t="n">
        <v>43430.8</v>
      </c>
      <c r="D18" t="n">
        <v>7074.2</v>
      </c>
      <c r="E18">
        <f>E17+C18</f>
        <v/>
      </c>
      <c r="F18">
        <f>IF(C18&gt;0,D18/C18,NA())</f>
        <v/>
      </c>
    </row>
    <row r="19">
      <c r="A19" t="inlineStr">
        <is>
          <t>El Corcobo Norte</t>
        </is>
      </c>
      <c r="B19" t="inlineStr">
        <is>
          <t>2007-06</t>
        </is>
      </c>
      <c r="C19" t="n">
        <v>40820.7</v>
      </c>
      <c r="D19" t="n">
        <v>6286.9</v>
      </c>
      <c r="E19">
        <f>E18+C19</f>
        <v/>
      </c>
      <c r="F19">
        <f>IF(C19&gt;0,D19/C19,NA())</f>
        <v/>
      </c>
    </row>
    <row r="20">
      <c r="A20" t="inlineStr">
        <is>
          <t>El Corcobo Norte</t>
        </is>
      </c>
      <c r="B20" t="inlineStr">
        <is>
          <t>2007-07</t>
        </is>
      </c>
      <c r="C20" t="n">
        <v>39897</v>
      </c>
      <c r="D20" t="n">
        <v>7345.5</v>
      </c>
      <c r="E20">
        <f>E19+C20</f>
        <v/>
      </c>
      <c r="F20">
        <f>IF(C20&gt;0,D20/C20,NA())</f>
        <v/>
      </c>
    </row>
    <row r="21">
      <c r="A21" t="inlineStr">
        <is>
          <t>El Corcobo Norte</t>
        </is>
      </c>
      <c r="B21" t="inlineStr">
        <is>
          <t>2007-08</t>
        </is>
      </c>
      <c r="C21" t="n">
        <v>49000.4</v>
      </c>
      <c r="D21" t="n">
        <v>8975.700000000001</v>
      </c>
      <c r="E21">
        <f>E20+C21</f>
        <v/>
      </c>
      <c r="F21">
        <f>IF(C21&gt;0,D21/C21,NA())</f>
        <v/>
      </c>
    </row>
    <row r="22">
      <c r="A22" t="inlineStr">
        <is>
          <t>El Corcobo Norte</t>
        </is>
      </c>
      <c r="B22" t="inlineStr">
        <is>
          <t>2007-09</t>
        </is>
      </c>
      <c r="C22" t="n">
        <v>53980.9</v>
      </c>
      <c r="D22" t="n">
        <v>10270.1</v>
      </c>
      <c r="E22">
        <f>E21+C22</f>
        <v/>
      </c>
      <c r="F22">
        <f>IF(C22&gt;0,D22/C22,NA())</f>
        <v/>
      </c>
    </row>
    <row r="23">
      <c r="A23" t="inlineStr">
        <is>
          <t>El Corcobo Norte</t>
        </is>
      </c>
      <c r="B23" t="inlineStr">
        <is>
          <t>2007-10</t>
        </is>
      </c>
      <c r="C23" t="n">
        <v>52920.6</v>
      </c>
      <c r="D23" t="n">
        <v>15152.8</v>
      </c>
      <c r="E23">
        <f>E22+C23</f>
        <v/>
      </c>
      <c r="F23">
        <f>IF(C23&gt;0,D23/C23,NA())</f>
        <v/>
      </c>
    </row>
    <row r="24">
      <c r="A24" t="inlineStr">
        <is>
          <t>El Corcobo Norte</t>
        </is>
      </c>
      <c r="B24" t="inlineStr">
        <is>
          <t>2007-11</t>
        </is>
      </c>
      <c r="C24" t="n">
        <v>54989.1</v>
      </c>
      <c r="D24" t="n">
        <v>18073.7</v>
      </c>
      <c r="E24">
        <f>E23+C24</f>
        <v/>
      </c>
      <c r="F24">
        <f>IF(C24&gt;0,D24/C24,NA())</f>
        <v/>
      </c>
    </row>
    <row r="25">
      <c r="A25" t="inlineStr">
        <is>
          <t>El Corcobo Norte</t>
        </is>
      </c>
      <c r="B25" t="inlineStr">
        <is>
          <t>2007-12</t>
        </is>
      </c>
      <c r="C25" t="n">
        <v>64081.3</v>
      </c>
      <c r="D25" t="n">
        <v>20169</v>
      </c>
      <c r="E25">
        <f>E24+C25</f>
        <v/>
      </c>
      <c r="F25">
        <f>IF(C25&gt;0,D25/C25,NA())</f>
        <v/>
      </c>
    </row>
    <row r="26">
      <c r="A26" t="inlineStr">
        <is>
          <t>El Corcobo Norte</t>
        </is>
      </c>
      <c r="B26" t="inlineStr">
        <is>
          <t>2008-01</t>
        </is>
      </c>
      <c r="C26" t="n">
        <v>67418.10000000001</v>
      </c>
      <c r="D26" t="n">
        <v>19175.6</v>
      </c>
      <c r="E26">
        <f>E25+C26</f>
        <v/>
      </c>
      <c r="F26">
        <f>IF(C26&gt;0,D26/C26,NA())</f>
        <v/>
      </c>
    </row>
    <row r="27">
      <c r="A27" t="inlineStr">
        <is>
          <t>El Corcobo Norte</t>
        </is>
      </c>
      <c r="B27" t="inlineStr">
        <is>
          <t>2008-02</t>
        </is>
      </c>
      <c r="C27" t="n">
        <v>69951.8</v>
      </c>
      <c r="D27" t="n">
        <v>19642.4</v>
      </c>
      <c r="E27">
        <f>E26+C27</f>
        <v/>
      </c>
      <c r="F27">
        <f>IF(C27&gt;0,D27/C27,NA())</f>
        <v/>
      </c>
    </row>
    <row r="28">
      <c r="A28" t="inlineStr">
        <is>
          <t>El Corcobo Norte</t>
        </is>
      </c>
      <c r="B28" t="inlineStr">
        <is>
          <t>2008-03</t>
        </is>
      </c>
      <c r="C28" t="n">
        <v>84148.7</v>
      </c>
      <c r="D28" t="n">
        <v>27462.8</v>
      </c>
      <c r="E28">
        <f>E27+C28</f>
        <v/>
      </c>
      <c r="F28">
        <f>IF(C28&gt;0,D28/C28,NA())</f>
        <v/>
      </c>
    </row>
    <row r="29">
      <c r="A29" t="inlineStr">
        <is>
          <t>El Corcobo Norte</t>
        </is>
      </c>
      <c r="B29" t="inlineStr">
        <is>
          <t>2008-04</t>
        </is>
      </c>
      <c r="C29" t="n">
        <v>87808.8</v>
      </c>
      <c r="D29" t="n">
        <v>30314.5</v>
      </c>
      <c r="E29">
        <f>E28+C29</f>
        <v/>
      </c>
      <c r="F29">
        <f>IF(C29&gt;0,D29/C29,NA())</f>
        <v/>
      </c>
    </row>
    <row r="30">
      <c r="A30" t="inlineStr">
        <is>
          <t>El Corcobo Norte</t>
        </is>
      </c>
      <c r="B30" t="inlineStr">
        <is>
          <t>2008-05</t>
        </is>
      </c>
      <c r="C30" t="n">
        <v>88429</v>
      </c>
      <c r="D30" t="n">
        <v>30161.3</v>
      </c>
      <c r="E30">
        <f>E29+C30</f>
        <v/>
      </c>
      <c r="F30">
        <f>IF(C30&gt;0,D30/C30,NA())</f>
        <v/>
      </c>
    </row>
    <row r="31">
      <c r="A31" t="inlineStr">
        <is>
          <t>El Corcobo Norte</t>
        </is>
      </c>
      <c r="B31" t="inlineStr">
        <is>
          <t>2008-06</t>
        </is>
      </c>
      <c r="C31" t="n">
        <v>88268.2</v>
      </c>
      <c r="D31" t="n">
        <v>33077.8</v>
      </c>
      <c r="E31">
        <f>E30+C31</f>
        <v/>
      </c>
      <c r="F31">
        <f>IF(C31&gt;0,D31/C31,NA())</f>
        <v/>
      </c>
    </row>
    <row r="32">
      <c r="A32" t="inlineStr">
        <is>
          <t>El Corcobo Norte</t>
        </is>
      </c>
      <c r="B32" t="inlineStr">
        <is>
          <t>2008-07</t>
        </is>
      </c>
      <c r="C32" t="n">
        <v>95921.10000000001</v>
      </c>
      <c r="D32" t="n">
        <v>39045.7</v>
      </c>
      <c r="E32">
        <f>E31+C32</f>
        <v/>
      </c>
      <c r="F32">
        <f>IF(C32&gt;0,D32/C32,NA())</f>
        <v/>
      </c>
    </row>
    <row r="33">
      <c r="A33" t="inlineStr">
        <is>
          <t>El Corcobo Norte</t>
        </is>
      </c>
      <c r="B33" t="inlineStr">
        <is>
          <t>2008-08</t>
        </is>
      </c>
      <c r="C33" t="n">
        <v>100577.1</v>
      </c>
      <c r="D33" t="n">
        <v>51472.1</v>
      </c>
      <c r="E33">
        <f>E32+C33</f>
        <v/>
      </c>
      <c r="F33">
        <f>IF(C33&gt;0,D33/C33,NA())</f>
        <v/>
      </c>
    </row>
    <row r="34">
      <c r="A34" t="inlineStr">
        <is>
          <t>El Corcobo Norte</t>
        </is>
      </c>
      <c r="B34" t="inlineStr">
        <is>
          <t>2008-09</t>
        </is>
      </c>
      <c r="C34" t="n">
        <v>100929.8</v>
      </c>
      <c r="D34" t="n">
        <v>56911.7</v>
      </c>
      <c r="E34">
        <f>E33+C34</f>
        <v/>
      </c>
      <c r="F34">
        <f>IF(C34&gt;0,D34/C34,NA())</f>
        <v/>
      </c>
    </row>
    <row r="35">
      <c r="A35" t="inlineStr">
        <is>
          <t>El Corcobo Norte</t>
        </is>
      </c>
      <c r="B35" t="inlineStr">
        <is>
          <t>2008-10</t>
        </is>
      </c>
      <c r="C35" t="n">
        <v>109723.1</v>
      </c>
      <c r="D35" t="n">
        <v>64490.5</v>
      </c>
      <c r="E35">
        <f>E34+C35</f>
        <v/>
      </c>
      <c r="F35">
        <f>IF(C35&gt;0,D35/C35,NA())</f>
        <v/>
      </c>
    </row>
    <row r="36">
      <c r="A36" t="inlineStr">
        <is>
          <t>El Corcobo Norte</t>
        </is>
      </c>
      <c r="B36" t="inlineStr">
        <is>
          <t>2008-11</t>
        </is>
      </c>
      <c r="C36" t="n">
        <v>105153.9</v>
      </c>
      <c r="D36" t="n">
        <v>76694</v>
      </c>
      <c r="E36">
        <f>E35+C36</f>
        <v/>
      </c>
      <c r="F36">
        <f>IF(C36&gt;0,D36/C36,NA())</f>
        <v/>
      </c>
    </row>
    <row r="37">
      <c r="A37" t="inlineStr">
        <is>
          <t>El Corcobo Norte</t>
        </is>
      </c>
      <c r="B37" t="inlineStr">
        <is>
          <t>2008-12</t>
        </is>
      </c>
      <c r="C37" t="n">
        <v>101619.5</v>
      </c>
      <c r="D37" t="n">
        <v>90740.60000000001</v>
      </c>
      <c r="E37">
        <f>E36+C37</f>
        <v/>
      </c>
      <c r="F37">
        <f>IF(C37&gt;0,D37/C37,NA())</f>
        <v/>
      </c>
    </row>
    <row r="38">
      <c r="A38" t="inlineStr">
        <is>
          <t>El Corcobo Norte</t>
        </is>
      </c>
      <c r="B38" t="inlineStr">
        <is>
          <t>2009-01</t>
        </is>
      </c>
      <c r="C38" t="n">
        <v>96533</v>
      </c>
      <c r="D38" t="n">
        <v>80023.89999999999</v>
      </c>
      <c r="E38">
        <f>E37+C38</f>
        <v/>
      </c>
      <c r="F38">
        <f>IF(C38&gt;0,D38/C38,NA())</f>
        <v/>
      </c>
    </row>
    <row r="39">
      <c r="A39" t="inlineStr">
        <is>
          <t>El Corcobo Norte</t>
        </is>
      </c>
      <c r="B39" t="inlineStr">
        <is>
          <t>2009-02</t>
        </is>
      </c>
      <c r="C39" t="n">
        <v>88661.89999999999</v>
      </c>
      <c r="D39" t="n">
        <v>64800.7</v>
      </c>
      <c r="E39">
        <f>E38+C39</f>
        <v/>
      </c>
      <c r="F39">
        <f>IF(C39&gt;0,D39/C39,NA())</f>
        <v/>
      </c>
    </row>
    <row r="40">
      <c r="A40" t="inlineStr">
        <is>
          <t>El Corcobo Norte</t>
        </is>
      </c>
      <c r="B40" t="inlineStr">
        <is>
          <t>2009-03</t>
        </is>
      </c>
      <c r="C40" t="n">
        <v>97810.39999999999</v>
      </c>
      <c r="D40" t="n">
        <v>79037.3</v>
      </c>
      <c r="E40">
        <f>E39+C40</f>
        <v/>
      </c>
      <c r="F40">
        <f>IF(C40&gt;0,D40/C40,NA())</f>
        <v/>
      </c>
    </row>
    <row r="41">
      <c r="A41" t="inlineStr">
        <is>
          <t>El Corcobo Norte</t>
        </is>
      </c>
      <c r="B41" t="inlineStr">
        <is>
          <t>2009-04</t>
        </is>
      </c>
      <c r="C41" t="n">
        <v>92028.7</v>
      </c>
      <c r="D41" t="n">
        <v>86862.89999999999</v>
      </c>
      <c r="E41">
        <f>E40+C41</f>
        <v/>
      </c>
      <c r="F41">
        <f>IF(C41&gt;0,D41/C41,NA())</f>
        <v/>
      </c>
    </row>
    <row r="42">
      <c r="A42" t="inlineStr">
        <is>
          <t>El Corcobo Norte</t>
        </is>
      </c>
      <c r="B42" t="inlineStr">
        <is>
          <t>2009-05</t>
        </is>
      </c>
      <c r="C42" t="n">
        <v>91866.8</v>
      </c>
      <c r="D42" t="n">
        <v>88524.10000000001</v>
      </c>
      <c r="E42">
        <f>E41+C42</f>
        <v/>
      </c>
      <c r="F42">
        <f>IF(C42&gt;0,D42/C42,NA())</f>
        <v/>
      </c>
    </row>
    <row r="43">
      <c r="A43" t="inlineStr">
        <is>
          <t>El Corcobo Norte</t>
        </is>
      </c>
      <c r="B43" t="inlineStr">
        <is>
          <t>2009-06</t>
        </is>
      </c>
      <c r="C43" t="n">
        <v>90800.2</v>
      </c>
      <c r="D43" t="n">
        <v>86590.60000000001</v>
      </c>
      <c r="E43">
        <f>E42+C43</f>
        <v/>
      </c>
      <c r="F43">
        <f>IF(C43&gt;0,D43/C43,NA())</f>
        <v/>
      </c>
    </row>
    <row r="44">
      <c r="A44" t="inlineStr">
        <is>
          <t>El Corcobo Norte</t>
        </is>
      </c>
      <c r="B44" t="inlineStr">
        <is>
          <t>2009-07</t>
        </is>
      </c>
      <c r="C44" t="n">
        <v>92927.39999999999</v>
      </c>
      <c r="D44" t="n">
        <v>102916.5</v>
      </c>
      <c r="E44">
        <f>E43+C44</f>
        <v/>
      </c>
      <c r="F44">
        <f>IF(C44&gt;0,D44/C44,NA())</f>
        <v/>
      </c>
    </row>
    <row r="45">
      <c r="A45" t="inlineStr">
        <is>
          <t>El Corcobo Norte</t>
        </is>
      </c>
      <c r="B45" t="inlineStr">
        <is>
          <t>2009-08</t>
        </is>
      </c>
      <c r="C45" t="n">
        <v>92495</v>
      </c>
      <c r="D45" t="n">
        <v>115635.2</v>
      </c>
      <c r="E45">
        <f>E44+C45</f>
        <v/>
      </c>
      <c r="F45">
        <f>IF(C45&gt;0,D45/C45,NA())</f>
        <v/>
      </c>
    </row>
    <row r="46">
      <c r="A46" t="inlineStr">
        <is>
          <t>El Corcobo Norte</t>
        </is>
      </c>
      <c r="B46" t="inlineStr">
        <is>
          <t>2009-09</t>
        </is>
      </c>
      <c r="C46" t="n">
        <v>88102.89999999999</v>
      </c>
      <c r="D46" t="n">
        <v>130326.6</v>
      </c>
      <c r="E46">
        <f>E45+C46</f>
        <v/>
      </c>
      <c r="F46">
        <f>IF(C46&gt;0,D46/C46,NA())</f>
        <v/>
      </c>
    </row>
    <row r="47">
      <c r="A47" t="inlineStr">
        <is>
          <t>El Corcobo Norte</t>
        </is>
      </c>
      <c r="B47" t="inlineStr">
        <is>
          <t>2009-10</t>
        </is>
      </c>
      <c r="C47" t="n">
        <v>90421.60000000001</v>
      </c>
      <c r="D47" t="n">
        <v>141161.2</v>
      </c>
      <c r="E47">
        <f>E46+C47</f>
        <v/>
      </c>
      <c r="F47">
        <f>IF(C47&gt;0,D47/C47,NA())</f>
        <v/>
      </c>
    </row>
    <row r="48">
      <c r="A48" t="inlineStr">
        <is>
          <t>El Corcobo Norte</t>
        </is>
      </c>
      <c r="B48" t="inlineStr">
        <is>
          <t>2009-11</t>
        </is>
      </c>
      <c r="C48" t="n">
        <v>84383.60000000001</v>
      </c>
      <c r="D48" t="n">
        <v>145911.2</v>
      </c>
      <c r="E48">
        <f>E47+C48</f>
        <v/>
      </c>
      <c r="F48">
        <f>IF(C48&gt;0,D48/C48,NA())</f>
        <v/>
      </c>
    </row>
    <row r="49">
      <c r="A49" t="inlineStr">
        <is>
          <t>El Corcobo Norte</t>
        </is>
      </c>
      <c r="B49" t="inlineStr">
        <is>
          <t>2009-12</t>
        </is>
      </c>
      <c r="C49" t="n">
        <v>89442.3</v>
      </c>
      <c r="D49" t="n">
        <v>162705.1</v>
      </c>
      <c r="E49">
        <f>E48+C49</f>
        <v/>
      </c>
      <c r="F49">
        <f>IF(C49&gt;0,D49/C49,NA())</f>
        <v/>
      </c>
    </row>
    <row r="50">
      <c r="A50" t="inlineStr">
        <is>
          <t>El Corcobo Norte</t>
        </is>
      </c>
      <c r="B50" t="inlineStr">
        <is>
          <t>2010-01</t>
        </is>
      </c>
      <c r="C50" t="n">
        <v>86265.39999999999</v>
      </c>
      <c r="D50" t="n">
        <v>158998.5</v>
      </c>
      <c r="E50">
        <f>E49+C50</f>
        <v/>
      </c>
      <c r="F50">
        <f>IF(C50&gt;0,D50/C50,NA())</f>
        <v/>
      </c>
    </row>
    <row r="51">
      <c r="A51" t="inlineStr">
        <is>
          <t>El Corcobo Norte</t>
        </is>
      </c>
      <c r="B51" t="inlineStr">
        <is>
          <t>2010-02</t>
        </is>
      </c>
      <c r="C51" t="n">
        <v>78697.89999999999</v>
      </c>
      <c r="D51" t="n">
        <v>152098.3</v>
      </c>
      <c r="E51">
        <f>E50+C51</f>
        <v/>
      </c>
      <c r="F51">
        <f>IF(C51&gt;0,D51/C51,NA())</f>
        <v/>
      </c>
    </row>
    <row r="52">
      <c r="A52" t="inlineStr">
        <is>
          <t>El Corcobo Norte</t>
        </is>
      </c>
      <c r="B52" t="inlineStr">
        <is>
          <t>2010-03</t>
        </is>
      </c>
      <c r="C52" t="n">
        <v>83303.5</v>
      </c>
      <c r="D52" t="n">
        <v>166194.4</v>
      </c>
      <c r="E52">
        <f>E51+C52</f>
        <v/>
      </c>
      <c r="F52">
        <f>IF(C52&gt;0,D52/C52,NA())</f>
        <v/>
      </c>
    </row>
    <row r="53">
      <c r="A53" t="inlineStr">
        <is>
          <t>El Corcobo Norte</t>
        </is>
      </c>
      <c r="B53" t="inlineStr">
        <is>
          <t>2010-04</t>
        </is>
      </c>
      <c r="C53" t="n">
        <v>81769.39999999999</v>
      </c>
      <c r="D53" t="n">
        <v>159443.1</v>
      </c>
      <c r="E53">
        <f>E52+C53</f>
        <v/>
      </c>
      <c r="F53">
        <f>IF(C53&gt;0,D53/C53,NA())</f>
        <v/>
      </c>
    </row>
    <row r="54">
      <c r="A54" t="inlineStr">
        <is>
          <t>El Corcobo Norte</t>
        </is>
      </c>
      <c r="B54" t="inlineStr">
        <is>
          <t>2010-05</t>
        </is>
      </c>
      <c r="C54" t="n">
        <v>87762.3</v>
      </c>
      <c r="D54" t="n">
        <v>165877.8</v>
      </c>
      <c r="E54">
        <f>E53+C54</f>
        <v/>
      </c>
      <c r="F54">
        <f>IF(C54&gt;0,D54/C54,NA())</f>
        <v/>
      </c>
    </row>
    <row r="55">
      <c r="A55" t="inlineStr">
        <is>
          <t>El Corcobo Norte</t>
        </is>
      </c>
      <c r="B55" t="inlineStr">
        <is>
          <t>2010-06</t>
        </is>
      </c>
      <c r="C55" t="n">
        <v>87014.8</v>
      </c>
      <c r="D55" t="n">
        <v>166873.2</v>
      </c>
      <c r="E55">
        <f>E54+C55</f>
        <v/>
      </c>
      <c r="F55">
        <f>IF(C55&gt;0,D55/C55,NA())</f>
        <v/>
      </c>
    </row>
    <row r="56">
      <c r="A56" t="inlineStr">
        <is>
          <t>El Corcobo Norte</t>
        </is>
      </c>
      <c r="B56" t="inlineStr">
        <is>
          <t>2010-07</t>
        </is>
      </c>
      <c r="C56" t="n">
        <v>91154.3</v>
      </c>
      <c r="D56" t="n">
        <v>174945.5</v>
      </c>
      <c r="E56">
        <f>E55+C56</f>
        <v/>
      </c>
      <c r="F56">
        <f>IF(C56&gt;0,D56/C56,NA())</f>
        <v/>
      </c>
    </row>
    <row r="57">
      <c r="A57" t="inlineStr">
        <is>
          <t>El Corcobo Norte</t>
        </is>
      </c>
      <c r="B57" t="inlineStr">
        <is>
          <t>2010-08</t>
        </is>
      </c>
      <c r="C57" t="n">
        <v>93186.2</v>
      </c>
      <c r="D57" t="n">
        <v>179813.2</v>
      </c>
      <c r="E57">
        <f>E56+C57</f>
        <v/>
      </c>
      <c r="F57">
        <f>IF(C57&gt;0,D57/C57,NA())</f>
        <v/>
      </c>
    </row>
    <row r="58">
      <c r="A58" t="inlineStr">
        <is>
          <t>El Corcobo Norte</t>
        </is>
      </c>
      <c r="B58" t="inlineStr">
        <is>
          <t>2010-09</t>
        </is>
      </c>
      <c r="C58" t="n">
        <v>91395.89999999999</v>
      </c>
      <c r="D58" t="n">
        <v>167791.7</v>
      </c>
      <c r="E58">
        <f>E57+C58</f>
        <v/>
      </c>
      <c r="F58">
        <f>IF(C58&gt;0,D58/C58,NA())</f>
        <v/>
      </c>
    </row>
    <row r="59">
      <c r="A59" t="inlineStr">
        <is>
          <t>El Corcobo Norte</t>
        </is>
      </c>
      <c r="B59" t="inlineStr">
        <is>
          <t>2010-10</t>
        </is>
      </c>
      <c r="C59" t="n">
        <v>96313.8</v>
      </c>
      <c r="D59" t="n">
        <v>180011.6</v>
      </c>
      <c r="E59">
        <f>E58+C59</f>
        <v/>
      </c>
      <c r="F59">
        <f>IF(C59&gt;0,D59/C59,NA())</f>
        <v/>
      </c>
    </row>
    <row r="60">
      <c r="A60" t="inlineStr">
        <is>
          <t>El Corcobo Norte</t>
        </is>
      </c>
      <c r="B60" t="inlineStr">
        <is>
          <t>2010-11</t>
        </is>
      </c>
      <c r="C60" t="n">
        <v>90545</v>
      </c>
      <c r="D60" t="n">
        <v>182320.3</v>
      </c>
      <c r="E60">
        <f>E59+C60</f>
        <v/>
      </c>
      <c r="F60">
        <f>IF(C60&gt;0,D60/C60,NA())</f>
        <v/>
      </c>
    </row>
    <row r="61">
      <c r="A61" t="inlineStr">
        <is>
          <t>El Corcobo Norte</t>
        </is>
      </c>
      <c r="B61" t="inlineStr">
        <is>
          <t>2010-12</t>
        </is>
      </c>
      <c r="C61" t="n">
        <v>95280.60000000001</v>
      </c>
      <c r="D61" t="n">
        <v>179074.3</v>
      </c>
      <c r="E61">
        <f>E60+C61</f>
        <v/>
      </c>
      <c r="F61">
        <f>IF(C61&gt;0,D61/C61,NA())</f>
        <v/>
      </c>
    </row>
    <row r="62">
      <c r="A62" t="inlineStr">
        <is>
          <t>El Corcobo Norte</t>
        </is>
      </c>
      <c r="B62" t="inlineStr">
        <is>
          <t>2011-01</t>
        </is>
      </c>
      <c r="C62" t="n">
        <v>92423.89999999999</v>
      </c>
      <c r="D62" t="n">
        <v>177116.2</v>
      </c>
      <c r="E62">
        <f>E61+C62</f>
        <v/>
      </c>
      <c r="F62">
        <f>IF(C62&gt;0,D62/C62,NA())</f>
        <v/>
      </c>
    </row>
    <row r="63">
      <c r="A63" t="inlineStr">
        <is>
          <t>El Corcobo Norte</t>
        </is>
      </c>
      <c r="B63" t="inlineStr">
        <is>
          <t>2011-02</t>
        </is>
      </c>
      <c r="C63" t="n">
        <v>81368.5</v>
      </c>
      <c r="D63" t="n">
        <v>153834.7</v>
      </c>
      <c r="E63">
        <f>E62+C63</f>
        <v/>
      </c>
      <c r="F63">
        <f>IF(C63&gt;0,D63/C63,NA())</f>
        <v/>
      </c>
    </row>
    <row r="64">
      <c r="A64" t="inlineStr">
        <is>
          <t>El Corcobo Norte</t>
        </is>
      </c>
      <c r="B64" t="inlineStr">
        <is>
          <t>2011-03</t>
        </is>
      </c>
      <c r="C64" t="n">
        <v>91691.2</v>
      </c>
      <c r="D64" t="n">
        <v>165016.8</v>
      </c>
      <c r="E64">
        <f>E63+C64</f>
        <v/>
      </c>
      <c r="F64">
        <f>IF(C64&gt;0,D64/C64,NA())</f>
        <v/>
      </c>
    </row>
    <row r="65">
      <c r="A65" t="inlineStr">
        <is>
          <t>El Corcobo Norte</t>
        </is>
      </c>
      <c r="B65" t="inlineStr">
        <is>
          <t>2011-04</t>
        </is>
      </c>
      <c r="C65" t="n">
        <v>89342.89999999999</v>
      </c>
      <c r="D65" t="n">
        <v>161634</v>
      </c>
      <c r="E65">
        <f>E64+C65</f>
        <v/>
      </c>
      <c r="F65">
        <f>IF(C65&gt;0,D65/C65,NA())</f>
        <v/>
      </c>
    </row>
    <row r="66">
      <c r="A66" t="inlineStr">
        <is>
          <t>El Corcobo Norte</t>
        </is>
      </c>
      <c r="B66" t="inlineStr">
        <is>
          <t>2011-05</t>
        </is>
      </c>
      <c r="C66" t="n">
        <v>87818.10000000001</v>
      </c>
      <c r="D66" t="n">
        <v>171026.1</v>
      </c>
      <c r="E66">
        <f>E65+C66</f>
        <v/>
      </c>
      <c r="F66">
        <f>IF(C66&gt;0,D66/C66,NA())</f>
        <v/>
      </c>
    </row>
    <row r="67">
      <c r="A67" t="inlineStr">
        <is>
          <t>El Corcobo Norte</t>
        </is>
      </c>
      <c r="B67" t="inlineStr">
        <is>
          <t>2011-06</t>
        </is>
      </c>
      <c r="C67" t="n">
        <v>83802.7</v>
      </c>
      <c r="D67" t="n">
        <v>171386.6</v>
      </c>
      <c r="E67">
        <f>E66+C67</f>
        <v/>
      </c>
      <c r="F67">
        <f>IF(C67&gt;0,D67/C67,NA())</f>
        <v/>
      </c>
    </row>
    <row r="68">
      <c r="A68" t="inlineStr">
        <is>
          <t>El Corcobo Norte</t>
        </is>
      </c>
      <c r="B68" t="inlineStr">
        <is>
          <t>2011-07</t>
        </is>
      </c>
      <c r="C68" t="n">
        <v>85789.7</v>
      </c>
      <c r="D68" t="n">
        <v>176358.8</v>
      </c>
      <c r="E68">
        <f>E67+C68</f>
        <v/>
      </c>
      <c r="F68">
        <f>IF(C68&gt;0,D68/C68,NA())</f>
        <v/>
      </c>
    </row>
    <row r="69">
      <c r="A69" t="inlineStr">
        <is>
          <t>El Corcobo Norte</t>
        </is>
      </c>
      <c r="B69" t="inlineStr">
        <is>
          <t>2011-08</t>
        </is>
      </c>
      <c r="C69" t="n">
        <v>83483.10000000001</v>
      </c>
      <c r="D69" t="n">
        <v>173512.2</v>
      </c>
      <c r="E69">
        <f>E68+C69</f>
        <v/>
      </c>
      <c r="F69">
        <f>IF(C69&gt;0,D69/C69,NA())</f>
        <v/>
      </c>
    </row>
    <row r="70">
      <c r="A70" t="inlineStr">
        <is>
          <t>El Corcobo Norte</t>
        </is>
      </c>
      <c r="B70" t="inlineStr">
        <is>
          <t>2011-09</t>
        </is>
      </c>
      <c r="C70" t="n">
        <v>79870.39999999999</v>
      </c>
      <c r="D70" t="n">
        <v>176838.3</v>
      </c>
      <c r="E70">
        <f>E69+C70</f>
        <v/>
      </c>
      <c r="F70">
        <f>IF(C70&gt;0,D70/C70,NA())</f>
        <v/>
      </c>
    </row>
    <row r="71">
      <c r="A71" t="inlineStr">
        <is>
          <t>El Corcobo Norte</t>
        </is>
      </c>
      <c r="B71" t="inlineStr">
        <is>
          <t>2011-10</t>
        </is>
      </c>
      <c r="C71" t="n">
        <v>81494.60000000001</v>
      </c>
      <c r="D71" t="n">
        <v>196940.4</v>
      </c>
      <c r="E71">
        <f>E70+C71</f>
        <v/>
      </c>
      <c r="F71">
        <f>IF(C71&gt;0,D71/C71,NA())</f>
        <v/>
      </c>
    </row>
    <row r="72">
      <c r="A72" t="inlineStr">
        <is>
          <t>El Corcobo Norte</t>
        </is>
      </c>
      <c r="B72" t="inlineStr">
        <is>
          <t>2011-11</t>
        </is>
      </c>
      <c r="C72" t="n">
        <v>79745.10000000001</v>
      </c>
      <c r="D72" t="n">
        <v>210493.6</v>
      </c>
      <c r="E72">
        <f>E71+C72</f>
        <v/>
      </c>
      <c r="F72">
        <f>IF(C72&gt;0,D72/C72,NA())</f>
        <v/>
      </c>
    </row>
    <row r="73">
      <c r="A73" t="inlineStr">
        <is>
          <t>El Corcobo Norte</t>
        </is>
      </c>
      <c r="B73" t="inlineStr">
        <is>
          <t>2011-12</t>
        </is>
      </c>
      <c r="C73" t="n">
        <v>82925.39999999999</v>
      </c>
      <c r="D73" t="n">
        <v>222339.5</v>
      </c>
      <c r="E73">
        <f>E72+C73</f>
        <v/>
      </c>
      <c r="F73">
        <f>IF(C73&gt;0,D73/C73,NA())</f>
        <v/>
      </c>
    </row>
    <row r="74">
      <c r="A74" t="inlineStr">
        <is>
          <t>El Corcobo Norte</t>
        </is>
      </c>
      <c r="B74" t="inlineStr">
        <is>
          <t>2012-01</t>
        </is>
      </c>
      <c r="C74" t="n">
        <v>82125.5</v>
      </c>
      <c r="D74" t="n">
        <v>214950.3</v>
      </c>
      <c r="E74">
        <f>E73+C74</f>
        <v/>
      </c>
      <c r="F74">
        <f>IF(C74&gt;0,D74/C74,NA())</f>
        <v/>
      </c>
    </row>
    <row r="75">
      <c r="A75" t="inlineStr">
        <is>
          <t>El Corcobo Norte</t>
        </is>
      </c>
      <c r="B75" t="inlineStr">
        <is>
          <t>2012-02</t>
        </is>
      </c>
      <c r="C75" t="n">
        <v>78094.7</v>
      </c>
      <c r="D75" t="n">
        <v>216951.5</v>
      </c>
      <c r="E75">
        <f>E74+C75</f>
        <v/>
      </c>
      <c r="F75">
        <f>IF(C75&gt;0,D75/C75,NA())</f>
        <v/>
      </c>
    </row>
    <row r="76">
      <c r="A76" t="inlineStr">
        <is>
          <t>El Corcobo Norte</t>
        </is>
      </c>
      <c r="B76" t="inlineStr">
        <is>
          <t>2012-03</t>
        </is>
      </c>
      <c r="C76" t="n">
        <v>81216.60000000001</v>
      </c>
      <c r="D76" t="n">
        <v>230919.3</v>
      </c>
      <c r="E76">
        <f>E75+C76</f>
        <v/>
      </c>
      <c r="F76">
        <f>IF(C76&gt;0,D76/C76,NA())</f>
        <v/>
      </c>
    </row>
    <row r="77">
      <c r="A77" t="inlineStr">
        <is>
          <t>El Corcobo Norte</t>
        </is>
      </c>
      <c r="B77" t="inlineStr">
        <is>
          <t>2012-04</t>
        </is>
      </c>
      <c r="C77" t="n">
        <v>76375.7</v>
      </c>
      <c r="D77" t="n">
        <v>228861.8</v>
      </c>
      <c r="E77">
        <f>E76+C77</f>
        <v/>
      </c>
      <c r="F77">
        <f>IF(C77&gt;0,D77/C77,NA())</f>
        <v/>
      </c>
    </row>
    <row r="78">
      <c r="A78" t="inlineStr">
        <is>
          <t>El Corcobo Norte</t>
        </is>
      </c>
      <c r="B78" t="inlineStr">
        <is>
          <t>2012-05</t>
        </is>
      </c>
      <c r="C78" t="n">
        <v>77328.60000000001</v>
      </c>
      <c r="D78" t="n">
        <v>246942.1</v>
      </c>
      <c r="E78">
        <f>E77+C78</f>
        <v/>
      </c>
      <c r="F78">
        <f>IF(C78&gt;0,D78/C78,NA())</f>
        <v/>
      </c>
    </row>
    <row r="79">
      <c r="A79" t="inlineStr">
        <is>
          <t>El Corcobo Norte</t>
        </is>
      </c>
      <c r="B79" t="inlineStr">
        <is>
          <t>2012-06</t>
        </is>
      </c>
      <c r="C79" t="n">
        <v>83429.2</v>
      </c>
      <c r="D79" t="n">
        <v>271665.5</v>
      </c>
      <c r="E79">
        <f>E78+C79</f>
        <v/>
      </c>
      <c r="F79">
        <f>IF(C79&gt;0,D79/C79,NA())</f>
        <v/>
      </c>
    </row>
    <row r="80">
      <c r="A80" t="inlineStr">
        <is>
          <t>El Corcobo Norte</t>
        </is>
      </c>
      <c r="B80" t="inlineStr">
        <is>
          <t>2012-07</t>
        </is>
      </c>
      <c r="C80" t="n">
        <v>83709.7</v>
      </c>
      <c r="D80" t="n">
        <v>284817.4</v>
      </c>
      <c r="E80">
        <f>E79+C80</f>
        <v/>
      </c>
      <c r="F80">
        <f>IF(C80&gt;0,D80/C80,NA())</f>
        <v/>
      </c>
    </row>
    <row r="81">
      <c r="A81" t="inlineStr">
        <is>
          <t>El Corcobo Norte</t>
        </is>
      </c>
      <c r="B81" t="inlineStr">
        <is>
          <t>2012-08</t>
        </is>
      </c>
      <c r="C81" t="n">
        <v>84517.8</v>
      </c>
      <c r="D81" t="n">
        <v>304983.2</v>
      </c>
      <c r="E81">
        <f>E80+C81</f>
        <v/>
      </c>
      <c r="F81">
        <f>IF(C81&gt;0,D81/C81,NA())</f>
        <v/>
      </c>
    </row>
    <row r="82">
      <c r="A82" t="inlineStr">
        <is>
          <t>El Corcobo Norte</t>
        </is>
      </c>
      <c r="B82" t="inlineStr">
        <is>
          <t>2012-09</t>
        </is>
      </c>
      <c r="C82" t="n">
        <v>78883.60000000001</v>
      </c>
      <c r="D82" t="n">
        <v>297505.4</v>
      </c>
      <c r="E82">
        <f>E81+C82</f>
        <v/>
      </c>
      <c r="F82">
        <f>IF(C82&gt;0,D82/C82,NA())</f>
        <v/>
      </c>
    </row>
    <row r="83">
      <c r="A83" t="inlineStr">
        <is>
          <t>El Corcobo Norte</t>
        </is>
      </c>
      <c r="B83" t="inlineStr">
        <is>
          <t>2012-10</t>
        </is>
      </c>
      <c r="C83" t="n">
        <v>81025.3</v>
      </c>
      <c r="D83" t="n">
        <v>306808.7</v>
      </c>
      <c r="E83">
        <f>E82+C83</f>
        <v/>
      </c>
      <c r="F83">
        <f>IF(C83&gt;0,D83/C83,NA())</f>
        <v/>
      </c>
    </row>
    <row r="84">
      <c r="A84" t="inlineStr">
        <is>
          <t>El Corcobo Norte</t>
        </is>
      </c>
      <c r="B84" t="inlineStr">
        <is>
          <t>2012-11</t>
        </is>
      </c>
      <c r="C84" t="n">
        <v>71729.60000000001</v>
      </c>
      <c r="D84" t="n">
        <v>291371.4</v>
      </c>
      <c r="E84">
        <f>E83+C84</f>
        <v/>
      </c>
      <c r="F84">
        <f>IF(C84&gt;0,D84/C84,NA())</f>
        <v/>
      </c>
    </row>
    <row r="85">
      <c r="A85" t="inlineStr">
        <is>
          <t>El Corcobo Norte</t>
        </is>
      </c>
      <c r="B85" t="inlineStr">
        <is>
          <t>2012-12</t>
        </is>
      </c>
      <c r="C85" t="n">
        <v>78764.7</v>
      </c>
      <c r="D85" t="n">
        <v>313360.5</v>
      </c>
      <c r="E85">
        <f>E84+C85</f>
        <v/>
      </c>
      <c r="F85">
        <f>IF(C85&gt;0,D85/C85,NA())</f>
        <v/>
      </c>
    </row>
    <row r="86">
      <c r="A86" t="inlineStr">
        <is>
          <t>El Corcobo Norte</t>
        </is>
      </c>
      <c r="B86" t="inlineStr">
        <is>
          <t>2013-01</t>
        </is>
      </c>
      <c r="C86" t="n">
        <v>79912.60000000001</v>
      </c>
      <c r="D86" t="n">
        <v>322680.4</v>
      </c>
      <c r="E86">
        <f>E85+C86</f>
        <v/>
      </c>
      <c r="F86">
        <f>IF(C86&gt;0,D86/C86,NA())</f>
        <v/>
      </c>
    </row>
    <row r="87">
      <c r="A87" t="inlineStr">
        <is>
          <t>El Corcobo Norte</t>
        </is>
      </c>
      <c r="B87" t="inlineStr">
        <is>
          <t>2013-02</t>
        </is>
      </c>
      <c r="C87" t="n">
        <v>74163.89999999999</v>
      </c>
      <c r="D87" t="n">
        <v>308128.5</v>
      </c>
      <c r="E87">
        <f>E86+C87</f>
        <v/>
      </c>
      <c r="F87">
        <f>IF(C87&gt;0,D87/C87,NA())</f>
        <v/>
      </c>
    </row>
    <row r="88">
      <c r="A88" t="inlineStr">
        <is>
          <t>El Corcobo Norte</t>
        </is>
      </c>
      <c r="B88" t="inlineStr">
        <is>
          <t>2013-03</t>
        </is>
      </c>
      <c r="C88" t="n">
        <v>82393.8</v>
      </c>
      <c r="D88" t="n">
        <v>346376.8</v>
      </c>
      <c r="E88">
        <f>E87+C88</f>
        <v/>
      </c>
      <c r="F88">
        <f>IF(C88&gt;0,D88/C88,NA())</f>
        <v/>
      </c>
    </row>
    <row r="89">
      <c r="A89" t="inlineStr">
        <is>
          <t>El Corcobo Norte</t>
        </is>
      </c>
      <c r="B89" t="inlineStr">
        <is>
          <t>2013-04</t>
        </is>
      </c>
      <c r="C89" t="n">
        <v>83219.3</v>
      </c>
      <c r="D89" t="n">
        <v>349682.9</v>
      </c>
      <c r="E89">
        <f>E88+C89</f>
        <v/>
      </c>
      <c r="F89">
        <f>IF(C89&gt;0,D89/C89,NA())</f>
        <v/>
      </c>
    </row>
    <row r="90">
      <c r="A90" t="inlineStr">
        <is>
          <t>El Corcobo Norte</t>
        </is>
      </c>
      <c r="B90" t="inlineStr">
        <is>
          <t>2013-05</t>
        </is>
      </c>
      <c r="C90" t="n">
        <v>85339.60000000001</v>
      </c>
      <c r="D90" t="n">
        <v>369253.7</v>
      </c>
      <c r="E90">
        <f>E89+C90</f>
        <v/>
      </c>
      <c r="F90">
        <f>IF(C90&gt;0,D90/C90,NA())</f>
        <v/>
      </c>
    </row>
    <row r="91">
      <c r="A91" t="inlineStr">
        <is>
          <t>El Corcobo Norte</t>
        </is>
      </c>
      <c r="B91" t="inlineStr">
        <is>
          <t>2013-06</t>
        </is>
      </c>
      <c r="C91" t="n">
        <v>79935</v>
      </c>
      <c r="D91" t="n">
        <v>350607</v>
      </c>
      <c r="E91">
        <f>E90+C91</f>
        <v/>
      </c>
      <c r="F91">
        <f>IF(C91&gt;0,D91/C91,NA())</f>
        <v/>
      </c>
    </row>
    <row r="92">
      <c r="A92" t="inlineStr">
        <is>
          <t>El Corcobo Norte</t>
        </is>
      </c>
      <c r="B92" t="inlineStr">
        <is>
          <t>2013-07</t>
        </is>
      </c>
      <c r="C92" t="n">
        <v>83381.89999999999</v>
      </c>
      <c r="D92" t="n">
        <v>376077</v>
      </c>
      <c r="E92">
        <f>E91+C92</f>
        <v/>
      </c>
      <c r="F92">
        <f>IF(C92&gt;0,D92/C92,NA())</f>
        <v/>
      </c>
    </row>
    <row r="93">
      <c r="A93" t="inlineStr">
        <is>
          <t>El Corcobo Norte</t>
        </is>
      </c>
      <c r="B93" t="inlineStr">
        <is>
          <t>2013-08</t>
        </is>
      </c>
      <c r="C93" t="n">
        <v>82557.2</v>
      </c>
      <c r="D93" t="n">
        <v>384654.5</v>
      </c>
      <c r="E93">
        <f>E92+C93</f>
        <v/>
      </c>
      <c r="F93">
        <f>IF(C93&gt;0,D93/C93,NA())</f>
        <v/>
      </c>
    </row>
    <row r="94">
      <c r="A94" t="inlineStr">
        <is>
          <t>El Corcobo Norte</t>
        </is>
      </c>
      <c r="B94" t="inlineStr">
        <is>
          <t>2013-09</t>
        </is>
      </c>
      <c r="C94" t="n">
        <v>80424.8</v>
      </c>
      <c r="D94" t="n">
        <v>377807.2</v>
      </c>
      <c r="E94">
        <f>E93+C94</f>
        <v/>
      </c>
      <c r="F94">
        <f>IF(C94&gt;0,D94/C94,NA())</f>
        <v/>
      </c>
    </row>
    <row r="95">
      <c r="A95" t="inlineStr">
        <is>
          <t>El Corcobo Norte</t>
        </is>
      </c>
      <c r="B95" t="inlineStr">
        <is>
          <t>2013-10</t>
        </is>
      </c>
      <c r="C95" t="n">
        <v>84975.8</v>
      </c>
      <c r="D95" t="n">
        <v>393637.1</v>
      </c>
      <c r="E95">
        <f>E94+C95</f>
        <v/>
      </c>
      <c r="F95">
        <f>IF(C95&gt;0,D95/C95,NA())</f>
        <v/>
      </c>
    </row>
    <row r="96">
      <c r="A96" t="inlineStr">
        <is>
          <t>El Corcobo Norte</t>
        </is>
      </c>
      <c r="B96" t="inlineStr">
        <is>
          <t>2013-11</t>
        </is>
      </c>
      <c r="C96" t="n">
        <v>80012.8</v>
      </c>
      <c r="D96" t="n">
        <v>383279.5</v>
      </c>
      <c r="E96">
        <f>E95+C96</f>
        <v/>
      </c>
      <c r="F96">
        <f>IF(C96&gt;0,D96/C96,NA())</f>
        <v/>
      </c>
    </row>
    <row r="97">
      <c r="A97" t="inlineStr">
        <is>
          <t>El Corcobo Norte</t>
        </is>
      </c>
      <c r="B97" t="inlineStr">
        <is>
          <t>2013-12</t>
        </is>
      </c>
      <c r="C97" t="n">
        <v>82068.10000000001</v>
      </c>
      <c r="D97" t="n">
        <v>405579.6</v>
      </c>
      <c r="E97">
        <f>E96+C97</f>
        <v/>
      </c>
      <c r="F97">
        <f>IF(C97&gt;0,D97/C97,NA())</f>
        <v/>
      </c>
    </row>
    <row r="98">
      <c r="A98" t="inlineStr">
        <is>
          <t>El Corcobo Norte</t>
        </is>
      </c>
      <c r="B98" t="inlineStr">
        <is>
          <t>2014-01</t>
        </is>
      </c>
      <c r="C98" t="n">
        <v>81763.5</v>
      </c>
      <c r="D98" t="n">
        <v>406754.7</v>
      </c>
      <c r="E98">
        <f>E97+C98</f>
        <v/>
      </c>
      <c r="F98">
        <f>IF(C98&gt;0,D98/C98,NA())</f>
        <v/>
      </c>
    </row>
    <row r="99">
      <c r="A99" t="inlineStr">
        <is>
          <t>El Corcobo Norte</t>
        </is>
      </c>
      <c r="B99" t="inlineStr">
        <is>
          <t>2014-02</t>
        </is>
      </c>
      <c r="C99" t="n">
        <v>74037.8</v>
      </c>
      <c r="D99" t="n">
        <v>366561.6</v>
      </c>
      <c r="E99">
        <f>E98+C99</f>
        <v/>
      </c>
      <c r="F99">
        <f>IF(C99&gt;0,D99/C99,NA())</f>
        <v/>
      </c>
    </row>
    <row r="100">
      <c r="A100" t="inlineStr">
        <is>
          <t>El Corcobo Norte</t>
        </is>
      </c>
      <c r="B100" t="inlineStr">
        <is>
          <t>2014-03</t>
        </is>
      </c>
      <c r="C100" t="n">
        <v>78945.5</v>
      </c>
      <c r="D100" t="n">
        <v>413862.2</v>
      </c>
      <c r="E100">
        <f>E99+C100</f>
        <v/>
      </c>
      <c r="F100">
        <f>IF(C100&gt;0,D100/C100,NA())</f>
        <v/>
      </c>
    </row>
    <row r="101">
      <c r="A101" t="inlineStr">
        <is>
          <t>El Corcobo Norte</t>
        </is>
      </c>
      <c r="B101" t="inlineStr">
        <is>
          <t>2014-04</t>
        </is>
      </c>
      <c r="C101" t="n">
        <v>77544.10000000001</v>
      </c>
      <c r="D101" t="n">
        <v>402778.9</v>
      </c>
      <c r="E101">
        <f>E100+C101</f>
        <v/>
      </c>
      <c r="F101">
        <f>IF(C101&gt;0,D101/C101,NA())</f>
        <v/>
      </c>
    </row>
    <row r="102">
      <c r="A102" t="inlineStr">
        <is>
          <t>El Corcobo Norte</t>
        </is>
      </c>
      <c r="B102" t="inlineStr">
        <is>
          <t>2014-05</t>
        </is>
      </c>
      <c r="C102" t="n">
        <v>79216.39999999999</v>
      </c>
      <c r="D102" t="n">
        <v>421723.8</v>
      </c>
      <c r="E102">
        <f>E101+C102</f>
        <v/>
      </c>
      <c r="F102">
        <f>IF(C102&gt;0,D102/C102,NA())</f>
        <v/>
      </c>
    </row>
    <row r="103">
      <c r="A103" t="inlineStr">
        <is>
          <t>El Corcobo Norte</t>
        </is>
      </c>
      <c r="B103" t="inlineStr">
        <is>
          <t>2014-06</t>
        </is>
      </c>
      <c r="C103" t="n">
        <v>76468.7</v>
      </c>
      <c r="D103" t="n">
        <v>417173.5</v>
      </c>
      <c r="E103">
        <f>E102+C103</f>
        <v/>
      </c>
      <c r="F103">
        <f>IF(C103&gt;0,D103/C103,NA())</f>
        <v/>
      </c>
    </row>
    <row r="104">
      <c r="A104" t="inlineStr">
        <is>
          <t>El Corcobo Norte</t>
        </is>
      </c>
      <c r="B104" t="inlineStr">
        <is>
          <t>2014-07</t>
        </is>
      </c>
      <c r="C104" t="n">
        <v>77404</v>
      </c>
      <c r="D104" t="n">
        <v>415032.6</v>
      </c>
      <c r="E104">
        <f>E103+C104</f>
        <v/>
      </c>
      <c r="F104">
        <f>IF(C104&gt;0,D104/C104,NA())</f>
        <v/>
      </c>
    </row>
    <row r="105">
      <c r="A105" t="inlineStr">
        <is>
          <t>El Corcobo Norte</t>
        </is>
      </c>
      <c r="B105" t="inlineStr">
        <is>
          <t>2014-08</t>
        </is>
      </c>
      <c r="C105" t="n">
        <v>77716.5</v>
      </c>
      <c r="D105" t="n">
        <v>423712.8</v>
      </c>
      <c r="E105">
        <f>E104+C105</f>
        <v/>
      </c>
      <c r="F105">
        <f>IF(C105&gt;0,D105/C105,NA())</f>
        <v/>
      </c>
    </row>
    <row r="106">
      <c r="A106" t="inlineStr">
        <is>
          <t>El Corcobo Norte</t>
        </is>
      </c>
      <c r="B106" t="inlineStr">
        <is>
          <t>2014-09</t>
        </is>
      </c>
      <c r="C106" t="n">
        <v>77471.39999999999</v>
      </c>
      <c r="D106" t="n">
        <v>424449</v>
      </c>
      <c r="E106">
        <f>E105+C106</f>
        <v/>
      </c>
      <c r="F106">
        <f>IF(C106&gt;0,D106/C106,NA())</f>
        <v/>
      </c>
    </row>
    <row r="107">
      <c r="A107" t="inlineStr">
        <is>
          <t>El Corcobo Norte</t>
        </is>
      </c>
      <c r="B107" t="inlineStr">
        <is>
          <t>2014-10</t>
        </is>
      </c>
      <c r="C107" t="n">
        <v>79342.8</v>
      </c>
      <c r="D107" t="n">
        <v>448407.9</v>
      </c>
      <c r="E107">
        <f>E106+C107</f>
        <v/>
      </c>
      <c r="F107">
        <f>IF(C107&gt;0,D107/C107,NA())</f>
        <v/>
      </c>
    </row>
    <row r="108">
      <c r="A108" t="inlineStr">
        <is>
          <t>El Corcobo Norte</t>
        </is>
      </c>
      <c r="B108" t="inlineStr">
        <is>
          <t>2014-11</t>
        </is>
      </c>
      <c r="C108" t="n">
        <v>69626.89999999999</v>
      </c>
      <c r="D108" t="n">
        <v>406988.7</v>
      </c>
      <c r="E108">
        <f>E107+C108</f>
        <v/>
      </c>
      <c r="F108">
        <f>IF(C108&gt;0,D108/C108,NA())</f>
        <v/>
      </c>
    </row>
    <row r="109">
      <c r="A109" t="inlineStr">
        <is>
          <t>El Corcobo Norte</t>
        </is>
      </c>
      <c r="B109" t="inlineStr">
        <is>
          <t>2014-12</t>
        </is>
      </c>
      <c r="C109" t="n">
        <v>77163</v>
      </c>
      <c r="D109" t="n">
        <v>456743.8</v>
      </c>
      <c r="E109">
        <f>E108+C109</f>
        <v/>
      </c>
      <c r="F109">
        <f>IF(C109&gt;0,D109/C109,NA())</f>
        <v/>
      </c>
    </row>
    <row r="110">
      <c r="A110" t="inlineStr">
        <is>
          <t>El Corcobo Norte</t>
        </is>
      </c>
      <c r="B110" t="inlineStr">
        <is>
          <t>2015-01</t>
        </is>
      </c>
      <c r="C110" t="n">
        <v>77819</v>
      </c>
      <c r="D110" t="n">
        <v>455665.1</v>
      </c>
      <c r="E110">
        <f>E109+C110</f>
        <v/>
      </c>
      <c r="F110">
        <f>IF(C110&gt;0,D110/C110,NA())</f>
        <v/>
      </c>
    </row>
    <row r="111">
      <c r="A111" t="inlineStr">
        <is>
          <t>El Corcobo Norte</t>
        </is>
      </c>
      <c r="B111" t="inlineStr">
        <is>
          <t>2015-02</t>
        </is>
      </c>
      <c r="C111" t="n">
        <v>67926.2</v>
      </c>
      <c r="D111" t="n">
        <v>408486.7</v>
      </c>
      <c r="E111">
        <f>E110+C111</f>
        <v/>
      </c>
      <c r="F111">
        <f>IF(C111&gt;0,D111/C111,NA())</f>
        <v/>
      </c>
    </row>
    <row r="112">
      <c r="A112" t="inlineStr">
        <is>
          <t>El Corcobo Norte</t>
        </is>
      </c>
      <c r="B112" t="inlineStr">
        <is>
          <t>2015-03</t>
        </is>
      </c>
      <c r="C112" t="n">
        <v>76173.3</v>
      </c>
      <c r="D112" t="n">
        <v>466533.2</v>
      </c>
      <c r="E112">
        <f>E111+C112</f>
        <v/>
      </c>
      <c r="F112">
        <f>IF(C112&gt;0,D112/C112,NA())</f>
        <v/>
      </c>
    </row>
    <row r="113">
      <c r="A113" t="inlineStr">
        <is>
          <t>El Corcobo Norte</t>
        </is>
      </c>
      <c r="B113" t="inlineStr">
        <is>
          <t>2015-04</t>
        </is>
      </c>
      <c r="C113" t="n">
        <v>76956.8</v>
      </c>
      <c r="D113" t="n">
        <v>463760.3</v>
      </c>
      <c r="E113">
        <f>E112+C113</f>
        <v/>
      </c>
      <c r="F113">
        <f>IF(C113&gt;0,D113/C113,NA())</f>
        <v/>
      </c>
    </row>
    <row r="114">
      <c r="A114" t="inlineStr">
        <is>
          <t>El Corcobo Norte</t>
        </is>
      </c>
      <c r="B114" t="inlineStr">
        <is>
          <t>2015-05</t>
        </is>
      </c>
      <c r="C114" t="n">
        <v>80836.60000000001</v>
      </c>
      <c r="D114" t="n">
        <v>484194.5</v>
      </c>
      <c r="E114">
        <f>E113+C114</f>
        <v/>
      </c>
      <c r="F114">
        <f>IF(C114&gt;0,D114/C114,NA())</f>
        <v/>
      </c>
    </row>
    <row r="115">
      <c r="A115" t="inlineStr">
        <is>
          <t>El Corcobo Norte</t>
        </is>
      </c>
      <c r="B115" t="inlineStr">
        <is>
          <t>2015-06</t>
        </is>
      </c>
      <c r="C115" t="n">
        <v>75774.3</v>
      </c>
      <c r="D115" t="n">
        <v>467073.1</v>
      </c>
      <c r="E115">
        <f>E114+C115</f>
        <v/>
      </c>
      <c r="F115">
        <f>IF(C115&gt;0,D115/C115,NA())</f>
        <v/>
      </c>
    </row>
    <row r="116">
      <c r="A116" t="inlineStr">
        <is>
          <t>El Corcobo Norte</t>
        </is>
      </c>
      <c r="B116" t="inlineStr">
        <is>
          <t>2015-07</t>
        </is>
      </c>
      <c r="C116" t="n">
        <v>76991.60000000001</v>
      </c>
      <c r="D116" t="n">
        <v>486618.6</v>
      </c>
      <c r="E116">
        <f>E115+C116</f>
        <v/>
      </c>
      <c r="F116">
        <f>IF(C116&gt;0,D116/C116,NA())</f>
        <v/>
      </c>
    </row>
    <row r="117">
      <c r="A117" t="inlineStr">
        <is>
          <t>El Corcobo Norte</t>
        </is>
      </c>
      <c r="B117" t="inlineStr">
        <is>
          <t>2015-08</t>
        </is>
      </c>
      <c r="C117" t="n">
        <v>76984.8</v>
      </c>
      <c r="D117" t="n">
        <v>473020.8</v>
      </c>
      <c r="E117">
        <f>E116+C117</f>
        <v/>
      </c>
      <c r="F117">
        <f>IF(C117&gt;0,D117/C117,NA())</f>
        <v/>
      </c>
    </row>
    <row r="118">
      <c r="A118" t="inlineStr">
        <is>
          <t>El Corcobo Norte</t>
        </is>
      </c>
      <c r="B118" t="inlineStr">
        <is>
          <t>2015-09</t>
        </is>
      </c>
      <c r="C118" t="n">
        <v>74607.10000000001</v>
      </c>
      <c r="D118" t="n">
        <v>459817.2</v>
      </c>
      <c r="E118">
        <f>E117+C118</f>
        <v/>
      </c>
      <c r="F118">
        <f>IF(C118&gt;0,D118/C118,NA())</f>
        <v/>
      </c>
    </row>
    <row r="119">
      <c r="A119" t="inlineStr">
        <is>
          <t>El Corcobo Norte</t>
        </is>
      </c>
      <c r="B119" t="inlineStr">
        <is>
          <t>2015-10</t>
        </is>
      </c>
      <c r="C119" t="n">
        <v>73788.89999999999</v>
      </c>
      <c r="D119" t="n">
        <v>471278.2</v>
      </c>
      <c r="E119">
        <f>E118+C119</f>
        <v/>
      </c>
      <c r="F119">
        <f>IF(C119&gt;0,D119/C119,NA())</f>
        <v/>
      </c>
    </row>
    <row r="120">
      <c r="A120" t="inlineStr">
        <is>
          <t>El Corcobo Norte</t>
        </is>
      </c>
      <c r="B120" t="inlineStr">
        <is>
          <t>2015-11</t>
        </is>
      </c>
      <c r="C120" t="n">
        <v>71149.10000000001</v>
      </c>
      <c r="D120" t="n">
        <v>462812</v>
      </c>
      <c r="E120">
        <f>E119+C120</f>
        <v/>
      </c>
      <c r="F120">
        <f>IF(C120&gt;0,D120/C120,NA())</f>
        <v/>
      </c>
    </row>
    <row r="121">
      <c r="A121" t="inlineStr">
        <is>
          <t>El Corcobo Norte</t>
        </is>
      </c>
      <c r="B121" t="inlineStr">
        <is>
          <t>2015-12</t>
        </is>
      </c>
      <c r="C121" t="n">
        <v>70123.2</v>
      </c>
      <c r="D121" t="n">
        <v>491298.8</v>
      </c>
      <c r="E121">
        <f>E120+C121</f>
        <v/>
      </c>
      <c r="F121">
        <f>IF(C121&gt;0,D121/C121,NA())</f>
        <v/>
      </c>
    </row>
    <row r="122">
      <c r="A122" t="inlineStr">
        <is>
          <t>El Corcobo Norte</t>
        </is>
      </c>
      <c r="B122" t="inlineStr">
        <is>
          <t>2016-01</t>
        </is>
      </c>
      <c r="C122" t="n">
        <v>66508.10000000001</v>
      </c>
      <c r="D122" t="n">
        <v>516718.2</v>
      </c>
      <c r="E122">
        <f>E121+C122</f>
        <v/>
      </c>
      <c r="F122">
        <f>IF(C122&gt;0,D122/C122,NA())</f>
        <v/>
      </c>
    </row>
    <row r="123">
      <c r="A123" t="inlineStr">
        <is>
          <t>El Corcobo Norte</t>
        </is>
      </c>
      <c r="B123" t="inlineStr">
        <is>
          <t>2016-02</t>
        </is>
      </c>
      <c r="C123" t="n">
        <v>64839.8</v>
      </c>
      <c r="D123" t="n">
        <v>505086.8</v>
      </c>
      <c r="E123">
        <f>E122+C123</f>
        <v/>
      </c>
      <c r="F123">
        <f>IF(C123&gt;0,D123/C123,NA())</f>
        <v/>
      </c>
    </row>
    <row r="124">
      <c r="A124" t="inlineStr">
        <is>
          <t>El Corcobo Norte</t>
        </is>
      </c>
      <c r="B124" t="inlineStr">
        <is>
          <t>2016-03</t>
        </is>
      </c>
      <c r="C124" t="n">
        <v>71460.7</v>
      </c>
      <c r="D124" t="n">
        <v>551576.1</v>
      </c>
      <c r="E124">
        <f>E123+C124</f>
        <v/>
      </c>
      <c r="F124">
        <f>IF(C124&gt;0,D124/C124,NA())</f>
        <v/>
      </c>
    </row>
    <row r="125">
      <c r="A125" t="inlineStr">
        <is>
          <t>El Corcobo Norte</t>
        </is>
      </c>
      <c r="B125" t="inlineStr">
        <is>
          <t>2016-04</t>
        </is>
      </c>
      <c r="C125" t="n">
        <v>70935.8</v>
      </c>
      <c r="D125" t="n">
        <v>540489.2</v>
      </c>
      <c r="E125">
        <f>E124+C125</f>
        <v/>
      </c>
      <c r="F125">
        <f>IF(C125&gt;0,D125/C125,NA())</f>
        <v/>
      </c>
    </row>
    <row r="126">
      <c r="A126" t="inlineStr">
        <is>
          <t>El Corcobo Norte</t>
        </is>
      </c>
      <c r="B126" t="inlineStr">
        <is>
          <t>2016-05</t>
        </is>
      </c>
      <c r="C126" t="n">
        <v>69477.7</v>
      </c>
      <c r="D126" t="n">
        <v>537089.3</v>
      </c>
      <c r="E126">
        <f>E125+C126</f>
        <v/>
      </c>
      <c r="F126">
        <f>IF(C126&gt;0,D126/C126,NA())</f>
        <v/>
      </c>
    </row>
    <row r="127">
      <c r="A127" t="inlineStr">
        <is>
          <t>El Corcobo Norte</t>
        </is>
      </c>
      <c r="B127" t="inlineStr">
        <is>
          <t>2016-06</t>
        </is>
      </c>
      <c r="C127" t="n">
        <v>63979.8</v>
      </c>
      <c r="D127" t="n">
        <v>514572.2</v>
      </c>
      <c r="E127">
        <f>E126+C127</f>
        <v/>
      </c>
      <c r="F127">
        <f>IF(C127&gt;0,D127/C127,NA())</f>
        <v/>
      </c>
    </row>
    <row r="128">
      <c r="A128" t="inlineStr">
        <is>
          <t>El Corcobo Norte</t>
        </is>
      </c>
      <c r="B128" t="inlineStr">
        <is>
          <t>2016-07</t>
        </is>
      </c>
      <c r="C128" t="n">
        <v>70140.7</v>
      </c>
      <c r="D128" t="n">
        <v>566976.8</v>
      </c>
      <c r="E128">
        <f>E127+C128</f>
        <v/>
      </c>
      <c r="F128">
        <f>IF(C128&gt;0,D128/C128,NA())</f>
        <v/>
      </c>
    </row>
    <row r="129">
      <c r="A129" t="inlineStr">
        <is>
          <t>El Corcobo Norte</t>
        </is>
      </c>
      <c r="B129" t="inlineStr">
        <is>
          <t>2016-08</t>
        </is>
      </c>
      <c r="C129" t="n">
        <v>69540.10000000001</v>
      </c>
      <c r="D129" t="n">
        <v>568798.7</v>
      </c>
      <c r="E129">
        <f>E128+C129</f>
        <v/>
      </c>
      <c r="F129">
        <f>IF(C129&gt;0,D129/C129,NA())</f>
        <v/>
      </c>
    </row>
    <row r="130">
      <c r="A130" t="inlineStr">
        <is>
          <t>El Corcobo Norte</t>
        </is>
      </c>
      <c r="B130" t="inlineStr">
        <is>
          <t>2016-09</t>
        </is>
      </c>
      <c r="C130" t="n">
        <v>65535</v>
      </c>
      <c r="D130" t="n">
        <v>551926.3</v>
      </c>
      <c r="E130">
        <f>E129+C130</f>
        <v/>
      </c>
      <c r="F130">
        <f>IF(C130&gt;0,D130/C130,NA())</f>
        <v/>
      </c>
    </row>
    <row r="131">
      <c r="A131" t="inlineStr">
        <is>
          <t>El Corcobo Norte</t>
        </is>
      </c>
      <c r="B131" t="inlineStr">
        <is>
          <t>2016-10</t>
        </is>
      </c>
      <c r="C131" t="n">
        <v>65936.60000000001</v>
      </c>
      <c r="D131" t="n">
        <v>575207.9</v>
      </c>
      <c r="E131">
        <f>E130+C131</f>
        <v/>
      </c>
      <c r="F131">
        <f>IF(C131&gt;0,D131/C131,NA())</f>
        <v/>
      </c>
    </row>
    <row r="132">
      <c r="A132" t="inlineStr">
        <is>
          <t>El Corcobo Norte</t>
        </is>
      </c>
      <c r="B132" t="inlineStr">
        <is>
          <t>2016-11</t>
        </is>
      </c>
      <c r="C132" t="n">
        <v>65483.7</v>
      </c>
      <c r="D132" t="n">
        <v>568982.8</v>
      </c>
      <c r="E132">
        <f>E131+C132</f>
        <v/>
      </c>
      <c r="F132">
        <f>IF(C132&gt;0,D132/C132,NA())</f>
        <v/>
      </c>
    </row>
    <row r="133">
      <c r="A133" t="inlineStr">
        <is>
          <t>El Corcobo Norte</t>
        </is>
      </c>
      <c r="B133" t="inlineStr">
        <is>
          <t>2016-12</t>
        </is>
      </c>
      <c r="C133" t="n">
        <v>65888.8</v>
      </c>
      <c r="D133" t="n">
        <v>584041.5</v>
      </c>
      <c r="E133">
        <f>E132+C133</f>
        <v/>
      </c>
      <c r="F133">
        <f>IF(C133&gt;0,D133/C133,NA())</f>
        <v/>
      </c>
    </row>
    <row r="134">
      <c r="A134" t="inlineStr">
        <is>
          <t>El Corcobo Norte</t>
        </is>
      </c>
      <c r="B134" t="inlineStr">
        <is>
          <t>2017-01</t>
        </is>
      </c>
      <c r="C134" t="n">
        <v>65686.7</v>
      </c>
      <c r="D134" t="n">
        <v>583755.5</v>
      </c>
      <c r="E134">
        <f>E133+C134</f>
        <v/>
      </c>
      <c r="F134">
        <f>IF(C134&gt;0,D134/C134,NA())</f>
        <v/>
      </c>
    </row>
    <row r="135">
      <c r="A135" t="inlineStr">
        <is>
          <t>El Corcobo Norte</t>
        </is>
      </c>
      <c r="B135" t="inlineStr">
        <is>
          <t>2017-02</t>
        </is>
      </c>
      <c r="C135" t="n">
        <v>57842.4</v>
      </c>
      <c r="D135" t="n">
        <v>521486</v>
      </c>
      <c r="E135">
        <f>E134+C135</f>
        <v/>
      </c>
      <c r="F135">
        <f>IF(C135&gt;0,D135/C135,NA())</f>
        <v/>
      </c>
    </row>
    <row r="136">
      <c r="A136" t="inlineStr">
        <is>
          <t>El Corcobo Norte</t>
        </is>
      </c>
      <c r="B136" t="inlineStr">
        <is>
          <t>2017-03</t>
        </is>
      </c>
      <c r="C136" t="n">
        <v>63531.2</v>
      </c>
      <c r="D136" t="n">
        <v>583156.2</v>
      </c>
      <c r="E136">
        <f>E135+C136</f>
        <v/>
      </c>
      <c r="F136">
        <f>IF(C136&gt;0,D136/C136,NA())</f>
        <v/>
      </c>
    </row>
    <row r="137">
      <c r="A137" t="inlineStr">
        <is>
          <t>El Corcobo Norte</t>
        </is>
      </c>
      <c r="B137" t="inlineStr">
        <is>
          <t>2017-04</t>
        </is>
      </c>
      <c r="C137" t="n">
        <v>60806</v>
      </c>
      <c r="D137" t="n">
        <v>551818.7</v>
      </c>
      <c r="E137">
        <f>E136+C137</f>
        <v/>
      </c>
      <c r="F137">
        <f>IF(C137&gt;0,D137/C137,NA())</f>
        <v/>
      </c>
    </row>
    <row r="138">
      <c r="A138" t="inlineStr">
        <is>
          <t>El Corcobo Norte</t>
        </is>
      </c>
      <c r="B138" t="inlineStr">
        <is>
          <t>2017-05</t>
        </is>
      </c>
      <c r="C138" t="n">
        <v>55695.5</v>
      </c>
      <c r="D138" t="n">
        <v>534728.6</v>
      </c>
      <c r="E138">
        <f>E137+C138</f>
        <v/>
      </c>
      <c r="F138">
        <f>IF(C138&gt;0,D138/C138,NA())</f>
        <v/>
      </c>
    </row>
    <row r="139">
      <c r="A139" t="inlineStr">
        <is>
          <t>El Corcobo Norte</t>
        </is>
      </c>
      <c r="B139" t="inlineStr">
        <is>
          <t>2017-06</t>
        </is>
      </c>
      <c r="C139" t="n">
        <v>62082.4</v>
      </c>
      <c r="D139" t="n">
        <v>592070.3</v>
      </c>
      <c r="E139">
        <f>E138+C139</f>
        <v/>
      </c>
      <c r="F139">
        <f>IF(C139&gt;0,D139/C139,NA())</f>
        <v/>
      </c>
    </row>
    <row r="140">
      <c r="A140" t="inlineStr">
        <is>
          <t>El Corcobo Norte</t>
        </is>
      </c>
      <c r="B140" t="inlineStr">
        <is>
          <t>2017-07</t>
        </is>
      </c>
      <c r="C140" t="n">
        <v>68416.5</v>
      </c>
      <c r="D140" t="n">
        <v>614209.2</v>
      </c>
      <c r="E140">
        <f>E139+C140</f>
        <v/>
      </c>
      <c r="F140">
        <f>IF(C140&gt;0,D140/C140,NA())</f>
        <v/>
      </c>
    </row>
    <row r="141">
      <c r="A141" t="inlineStr">
        <is>
          <t>El Corcobo Norte</t>
        </is>
      </c>
      <c r="B141" t="inlineStr">
        <is>
          <t>2017-08</t>
        </is>
      </c>
      <c r="C141" t="n">
        <v>66151.10000000001</v>
      </c>
      <c r="D141" t="n">
        <v>600866.9</v>
      </c>
      <c r="E141">
        <f>E140+C141</f>
        <v/>
      </c>
      <c r="F141">
        <f>IF(C141&gt;0,D141/C141,NA())</f>
        <v/>
      </c>
    </row>
    <row r="142">
      <c r="A142" t="inlineStr">
        <is>
          <t>El Corcobo Norte</t>
        </is>
      </c>
      <c r="B142" t="inlineStr">
        <is>
          <t>2017-09</t>
        </is>
      </c>
      <c r="C142" t="n">
        <v>65654</v>
      </c>
      <c r="D142" t="n">
        <v>584950.1</v>
      </c>
      <c r="E142">
        <f>E141+C142</f>
        <v/>
      </c>
      <c r="F142">
        <f>IF(C142&gt;0,D142/C142,NA())</f>
        <v/>
      </c>
    </row>
    <row r="143">
      <c r="A143" t="inlineStr">
        <is>
          <t>El Corcobo Norte</t>
        </is>
      </c>
      <c r="B143" t="inlineStr">
        <is>
          <t>2017-10</t>
        </is>
      </c>
      <c r="C143" t="n">
        <v>68766.5</v>
      </c>
      <c r="D143" t="n">
        <v>609967.4</v>
      </c>
      <c r="E143">
        <f>E142+C143</f>
        <v/>
      </c>
      <c r="F143">
        <f>IF(C143&gt;0,D143/C143,NA())</f>
        <v/>
      </c>
    </row>
    <row r="144">
      <c r="A144" t="inlineStr">
        <is>
          <t>El Corcobo Norte</t>
        </is>
      </c>
      <c r="B144" t="inlineStr">
        <is>
          <t>2017-11</t>
        </is>
      </c>
      <c r="C144" t="n">
        <v>64422.2</v>
      </c>
      <c r="D144" t="n">
        <v>607161.1</v>
      </c>
      <c r="E144">
        <f>E143+C144</f>
        <v/>
      </c>
      <c r="F144">
        <f>IF(C144&gt;0,D144/C144,NA())</f>
        <v/>
      </c>
    </row>
    <row r="145">
      <c r="A145" t="inlineStr">
        <is>
          <t>El Corcobo Norte</t>
        </is>
      </c>
      <c r="B145" t="inlineStr">
        <is>
          <t>2017-12</t>
        </is>
      </c>
      <c r="C145" t="n">
        <v>65173.1</v>
      </c>
      <c r="D145" t="n">
        <v>624504.1</v>
      </c>
      <c r="E145">
        <f>E144+C145</f>
        <v/>
      </c>
      <c r="F145">
        <f>IF(C145&gt;0,D145/C145,NA())</f>
        <v/>
      </c>
    </row>
    <row r="146">
      <c r="A146" t="inlineStr">
        <is>
          <t>El Corcobo Norte</t>
        </is>
      </c>
      <c r="B146" t="inlineStr">
        <is>
          <t>2018-01</t>
        </is>
      </c>
      <c r="C146" t="n">
        <v>63221.5</v>
      </c>
      <c r="D146" t="n">
        <v>619077.4</v>
      </c>
      <c r="E146">
        <f>E145+C146</f>
        <v/>
      </c>
      <c r="F146">
        <f>IF(C146&gt;0,D146/C146,NA())</f>
        <v/>
      </c>
    </row>
    <row r="147">
      <c r="A147" t="inlineStr">
        <is>
          <t>El Corcobo Norte</t>
        </is>
      </c>
      <c r="B147" t="inlineStr">
        <is>
          <t>2018-02</t>
        </is>
      </c>
      <c r="C147" t="n">
        <v>55582.6</v>
      </c>
      <c r="D147" t="n">
        <v>555581.9</v>
      </c>
      <c r="E147">
        <f>E146+C147</f>
        <v/>
      </c>
      <c r="F147">
        <f>IF(C147&gt;0,D147/C147,NA())</f>
        <v/>
      </c>
    </row>
    <row r="148">
      <c r="A148" t="inlineStr">
        <is>
          <t>El Corcobo Norte</t>
        </is>
      </c>
      <c r="B148" t="inlineStr">
        <is>
          <t>2018-03</t>
        </is>
      </c>
      <c r="C148" t="n">
        <v>64016.2</v>
      </c>
      <c r="D148" t="n">
        <v>627906.8</v>
      </c>
      <c r="E148">
        <f>E147+C148</f>
        <v/>
      </c>
      <c r="F148">
        <f>IF(C148&gt;0,D148/C148,NA())</f>
        <v/>
      </c>
    </row>
    <row r="149">
      <c r="A149" t="inlineStr">
        <is>
          <t>El Corcobo Norte</t>
        </is>
      </c>
      <c r="B149" t="inlineStr">
        <is>
          <t>2018-04</t>
        </is>
      </c>
      <c r="C149" t="n">
        <v>61528.6</v>
      </c>
      <c r="D149" t="n">
        <v>605385.2</v>
      </c>
      <c r="E149">
        <f>E148+C149</f>
        <v/>
      </c>
      <c r="F149">
        <f>IF(C149&gt;0,D149/C149,NA())</f>
        <v/>
      </c>
    </row>
    <row r="150">
      <c r="A150" t="inlineStr">
        <is>
          <t>El Corcobo Norte</t>
        </is>
      </c>
      <c r="B150" t="inlineStr">
        <is>
          <t>2018-05</t>
        </is>
      </c>
      <c r="C150" t="n">
        <v>62032.8</v>
      </c>
      <c r="D150" t="n">
        <v>629951.2</v>
      </c>
      <c r="E150">
        <f>E149+C150</f>
        <v/>
      </c>
      <c r="F150">
        <f>IF(C150&gt;0,D150/C150,NA())</f>
        <v/>
      </c>
    </row>
    <row r="151">
      <c r="A151" t="inlineStr">
        <is>
          <t>El Corcobo Norte</t>
        </is>
      </c>
      <c r="B151" t="inlineStr">
        <is>
          <t>2018-06</t>
        </is>
      </c>
      <c r="C151" t="n">
        <v>61051</v>
      </c>
      <c r="D151" t="n">
        <v>623622.5</v>
      </c>
      <c r="E151">
        <f>E150+C151</f>
        <v/>
      </c>
      <c r="F151">
        <f>IF(C151&gt;0,D151/C151,NA())</f>
        <v/>
      </c>
    </row>
    <row r="152">
      <c r="A152" t="inlineStr">
        <is>
          <t>El Corcobo Norte</t>
        </is>
      </c>
      <c r="B152" t="inlineStr">
        <is>
          <t>2018-07</t>
        </is>
      </c>
      <c r="C152" t="n">
        <v>60469.4</v>
      </c>
      <c r="D152" t="n">
        <v>650721.3</v>
      </c>
      <c r="E152">
        <f>E151+C152</f>
        <v/>
      </c>
      <c r="F152">
        <f>IF(C152&gt;0,D152/C152,NA())</f>
        <v/>
      </c>
    </row>
    <row r="153">
      <c r="A153" t="inlineStr">
        <is>
          <t>El Corcobo Norte</t>
        </is>
      </c>
      <c r="B153" t="inlineStr">
        <is>
          <t>2018-08</t>
        </is>
      </c>
      <c r="C153" t="n">
        <v>60250.9</v>
      </c>
      <c r="D153" t="n">
        <v>658243.2</v>
      </c>
      <c r="E153">
        <f>E152+C153</f>
        <v/>
      </c>
      <c r="F153">
        <f>IF(C153&gt;0,D153/C153,NA())</f>
        <v/>
      </c>
    </row>
    <row r="154">
      <c r="A154" t="inlineStr">
        <is>
          <t>El Corcobo Norte</t>
        </is>
      </c>
      <c r="B154" t="inlineStr">
        <is>
          <t>2018-09</t>
        </is>
      </c>
      <c r="C154" t="n">
        <v>59229.9</v>
      </c>
      <c r="D154" t="n">
        <v>640638.3</v>
      </c>
      <c r="E154">
        <f>E153+C154</f>
        <v/>
      </c>
      <c r="F154">
        <f>IF(C154&gt;0,D154/C154,NA())</f>
        <v/>
      </c>
    </row>
    <row r="155">
      <c r="A155" t="inlineStr">
        <is>
          <t>El Corcobo Norte</t>
        </is>
      </c>
      <c r="B155" t="inlineStr">
        <is>
          <t>2018-10</t>
        </is>
      </c>
      <c r="C155" t="n">
        <v>61159.3</v>
      </c>
      <c r="D155" t="n">
        <v>666095</v>
      </c>
      <c r="E155">
        <f>E154+C155</f>
        <v/>
      </c>
      <c r="F155">
        <f>IF(C155&gt;0,D155/C155,NA())</f>
        <v/>
      </c>
    </row>
    <row r="156">
      <c r="A156" t="inlineStr">
        <is>
          <t>El Corcobo Norte</t>
        </is>
      </c>
      <c r="B156" t="inlineStr">
        <is>
          <t>2018-11</t>
        </is>
      </c>
      <c r="C156" t="n">
        <v>56835.6</v>
      </c>
      <c r="D156" t="n">
        <v>632582.1</v>
      </c>
      <c r="E156">
        <f>E155+C156</f>
        <v/>
      </c>
      <c r="F156">
        <f>IF(C156&gt;0,D156/C156,NA())</f>
        <v/>
      </c>
    </row>
    <row r="157">
      <c r="A157" t="inlineStr">
        <is>
          <t>El Corcobo Norte</t>
        </is>
      </c>
      <c r="B157" t="inlineStr">
        <is>
          <t>2018-12</t>
        </is>
      </c>
      <c r="C157" t="n">
        <v>59028.9</v>
      </c>
      <c r="D157" t="n">
        <v>658406.2</v>
      </c>
      <c r="E157">
        <f>E156+C157</f>
        <v/>
      </c>
      <c r="F157">
        <f>IF(C157&gt;0,D157/C157,NA())</f>
        <v/>
      </c>
    </row>
    <row r="158">
      <c r="A158" t="inlineStr">
        <is>
          <t>El Corcobo Norte</t>
        </is>
      </c>
      <c r="B158" t="inlineStr">
        <is>
          <t>2019-02</t>
        </is>
      </c>
      <c r="C158" t="n">
        <v>50830</v>
      </c>
      <c r="D158" t="n">
        <v>582081.9</v>
      </c>
      <c r="E158">
        <f>E157+C158</f>
        <v/>
      </c>
      <c r="F158">
        <f>IF(C158&gt;0,D158/C158,NA())</f>
        <v/>
      </c>
    </row>
    <row r="159">
      <c r="A159" t="inlineStr">
        <is>
          <t>El Corcobo Norte</t>
        </is>
      </c>
      <c r="B159" t="inlineStr">
        <is>
          <t>2019-03</t>
        </is>
      </c>
      <c r="C159" t="n">
        <v>57517.6</v>
      </c>
      <c r="D159" t="n">
        <v>645262.3</v>
      </c>
      <c r="E159">
        <f>E158+C159</f>
        <v/>
      </c>
      <c r="F159">
        <f>IF(C159&gt;0,D159/C159,NA())</f>
        <v/>
      </c>
    </row>
    <row r="160">
      <c r="A160" t="inlineStr">
        <is>
          <t>El Corcobo Norte</t>
        </is>
      </c>
      <c r="B160" t="inlineStr">
        <is>
          <t>2019-04</t>
        </is>
      </c>
      <c r="C160" t="n">
        <v>54200.1</v>
      </c>
      <c r="D160" t="n">
        <v>618571.7</v>
      </c>
      <c r="E160">
        <f>E159+C160</f>
        <v/>
      </c>
      <c r="F160">
        <f>IF(C160&gt;0,D160/C160,NA())</f>
        <v/>
      </c>
    </row>
    <row r="161">
      <c r="A161" t="inlineStr">
        <is>
          <t>El Corcobo Norte</t>
        </is>
      </c>
      <c r="B161" t="inlineStr">
        <is>
          <t>2019-05</t>
        </is>
      </c>
      <c r="C161" t="n">
        <v>56907</v>
      </c>
      <c r="D161" t="n">
        <v>652086.9</v>
      </c>
      <c r="E161">
        <f>E160+C161</f>
        <v/>
      </c>
      <c r="F161">
        <f>IF(C161&gt;0,D161/C161,NA())</f>
        <v/>
      </c>
    </row>
    <row r="162">
      <c r="A162" t="inlineStr">
        <is>
          <t>El Corcobo Norte</t>
        </is>
      </c>
      <c r="B162" t="inlineStr">
        <is>
          <t>2019-06</t>
        </is>
      </c>
      <c r="C162" t="n">
        <v>55512.7</v>
      </c>
      <c r="D162" t="n">
        <v>623760.3</v>
      </c>
      <c r="E162">
        <f>E161+C162</f>
        <v/>
      </c>
      <c r="F162">
        <f>IF(C162&gt;0,D162/C162,NA())</f>
        <v/>
      </c>
    </row>
    <row r="163">
      <c r="A163" t="inlineStr">
        <is>
          <t>El Corcobo Norte</t>
        </is>
      </c>
      <c r="B163" t="inlineStr">
        <is>
          <t>2019-07</t>
        </is>
      </c>
      <c r="C163" t="n">
        <v>55429</v>
      </c>
      <c r="D163" t="n">
        <v>634050</v>
      </c>
      <c r="E163">
        <f>E162+C163</f>
        <v/>
      </c>
      <c r="F163">
        <f>IF(C163&gt;0,D163/C163,NA())</f>
        <v/>
      </c>
    </row>
    <row r="164">
      <c r="A164" t="inlineStr">
        <is>
          <t>El Corcobo Norte</t>
        </is>
      </c>
      <c r="B164" t="inlineStr">
        <is>
          <t>2019-08</t>
        </is>
      </c>
      <c r="C164" t="n">
        <v>55994.8</v>
      </c>
      <c r="D164" t="n">
        <v>653878.7</v>
      </c>
      <c r="E164">
        <f>E163+C164</f>
        <v/>
      </c>
      <c r="F164">
        <f>IF(C164&gt;0,D164/C164,NA())</f>
        <v/>
      </c>
    </row>
    <row r="165">
      <c r="A165" t="inlineStr">
        <is>
          <t>El Corcobo Norte</t>
        </is>
      </c>
      <c r="B165" t="inlineStr">
        <is>
          <t>2019-09</t>
        </is>
      </c>
      <c r="C165" t="n">
        <v>54538.1</v>
      </c>
      <c r="D165" t="n">
        <v>631380.5</v>
      </c>
      <c r="E165">
        <f>E164+C165</f>
        <v/>
      </c>
      <c r="F165">
        <f>IF(C165&gt;0,D165/C165,NA())</f>
        <v/>
      </c>
    </row>
    <row r="166">
      <c r="A166" t="inlineStr">
        <is>
          <t>El Corcobo Norte</t>
        </is>
      </c>
      <c r="B166" t="inlineStr">
        <is>
          <t>2019-10</t>
        </is>
      </c>
      <c r="C166" t="n">
        <v>57074.4</v>
      </c>
      <c r="D166" t="n">
        <v>665308</v>
      </c>
      <c r="E166">
        <f>E165+C166</f>
        <v/>
      </c>
      <c r="F166">
        <f>IF(C166&gt;0,D166/C166,NA())</f>
        <v/>
      </c>
    </row>
    <row r="167">
      <c r="A167" t="inlineStr">
        <is>
          <t>El Corcobo Norte</t>
        </is>
      </c>
      <c r="B167" t="inlineStr">
        <is>
          <t>2019-11</t>
        </is>
      </c>
      <c r="C167" t="n">
        <v>56505.2</v>
      </c>
      <c r="D167" t="n">
        <v>637077.8</v>
      </c>
      <c r="E167">
        <f>E166+C167</f>
        <v/>
      </c>
      <c r="F167">
        <f>IF(C167&gt;0,D167/C167,NA())</f>
        <v/>
      </c>
    </row>
    <row r="168">
      <c r="A168" t="inlineStr">
        <is>
          <t>El Corcobo Norte</t>
        </is>
      </c>
      <c r="B168" t="inlineStr">
        <is>
          <t>2019-12</t>
        </is>
      </c>
      <c r="C168" t="n">
        <v>56968.5</v>
      </c>
      <c r="D168" t="n">
        <v>655406.7</v>
      </c>
      <c r="E168">
        <f>E167+C168</f>
        <v/>
      </c>
      <c r="F168">
        <f>IF(C168&gt;0,D168/C168,NA())</f>
        <v/>
      </c>
    </row>
    <row r="169">
      <c r="A169" t="inlineStr">
        <is>
          <t>El Corcobo Norte</t>
        </is>
      </c>
      <c r="B169" t="inlineStr">
        <is>
          <t>2020-01</t>
        </is>
      </c>
      <c r="C169" t="n">
        <v>55099.6</v>
      </c>
      <c r="D169" t="n">
        <v>660539.6</v>
      </c>
      <c r="E169">
        <f>E168+C169</f>
        <v/>
      </c>
      <c r="F169">
        <f>IF(C169&gt;0,D169/C169,NA())</f>
        <v/>
      </c>
    </row>
    <row r="170">
      <c r="A170" t="inlineStr">
        <is>
          <t>El Corcobo Norte</t>
        </is>
      </c>
      <c r="B170" t="inlineStr">
        <is>
          <t>2020-02</t>
        </is>
      </c>
      <c r="C170" t="n">
        <v>52706.4</v>
      </c>
      <c r="D170" t="n">
        <v>615194.5</v>
      </c>
      <c r="E170">
        <f>E169+C170</f>
        <v/>
      </c>
      <c r="F170">
        <f>IF(C170&gt;0,D170/C170,NA())</f>
        <v/>
      </c>
    </row>
    <row r="171">
      <c r="A171" t="inlineStr">
        <is>
          <t>El Corcobo Norte</t>
        </is>
      </c>
      <c r="B171" t="inlineStr">
        <is>
          <t>2020-03</t>
        </is>
      </c>
      <c r="C171" t="n">
        <v>57305.1</v>
      </c>
      <c r="D171" t="n">
        <v>654624.2</v>
      </c>
      <c r="E171">
        <f>E170+C171</f>
        <v/>
      </c>
      <c r="F171">
        <f>IF(C171&gt;0,D171/C171,NA())</f>
        <v/>
      </c>
    </row>
    <row r="172">
      <c r="A172" t="inlineStr">
        <is>
          <t>El Corcobo Norte</t>
        </is>
      </c>
      <c r="B172" t="inlineStr">
        <is>
          <t>2020-04</t>
        </is>
      </c>
      <c r="C172" t="n">
        <v>44778.4</v>
      </c>
      <c r="D172" t="n">
        <v>553264.2</v>
      </c>
      <c r="E172">
        <f>E171+C172</f>
        <v/>
      </c>
      <c r="F172">
        <f>IF(C172&gt;0,D172/C172,NA())</f>
        <v/>
      </c>
    </row>
    <row r="173">
      <c r="A173" t="inlineStr">
        <is>
          <t>El Corcobo Norte</t>
        </is>
      </c>
      <c r="B173" t="inlineStr">
        <is>
          <t>2020-05</t>
        </is>
      </c>
      <c r="C173" t="n">
        <v>46892.8</v>
      </c>
      <c r="D173" t="n">
        <v>585153.2</v>
      </c>
      <c r="E173">
        <f>E172+C173</f>
        <v/>
      </c>
      <c r="F173">
        <f>IF(C173&gt;0,D173/C173,NA())</f>
        <v/>
      </c>
    </row>
    <row r="174">
      <c r="A174" t="inlineStr">
        <is>
          <t>El Corcobo Norte</t>
        </is>
      </c>
      <c r="B174" t="inlineStr">
        <is>
          <t>2020-06</t>
        </is>
      </c>
      <c r="C174" t="n">
        <v>47557.8</v>
      </c>
      <c r="D174" t="n">
        <v>565912.7</v>
      </c>
      <c r="E174">
        <f>E173+C174</f>
        <v/>
      </c>
      <c r="F174">
        <f>IF(C174&gt;0,D174/C174,NA())</f>
        <v/>
      </c>
    </row>
    <row r="175">
      <c r="A175" t="inlineStr">
        <is>
          <t>El Corcobo Norte</t>
        </is>
      </c>
      <c r="B175" t="inlineStr">
        <is>
          <t>2020-07</t>
        </is>
      </c>
      <c r="C175" t="n">
        <v>49635.7</v>
      </c>
      <c r="D175" t="n">
        <v>605230</v>
      </c>
      <c r="E175">
        <f>E174+C175</f>
        <v/>
      </c>
      <c r="F175">
        <f>IF(C175&gt;0,D175/C175,NA())</f>
        <v/>
      </c>
    </row>
    <row r="176">
      <c r="A176" t="inlineStr">
        <is>
          <t>El Corcobo Norte</t>
        </is>
      </c>
      <c r="B176" t="inlineStr">
        <is>
          <t>2020-08</t>
        </is>
      </c>
      <c r="C176" t="n">
        <v>49386.3</v>
      </c>
      <c r="D176" t="n">
        <v>606652.5</v>
      </c>
      <c r="E176">
        <f>E175+C176</f>
        <v/>
      </c>
      <c r="F176">
        <f>IF(C176&gt;0,D176/C176,NA())</f>
        <v/>
      </c>
    </row>
    <row r="177">
      <c r="A177" t="inlineStr">
        <is>
          <t>El Corcobo Norte</t>
        </is>
      </c>
      <c r="B177" t="inlineStr">
        <is>
          <t>2020-09</t>
        </is>
      </c>
      <c r="C177" t="n">
        <v>48568.2</v>
      </c>
      <c r="D177" t="n">
        <v>600107.1</v>
      </c>
      <c r="E177">
        <f>E176+C177</f>
        <v/>
      </c>
      <c r="F177">
        <f>IF(C177&gt;0,D177/C177,NA())</f>
        <v/>
      </c>
    </row>
    <row r="178">
      <c r="A178" t="inlineStr">
        <is>
          <t>El Corcobo Norte</t>
        </is>
      </c>
      <c r="B178" t="inlineStr">
        <is>
          <t>2020-10</t>
        </is>
      </c>
      <c r="C178" t="n">
        <v>49165.4</v>
      </c>
      <c r="D178" t="n">
        <v>612525.3</v>
      </c>
      <c r="E178">
        <f>E177+C178</f>
        <v/>
      </c>
      <c r="F178">
        <f>IF(C178&gt;0,D178/C178,NA())</f>
        <v/>
      </c>
    </row>
    <row r="179">
      <c r="A179" t="inlineStr">
        <is>
          <t>El Corcobo Norte</t>
        </is>
      </c>
      <c r="B179" t="inlineStr">
        <is>
          <t>2020-11</t>
        </is>
      </c>
      <c r="C179" t="n">
        <v>48568.7</v>
      </c>
      <c r="D179" t="n">
        <v>593526.7</v>
      </c>
      <c r="E179">
        <f>E178+C179</f>
        <v/>
      </c>
      <c r="F179">
        <f>IF(C179&gt;0,D179/C179,NA())</f>
        <v/>
      </c>
    </row>
    <row r="180">
      <c r="A180" t="inlineStr">
        <is>
          <t>El Corcobo Norte</t>
        </is>
      </c>
      <c r="B180" t="inlineStr">
        <is>
          <t>2020-12</t>
        </is>
      </c>
      <c r="C180" t="n">
        <v>44821.3</v>
      </c>
      <c r="D180" t="n">
        <v>595206.9</v>
      </c>
      <c r="E180">
        <f>E179+C180</f>
        <v/>
      </c>
      <c r="F180">
        <f>IF(C180&gt;0,D180/C180,NA())</f>
        <v/>
      </c>
    </row>
    <row r="181">
      <c r="A181" t="inlineStr">
        <is>
          <t>El Corcobo Norte</t>
        </is>
      </c>
      <c r="B181" t="inlineStr">
        <is>
          <t>2021-01</t>
        </is>
      </c>
      <c r="C181" t="n">
        <v>45681.2</v>
      </c>
      <c r="D181" t="n">
        <v>608134.6</v>
      </c>
      <c r="E181">
        <f>E180+C181</f>
        <v/>
      </c>
      <c r="F181">
        <f>IF(C181&gt;0,D181/C181,NA())</f>
        <v/>
      </c>
    </row>
    <row r="182">
      <c r="A182" t="inlineStr">
        <is>
          <t>El Corcobo Norte</t>
        </is>
      </c>
      <c r="B182" t="inlineStr">
        <is>
          <t>2021-02</t>
        </is>
      </c>
      <c r="C182" t="n">
        <v>44352.3</v>
      </c>
      <c r="D182" t="n">
        <v>579097</v>
      </c>
      <c r="E182">
        <f>E181+C182</f>
        <v/>
      </c>
      <c r="F182">
        <f>IF(C182&gt;0,D182/C182,NA())</f>
        <v/>
      </c>
    </row>
    <row r="183">
      <c r="A183" t="inlineStr">
        <is>
          <t>El Corcobo Norte</t>
        </is>
      </c>
      <c r="B183" t="inlineStr">
        <is>
          <t>2021-03</t>
        </is>
      </c>
      <c r="C183" t="n">
        <v>51225.3</v>
      </c>
      <c r="D183" t="n">
        <v>656495.6</v>
      </c>
      <c r="E183">
        <f>E182+C183</f>
        <v/>
      </c>
      <c r="F183">
        <f>IF(C183&gt;0,D183/C183,NA())</f>
        <v/>
      </c>
    </row>
    <row r="184">
      <c r="A184" t="inlineStr">
        <is>
          <t>El Corcobo Norte</t>
        </is>
      </c>
      <c r="B184" t="inlineStr">
        <is>
          <t>2021-04</t>
        </is>
      </c>
      <c r="C184" t="n">
        <v>50683.5</v>
      </c>
      <c r="D184" t="n">
        <v>651912.4</v>
      </c>
      <c r="E184">
        <f>E183+C184</f>
        <v/>
      </c>
      <c r="F184">
        <f>IF(C184&gt;0,D184/C184,NA())</f>
        <v/>
      </c>
    </row>
    <row r="185">
      <c r="A185" t="inlineStr">
        <is>
          <t>El Corcobo Norte</t>
        </is>
      </c>
      <c r="B185" t="inlineStr">
        <is>
          <t>2021-05</t>
        </is>
      </c>
      <c r="C185" t="n">
        <v>49515</v>
      </c>
      <c r="D185" t="n">
        <v>658552.1</v>
      </c>
      <c r="E185">
        <f>E184+C185</f>
        <v/>
      </c>
      <c r="F185">
        <f>IF(C185&gt;0,D185/C185,NA())</f>
        <v/>
      </c>
    </row>
    <row r="186">
      <c r="A186" t="inlineStr">
        <is>
          <t>El Corcobo Norte</t>
        </is>
      </c>
      <c r="B186" t="inlineStr">
        <is>
          <t>2021-06</t>
        </is>
      </c>
      <c r="C186" t="n">
        <v>46354.2</v>
      </c>
      <c r="D186" t="n">
        <v>628328.7</v>
      </c>
      <c r="E186">
        <f>E185+C186</f>
        <v/>
      </c>
      <c r="F186">
        <f>IF(C186&gt;0,D186/C186,NA())</f>
        <v/>
      </c>
    </row>
    <row r="187">
      <c r="A187" t="inlineStr">
        <is>
          <t>El Corcobo Norte</t>
        </is>
      </c>
      <c r="B187" t="inlineStr">
        <is>
          <t>2021-07</t>
        </is>
      </c>
      <c r="C187" t="n">
        <v>52990.2</v>
      </c>
      <c r="D187" t="n">
        <v>697008.3</v>
      </c>
      <c r="E187">
        <f>E186+C187</f>
        <v/>
      </c>
      <c r="F187">
        <f>IF(C187&gt;0,D187/C187,NA())</f>
        <v/>
      </c>
    </row>
    <row r="188">
      <c r="A188" t="inlineStr">
        <is>
          <t>El Corcobo Norte</t>
        </is>
      </c>
      <c r="B188" t="inlineStr">
        <is>
          <t>2021-08</t>
        </is>
      </c>
      <c r="C188" t="n">
        <v>49518.6</v>
      </c>
      <c r="D188" t="n">
        <v>675783.1</v>
      </c>
      <c r="E188">
        <f>E187+C188</f>
        <v/>
      </c>
      <c r="F188">
        <f>IF(C188&gt;0,D188/C188,NA())</f>
        <v/>
      </c>
    </row>
    <row r="189">
      <c r="A189" t="inlineStr">
        <is>
          <t>El Corcobo Norte</t>
        </is>
      </c>
      <c r="B189" t="inlineStr">
        <is>
          <t>2021-09</t>
        </is>
      </c>
      <c r="C189" t="n">
        <v>47662.5</v>
      </c>
      <c r="D189" t="n">
        <v>651567.8</v>
      </c>
      <c r="E189">
        <f>E188+C189</f>
        <v/>
      </c>
      <c r="F189">
        <f>IF(C189&gt;0,D189/C189,NA())</f>
        <v/>
      </c>
    </row>
    <row r="190">
      <c r="A190" t="inlineStr">
        <is>
          <t>El Corcobo Norte</t>
        </is>
      </c>
      <c r="B190" t="inlineStr">
        <is>
          <t>2021-10</t>
        </is>
      </c>
      <c r="C190" t="n">
        <v>48005.2</v>
      </c>
      <c r="D190" t="n">
        <v>703352.8</v>
      </c>
      <c r="E190">
        <f>E189+C190</f>
        <v/>
      </c>
      <c r="F190">
        <f>IF(C190&gt;0,D190/C190,NA())</f>
        <v/>
      </c>
    </row>
    <row r="191">
      <c r="A191" t="inlineStr">
        <is>
          <t>El Corcobo Norte</t>
        </is>
      </c>
      <c r="B191" t="inlineStr">
        <is>
          <t>2021-11</t>
        </is>
      </c>
      <c r="C191" t="n">
        <v>47358.9</v>
      </c>
      <c r="D191" t="n">
        <v>668212.4</v>
      </c>
      <c r="E191">
        <f>E190+C191</f>
        <v/>
      </c>
      <c r="F191">
        <f>IF(C191&gt;0,D191/C191,NA())</f>
        <v/>
      </c>
    </row>
    <row r="192">
      <c r="A192" t="inlineStr">
        <is>
          <t>El Corcobo Norte</t>
        </is>
      </c>
      <c r="B192" t="inlineStr">
        <is>
          <t>2021-12</t>
        </is>
      </c>
      <c r="C192" t="n">
        <v>47943.1</v>
      </c>
      <c r="D192" t="n">
        <v>675490.1</v>
      </c>
      <c r="E192">
        <f>E191+C192</f>
        <v/>
      </c>
      <c r="F192">
        <f>IF(C192&gt;0,D192/C192,NA())</f>
        <v/>
      </c>
    </row>
    <row r="193">
      <c r="A193" t="inlineStr">
        <is>
          <t>El Corcobo Norte</t>
        </is>
      </c>
      <c r="B193" t="inlineStr">
        <is>
          <t>2022-01</t>
        </is>
      </c>
      <c r="C193" t="n">
        <v>50563.7</v>
      </c>
      <c r="D193" t="n">
        <v>696260.3</v>
      </c>
      <c r="E193">
        <f>E192+C193</f>
        <v/>
      </c>
      <c r="F193">
        <f>IF(C193&gt;0,D193/C193,NA())</f>
        <v/>
      </c>
    </row>
    <row r="194">
      <c r="A194" t="inlineStr">
        <is>
          <t>El Corcobo Norte</t>
        </is>
      </c>
      <c r="B194" t="inlineStr">
        <is>
          <t>2022-02</t>
        </is>
      </c>
      <c r="C194" t="n">
        <v>45109.8</v>
      </c>
      <c r="D194" t="n">
        <v>613384.2</v>
      </c>
      <c r="E194">
        <f>E193+C194</f>
        <v/>
      </c>
      <c r="F194">
        <f>IF(C194&gt;0,D194/C194,NA())</f>
        <v/>
      </c>
    </row>
    <row r="195">
      <c r="A195" t="inlineStr">
        <is>
          <t>El Corcobo Norte</t>
        </is>
      </c>
      <c r="B195" t="inlineStr">
        <is>
          <t>2022-03</t>
        </is>
      </c>
      <c r="C195" t="n">
        <v>48920.6</v>
      </c>
      <c r="D195" t="n">
        <v>659613.5</v>
      </c>
      <c r="E195">
        <f>E194+C195</f>
        <v/>
      </c>
      <c r="F195">
        <f>IF(C195&gt;0,D195/C195,NA())</f>
        <v/>
      </c>
    </row>
    <row r="196">
      <c r="A196" t="inlineStr">
        <is>
          <t>El Corcobo Norte</t>
        </is>
      </c>
      <c r="B196" t="inlineStr">
        <is>
          <t>2022-04</t>
        </is>
      </c>
      <c r="C196" t="n">
        <v>47447.5</v>
      </c>
      <c r="D196" t="n">
        <v>647855.1</v>
      </c>
      <c r="E196">
        <f>E195+C196</f>
        <v/>
      </c>
      <c r="F196">
        <f>IF(C196&gt;0,D196/C196,NA())</f>
        <v/>
      </c>
    </row>
    <row r="197">
      <c r="A197" t="inlineStr">
        <is>
          <t>El Corcobo Norte</t>
        </is>
      </c>
      <c r="B197" t="inlineStr">
        <is>
          <t>2022-05</t>
        </is>
      </c>
      <c r="C197" t="n">
        <v>48859.4</v>
      </c>
      <c r="D197" t="n">
        <v>659390.9</v>
      </c>
      <c r="E197">
        <f>E196+C197</f>
        <v/>
      </c>
      <c r="F197">
        <f>IF(C197&gt;0,D197/C197,NA())</f>
        <v/>
      </c>
    </row>
    <row r="198">
      <c r="A198" t="inlineStr">
        <is>
          <t>El Corcobo Norte</t>
        </is>
      </c>
      <c r="B198" t="inlineStr">
        <is>
          <t>2022-06</t>
        </is>
      </c>
      <c r="C198" t="n">
        <v>47040.5</v>
      </c>
      <c r="D198" t="n">
        <v>627158.6</v>
      </c>
      <c r="E198">
        <f>E197+C198</f>
        <v/>
      </c>
      <c r="F198">
        <f>IF(C198&gt;0,D198/C198,NA())</f>
        <v/>
      </c>
    </row>
    <row r="199">
      <c r="A199" t="inlineStr">
        <is>
          <t>El Corcobo Norte</t>
        </is>
      </c>
      <c r="B199" t="inlineStr">
        <is>
          <t>2022-07</t>
        </is>
      </c>
      <c r="C199" t="n">
        <v>46274.6</v>
      </c>
      <c r="D199" t="n">
        <v>645370.9</v>
      </c>
      <c r="E199">
        <f>E198+C199</f>
        <v/>
      </c>
      <c r="F199">
        <f>IF(C199&gt;0,D199/C199,NA())</f>
        <v/>
      </c>
    </row>
    <row r="200">
      <c r="A200" t="inlineStr">
        <is>
          <t>El Corcobo Norte</t>
        </is>
      </c>
      <c r="B200" t="inlineStr">
        <is>
          <t>2022-08</t>
        </is>
      </c>
      <c r="C200" t="n">
        <v>46730.7</v>
      </c>
      <c r="D200" t="n">
        <v>636175.4</v>
      </c>
      <c r="E200">
        <f>E199+C200</f>
        <v/>
      </c>
      <c r="F200">
        <f>IF(C200&gt;0,D200/C200,NA())</f>
        <v/>
      </c>
    </row>
    <row r="201">
      <c r="A201" t="inlineStr">
        <is>
          <t>El Corcobo Norte</t>
        </is>
      </c>
      <c r="B201" t="inlineStr">
        <is>
          <t>2022-09</t>
        </is>
      </c>
      <c r="C201" t="n">
        <v>44708.8</v>
      </c>
      <c r="D201" t="n">
        <v>621160.8</v>
      </c>
      <c r="E201">
        <f>E200+C201</f>
        <v/>
      </c>
      <c r="F201">
        <f>IF(C201&gt;0,D201/C201,NA())</f>
        <v/>
      </c>
    </row>
    <row r="202">
      <c r="A202" t="inlineStr">
        <is>
          <t>El Corcobo Norte</t>
        </is>
      </c>
      <c r="B202" t="inlineStr">
        <is>
          <t>2022-10</t>
        </is>
      </c>
      <c r="C202" t="n">
        <v>46564.1</v>
      </c>
      <c r="D202" t="n">
        <v>642946.7</v>
      </c>
      <c r="E202">
        <f>E201+C202</f>
        <v/>
      </c>
      <c r="F202">
        <f>IF(C202&gt;0,D202/C202,NA())</f>
        <v/>
      </c>
    </row>
    <row r="203">
      <c r="A203" t="inlineStr">
        <is>
          <t>El Corcobo Norte</t>
        </is>
      </c>
      <c r="B203" t="inlineStr">
        <is>
          <t>2022-11</t>
        </is>
      </c>
      <c r="C203" t="n">
        <v>43577.1</v>
      </c>
      <c r="D203" t="n">
        <v>653149.1</v>
      </c>
      <c r="E203">
        <f>E202+C203</f>
        <v/>
      </c>
      <c r="F203">
        <f>IF(C203&gt;0,D203/C203,NA())</f>
        <v/>
      </c>
    </row>
    <row r="204">
      <c r="A204" t="inlineStr">
        <is>
          <t>El Corcobo Norte</t>
        </is>
      </c>
      <c r="B204" t="inlineStr">
        <is>
          <t>2022-12</t>
        </is>
      </c>
      <c r="C204" t="n">
        <v>46862.5</v>
      </c>
      <c r="D204" t="n">
        <v>689348</v>
      </c>
      <c r="E204">
        <f>E203+C204</f>
        <v/>
      </c>
      <c r="F204">
        <f>IF(C204&gt;0,D204/C204,NA())</f>
        <v/>
      </c>
    </row>
    <row r="205">
      <c r="A205" t="inlineStr">
        <is>
          <t>El Corcobo Norte</t>
        </is>
      </c>
      <c r="B205" t="inlineStr">
        <is>
          <t>2023-01</t>
        </is>
      </c>
      <c r="C205" t="n">
        <v>43670.8</v>
      </c>
      <c r="D205" t="n">
        <v>660766.9</v>
      </c>
      <c r="E205">
        <f>E204+C205</f>
        <v/>
      </c>
      <c r="F205">
        <f>IF(C205&gt;0,D205/C205,NA())</f>
        <v/>
      </c>
    </row>
    <row r="206">
      <c r="A206" t="inlineStr">
        <is>
          <t>El Corcobo Norte</t>
        </is>
      </c>
      <c r="B206" t="inlineStr">
        <is>
          <t>2023-02</t>
        </is>
      </c>
      <c r="C206" t="n">
        <v>42896.4</v>
      </c>
      <c r="D206" t="n">
        <v>621973.7</v>
      </c>
      <c r="E206">
        <f>E205+C206</f>
        <v/>
      </c>
      <c r="F206">
        <f>IF(C206&gt;0,D206/C206,NA())</f>
        <v/>
      </c>
    </row>
    <row r="207">
      <c r="A207" t="inlineStr">
        <is>
          <t>El Corcobo Norte</t>
        </is>
      </c>
      <c r="B207" t="inlineStr">
        <is>
          <t>2023-03</t>
        </is>
      </c>
      <c r="C207" t="n">
        <v>45797.9</v>
      </c>
      <c r="D207" t="n">
        <v>688743.7</v>
      </c>
      <c r="E207">
        <f>E206+C207</f>
        <v/>
      </c>
      <c r="F207">
        <f>IF(C207&gt;0,D207/C207,NA())</f>
        <v/>
      </c>
    </row>
    <row r="208">
      <c r="A208" t="inlineStr">
        <is>
          <t>El Corcobo Norte</t>
        </is>
      </c>
      <c r="B208" t="inlineStr">
        <is>
          <t>2023-04</t>
        </is>
      </c>
      <c r="C208" t="n">
        <v>43531.7</v>
      </c>
      <c r="D208" t="n">
        <v>677837.6</v>
      </c>
      <c r="E208">
        <f>E207+C208</f>
        <v/>
      </c>
      <c r="F208">
        <f>IF(C208&gt;0,D208/C208,NA())</f>
        <v/>
      </c>
    </row>
    <row r="209">
      <c r="A209" t="inlineStr">
        <is>
          <t>El Corcobo Norte</t>
        </is>
      </c>
      <c r="B209" t="inlineStr">
        <is>
          <t>2023-05</t>
        </is>
      </c>
      <c r="C209" t="n">
        <v>44425.5</v>
      </c>
      <c r="D209" t="n">
        <v>703117.8</v>
      </c>
      <c r="E209">
        <f>E208+C209</f>
        <v/>
      </c>
      <c r="F209">
        <f>IF(C209&gt;0,D209/C209,NA())</f>
        <v/>
      </c>
    </row>
    <row r="210">
      <c r="A210" t="inlineStr">
        <is>
          <t>El Corcobo Norte</t>
        </is>
      </c>
      <c r="B210" t="inlineStr">
        <is>
          <t>2023-06</t>
        </is>
      </c>
      <c r="C210" t="n">
        <v>43256.4</v>
      </c>
      <c r="D210" t="n">
        <v>680222.1</v>
      </c>
      <c r="E210">
        <f>E209+C210</f>
        <v/>
      </c>
      <c r="F210">
        <f>IF(C210&gt;0,D210/C210,NA())</f>
        <v/>
      </c>
    </row>
    <row r="211">
      <c r="A211" t="inlineStr">
        <is>
          <t>El Corcobo Norte</t>
        </is>
      </c>
      <c r="B211" t="inlineStr">
        <is>
          <t>2023-07</t>
        </is>
      </c>
      <c r="C211" t="n">
        <v>41697.2</v>
      </c>
      <c r="D211" t="n">
        <v>675908.3</v>
      </c>
      <c r="E211">
        <f>E210+C211</f>
        <v/>
      </c>
      <c r="F211">
        <f>IF(C211&gt;0,D211/C211,NA())</f>
        <v/>
      </c>
    </row>
    <row r="212">
      <c r="A212" t="inlineStr">
        <is>
          <t>El Corcobo Norte</t>
        </is>
      </c>
      <c r="B212" t="inlineStr">
        <is>
          <t>2023-08</t>
        </is>
      </c>
      <c r="C212" t="n">
        <v>44382.8</v>
      </c>
      <c r="D212" t="n">
        <v>729636</v>
      </c>
      <c r="E212">
        <f>E211+C212</f>
        <v/>
      </c>
      <c r="F212">
        <f>IF(C212&gt;0,D212/C212,NA())</f>
        <v/>
      </c>
    </row>
    <row r="213">
      <c r="A213" t="inlineStr">
        <is>
          <t>El Corcobo Norte</t>
        </is>
      </c>
      <c r="B213" t="inlineStr">
        <is>
          <t>2023-09</t>
        </is>
      </c>
      <c r="C213" t="n">
        <v>44444.2</v>
      </c>
      <c r="D213" t="n">
        <v>715290.9</v>
      </c>
      <c r="E213">
        <f>E212+C213</f>
        <v/>
      </c>
      <c r="F213">
        <f>IF(C213&gt;0,D213/C213,NA())</f>
        <v/>
      </c>
    </row>
    <row r="214">
      <c r="A214" t="inlineStr">
        <is>
          <t>El Corcobo Norte</t>
        </is>
      </c>
      <c r="B214" t="inlineStr">
        <is>
          <t>2023-10</t>
        </is>
      </c>
      <c r="C214" t="n">
        <v>44548.3</v>
      </c>
      <c r="D214" t="n">
        <v>718162.4</v>
      </c>
      <c r="E214">
        <f>E213+C214</f>
        <v/>
      </c>
      <c r="F214">
        <f>IF(C214&gt;0,D214/C214,NA())</f>
        <v/>
      </c>
    </row>
    <row r="215">
      <c r="A215" t="inlineStr">
        <is>
          <t>El Corcobo Norte</t>
        </is>
      </c>
      <c r="B215" t="inlineStr">
        <is>
          <t>2023-11</t>
        </is>
      </c>
      <c r="C215" t="n">
        <v>43432.3</v>
      </c>
      <c r="D215" t="n">
        <v>698853.8</v>
      </c>
      <c r="E215">
        <f>E214+C215</f>
        <v/>
      </c>
      <c r="F215">
        <f>IF(C215&gt;0,D215/C215,NA())</f>
        <v/>
      </c>
    </row>
    <row r="216">
      <c r="A216" t="inlineStr">
        <is>
          <t>El Corcobo Norte</t>
        </is>
      </c>
      <c r="B216" t="inlineStr">
        <is>
          <t>2023-12</t>
        </is>
      </c>
      <c r="C216" t="n">
        <v>43907.9</v>
      </c>
      <c r="D216" t="n">
        <v>723676.5</v>
      </c>
      <c r="E216">
        <f>E215+C216</f>
        <v/>
      </c>
      <c r="F216">
        <f>IF(C216&gt;0,D216/C216,NA())</f>
        <v/>
      </c>
    </row>
    <row r="217">
      <c r="A217" t="inlineStr">
        <is>
          <t>El Corcobo Norte</t>
        </is>
      </c>
      <c r="B217" t="inlineStr">
        <is>
          <t>2024-01</t>
        </is>
      </c>
      <c r="C217" t="n">
        <v>44315.7</v>
      </c>
      <c r="D217" t="n">
        <v>706868.7</v>
      </c>
      <c r="E217">
        <f>E216+C217</f>
        <v/>
      </c>
      <c r="F217">
        <f>IF(C217&gt;0,D217/C217,NA())</f>
        <v/>
      </c>
    </row>
    <row r="218">
      <c r="A218" t="inlineStr">
        <is>
          <t>El Corcobo Norte</t>
        </is>
      </c>
      <c r="B218" t="inlineStr">
        <is>
          <t>2024-02</t>
        </is>
      </c>
      <c r="C218" t="n">
        <v>41656.3</v>
      </c>
      <c r="D218" t="n">
        <v>673312.1</v>
      </c>
      <c r="E218">
        <f>E217+C218</f>
        <v/>
      </c>
      <c r="F218">
        <f>IF(C218&gt;0,D218/C218,NA())</f>
        <v/>
      </c>
    </row>
    <row r="219">
      <c r="A219" t="inlineStr">
        <is>
          <t>El Corcobo Norte</t>
        </is>
      </c>
      <c r="B219" t="inlineStr">
        <is>
          <t>2024-03</t>
        </is>
      </c>
      <c r="C219" t="n">
        <v>45044.5</v>
      </c>
      <c r="D219" t="n">
        <v>715575.7</v>
      </c>
      <c r="E219">
        <f>E218+C219</f>
        <v/>
      </c>
      <c r="F219">
        <f>IF(C219&gt;0,D219/C219,NA())</f>
        <v/>
      </c>
    </row>
    <row r="220">
      <c r="A220" t="inlineStr">
        <is>
          <t>El Corcobo Norte</t>
        </is>
      </c>
      <c r="B220" t="inlineStr">
        <is>
          <t>2024-04</t>
        </is>
      </c>
      <c r="C220" t="n">
        <v>43480.6</v>
      </c>
      <c r="D220" t="n">
        <v>704908.5</v>
      </c>
      <c r="E220">
        <f>E219+C220</f>
        <v/>
      </c>
      <c r="F220">
        <f>IF(C220&gt;0,D220/C220,NA())</f>
        <v/>
      </c>
    </row>
    <row r="221">
      <c r="A221" t="inlineStr">
        <is>
          <t>El Corcobo Norte</t>
        </is>
      </c>
      <c r="B221" t="inlineStr">
        <is>
          <t>2024-05</t>
        </is>
      </c>
      <c r="C221" t="n">
        <v>45764.2</v>
      </c>
      <c r="D221" t="n">
        <v>726595.6</v>
      </c>
      <c r="E221">
        <f>E220+C221</f>
        <v/>
      </c>
      <c r="F221">
        <f>IF(C221&gt;0,D221/C221,NA())</f>
        <v/>
      </c>
    </row>
    <row r="222">
      <c r="A222" t="inlineStr">
        <is>
          <t>El Corcobo Norte</t>
        </is>
      </c>
      <c r="B222" t="inlineStr">
        <is>
          <t>2024-06</t>
        </is>
      </c>
      <c r="C222" t="n">
        <v>44979.3</v>
      </c>
      <c r="D222" t="n">
        <v>710250.6</v>
      </c>
      <c r="E222">
        <f>E221+C222</f>
        <v/>
      </c>
      <c r="F222">
        <f>IF(C222&gt;0,D222/C222,NA())</f>
        <v/>
      </c>
    </row>
    <row r="223">
      <c r="A223" t="inlineStr">
        <is>
          <t>El Corcobo Norte</t>
        </is>
      </c>
      <c r="B223" t="inlineStr">
        <is>
          <t>2024-07</t>
        </is>
      </c>
      <c r="C223" t="n">
        <v>44185.4</v>
      </c>
      <c r="D223" t="n">
        <v>725059</v>
      </c>
      <c r="E223">
        <f>E222+C223</f>
        <v/>
      </c>
      <c r="F223">
        <f>IF(C223&gt;0,D223/C223,NA())</f>
        <v/>
      </c>
    </row>
    <row r="224">
      <c r="A224" t="inlineStr">
        <is>
          <t>El Corcobo Norte</t>
        </is>
      </c>
      <c r="B224" t="inlineStr">
        <is>
          <t>2024-08</t>
        </is>
      </c>
      <c r="C224" t="n">
        <v>44936.7</v>
      </c>
      <c r="D224" t="n">
        <v>724441.2</v>
      </c>
      <c r="E224">
        <f>E223+C224</f>
        <v/>
      </c>
      <c r="F224">
        <f>IF(C224&gt;0,D224/C224,NA())</f>
        <v/>
      </c>
    </row>
    <row r="225">
      <c r="A225" t="inlineStr">
        <is>
          <t>El Corcobo Norte</t>
        </is>
      </c>
      <c r="B225" t="inlineStr">
        <is>
          <t>2024-09</t>
        </is>
      </c>
      <c r="C225" t="n">
        <v>42352.3</v>
      </c>
      <c r="D225" t="n">
        <v>674407.2</v>
      </c>
      <c r="E225">
        <f>E224+C225</f>
        <v/>
      </c>
      <c r="F225">
        <f>IF(C225&gt;0,D225/C225,NA())</f>
        <v/>
      </c>
    </row>
    <row r="226">
      <c r="A226" t="inlineStr">
        <is>
          <t>El Corcobo Norte</t>
        </is>
      </c>
      <c r="B226" t="inlineStr">
        <is>
          <t>2024-10</t>
        </is>
      </c>
      <c r="C226" t="n">
        <v>43360.4</v>
      </c>
      <c r="D226" t="n">
        <v>709362.8</v>
      </c>
      <c r="E226">
        <f>E225+C226</f>
        <v/>
      </c>
      <c r="F226">
        <f>IF(C226&gt;0,D226/C226,NA())</f>
        <v/>
      </c>
    </row>
    <row r="227">
      <c r="A227" t="inlineStr">
        <is>
          <t>El Corcobo Norte</t>
        </is>
      </c>
      <c r="B227" t="inlineStr">
        <is>
          <t>2024-11</t>
        </is>
      </c>
      <c r="C227" t="n">
        <v>40987.7</v>
      </c>
      <c r="D227" t="n">
        <v>691033.8</v>
      </c>
      <c r="E227">
        <f>E226+C227</f>
        <v/>
      </c>
      <c r="F227">
        <f>IF(C227&gt;0,D227/C227,NA())</f>
        <v/>
      </c>
    </row>
    <row r="228">
      <c r="A228" t="inlineStr">
        <is>
          <t>El Corcobo Norte</t>
        </is>
      </c>
      <c r="B228" t="inlineStr">
        <is>
          <t>2024-12</t>
        </is>
      </c>
      <c r="C228" t="n">
        <v>42675</v>
      </c>
      <c r="D228" t="n">
        <v>700300.3</v>
      </c>
      <c r="E228">
        <f>E227+C228</f>
        <v/>
      </c>
      <c r="F228">
        <f>IF(C228&gt;0,D228/C228,NA())</f>
        <v/>
      </c>
    </row>
    <row r="229">
      <c r="A229" t="inlineStr">
        <is>
          <t>El Corcobo Norte</t>
        </is>
      </c>
      <c r="B229" t="inlineStr">
        <is>
          <t>2025-01</t>
        </is>
      </c>
      <c r="C229" t="n">
        <v>42211.9</v>
      </c>
      <c r="D229" t="n">
        <v>702102</v>
      </c>
      <c r="E229">
        <f>E228+C229</f>
        <v/>
      </c>
      <c r="F229">
        <f>IF(C229&gt;0,D229/C229,NA())</f>
        <v/>
      </c>
    </row>
    <row r="230">
      <c r="A230" t="inlineStr">
        <is>
          <t>El Corcobo Norte</t>
        </is>
      </c>
      <c r="B230" t="inlineStr">
        <is>
          <t>2025-02</t>
        </is>
      </c>
      <c r="C230" t="n">
        <v>37427.6</v>
      </c>
      <c r="D230" t="n">
        <v>634110.2</v>
      </c>
      <c r="E230">
        <f>E229+C230</f>
        <v/>
      </c>
      <c r="F230">
        <f>IF(C230&gt;0,D230/C230,NA())</f>
        <v/>
      </c>
    </row>
    <row r="231">
      <c r="A231" t="inlineStr">
        <is>
          <t>El Corcobo Norte</t>
        </is>
      </c>
      <c r="B231" t="inlineStr">
        <is>
          <t>2025-03</t>
        </is>
      </c>
      <c r="C231" t="n">
        <v>43198.2</v>
      </c>
      <c r="D231" t="n">
        <v>696497</v>
      </c>
      <c r="E231">
        <f>E230+C231</f>
        <v/>
      </c>
      <c r="F231">
        <f>IF(C231&gt;0,D231/C231,NA())</f>
        <v/>
      </c>
    </row>
    <row r="232">
      <c r="A232" t="inlineStr">
        <is>
          <t>El Corcobo Norte</t>
        </is>
      </c>
      <c r="B232" t="inlineStr">
        <is>
          <t>2025-04</t>
        </is>
      </c>
      <c r="C232" t="n">
        <v>41892.9</v>
      </c>
      <c r="D232" t="n">
        <v>655765.7</v>
      </c>
      <c r="E232">
        <f>E231+C232</f>
        <v/>
      </c>
      <c r="F232">
        <f>IF(C232&gt;0,D232/C232,NA())</f>
        <v/>
      </c>
    </row>
    <row r="233">
      <c r="A233" t="inlineStr">
        <is>
          <t>El Corcobo Norte</t>
        </is>
      </c>
      <c r="B233" t="inlineStr">
        <is>
          <t>2025-05</t>
        </is>
      </c>
      <c r="C233" t="n">
        <v>43033.2</v>
      </c>
      <c r="D233" t="n">
        <v>690330.9</v>
      </c>
      <c r="E233">
        <f>E232+C233</f>
        <v/>
      </c>
      <c r="F233">
        <f>IF(C233&gt;0,D233/C233,NA())</f>
        <v/>
      </c>
    </row>
    <row r="234">
      <c r="A234" t="inlineStr">
        <is>
          <t>El Corcobo Norte</t>
        </is>
      </c>
      <c r="B234" t="inlineStr">
        <is>
          <t>2025-06</t>
        </is>
      </c>
      <c r="C234" t="n">
        <v>42207.6</v>
      </c>
      <c r="D234" t="n">
        <v>669326.2</v>
      </c>
      <c r="E234">
        <f>E233+C234</f>
        <v/>
      </c>
      <c r="F234">
        <f>IF(C234&gt;0,D234/C234,NA())</f>
        <v/>
      </c>
    </row>
    <row r="235">
      <c r="A235" t="inlineStr">
        <is>
          <t>El Corcobo Norte</t>
        </is>
      </c>
      <c r="B235" t="inlineStr">
        <is>
          <t>2025-07</t>
        </is>
      </c>
      <c r="C235" t="n">
        <v>41612.3</v>
      </c>
      <c r="D235" t="n">
        <v>682810.4</v>
      </c>
      <c r="E235">
        <f>E234+C235</f>
        <v/>
      </c>
      <c r="F235">
        <f>IF(C235&gt;0,D235/C235,NA())</f>
        <v/>
      </c>
    </row>
    <row r="236">
      <c r="A236" t="inlineStr">
        <is>
          <t>El Corcobo Norte</t>
        </is>
      </c>
      <c r="B236" t="inlineStr">
        <is>
          <t>2025-08</t>
        </is>
      </c>
      <c r="C236" t="n">
        <v>41277.8</v>
      </c>
      <c r="D236" t="n">
        <v>688092</v>
      </c>
      <c r="E236">
        <f>E235+C236</f>
        <v/>
      </c>
      <c r="F236">
        <f>IF(C236&gt;0,D236/C236,NA())</f>
        <v/>
      </c>
    </row>
    <row r="237">
      <c r="A237" t="inlineStr">
        <is>
          <t>El Corcobo Norte</t>
        </is>
      </c>
      <c r="B237" t="inlineStr">
        <is>
          <t>2025-09</t>
        </is>
      </c>
      <c r="C237" t="n">
        <v>42157</v>
      </c>
      <c r="D237" t="n">
        <v>671207.7</v>
      </c>
      <c r="E237">
        <f>E236+C237</f>
        <v/>
      </c>
      <c r="F237">
        <f>IF(C237&gt;0,D237/C237,NA())</f>
        <v/>
      </c>
    </row>
    <row r="238">
      <c r="A238" t="inlineStr">
        <is>
          <t>El Corcobo Norte</t>
        </is>
      </c>
      <c r="B238" t="inlineStr">
        <is>
          <t>2025-10</t>
        </is>
      </c>
      <c r="C238" t="n">
        <v>41318.3</v>
      </c>
      <c r="D238" t="n">
        <v>678111.8</v>
      </c>
      <c r="E238">
        <f>E237+C238</f>
        <v/>
      </c>
      <c r="F238">
        <f>IF(C238&gt;0,D238/C238,NA())</f>
        <v/>
      </c>
    </row>
    <row r="239">
      <c r="A239" t="inlineStr">
        <is>
          <t>El Corcobo Norte</t>
        </is>
      </c>
      <c r="B239" t="inlineStr">
        <is>
          <t>2025-11</t>
        </is>
      </c>
      <c r="C239" t="n">
        <v>37982.3</v>
      </c>
      <c r="D239" t="n">
        <v>669233.8</v>
      </c>
      <c r="E239">
        <f>E238+C239</f>
        <v/>
      </c>
      <c r="F239">
        <f>IF(C239&gt;0,D239/C239,NA())</f>
        <v/>
      </c>
    </row>
    <row r="240">
      <c r="A240" t="inlineStr">
        <is>
          <t>El Corcobo Norte</t>
        </is>
      </c>
      <c r="B240" t="inlineStr">
        <is>
          <t>2025-12</t>
        </is>
      </c>
      <c r="C240" t="n">
        <v>40078</v>
      </c>
      <c r="D240" t="n">
        <v>700534.2</v>
      </c>
      <c r="E240">
        <f>E239+C240</f>
        <v/>
      </c>
      <c r="F240">
        <f>IF(C240&gt;0,D240/C240,NA())</f>
        <v/>
      </c>
    </row>
    <row r="241">
      <c r="A241" t="inlineStr">
        <is>
          <t>El Corcobo Norte</t>
        </is>
      </c>
      <c r="B241" t="inlineStr">
        <is>
          <t>2026-01</t>
        </is>
      </c>
      <c r="C241" t="n">
        <v>40650</v>
      </c>
      <c r="D241" t="n">
        <v>686373.8</v>
      </c>
      <c r="E241">
        <f>E240+C241</f>
        <v/>
      </c>
      <c r="F241">
        <f>IF(C241&gt;0,D241/C241,NA())</f>
        <v/>
      </c>
    </row>
    <row r="242">
      <c r="A242" t="inlineStr">
        <is>
          <t>El Corcobo Norte</t>
        </is>
      </c>
      <c r="B242" t="inlineStr">
        <is>
          <t>2026-02</t>
        </is>
      </c>
      <c r="C242" t="n">
        <v>38500.4</v>
      </c>
      <c r="D242" t="n">
        <v>613589.9</v>
      </c>
      <c r="E242">
        <f>E241+C242</f>
        <v/>
      </c>
      <c r="F242">
        <f>IF(C242&gt;0,D242/C242,NA())</f>
        <v/>
      </c>
    </row>
    <row r="243">
      <c r="A243" t="inlineStr">
        <is>
          <t>El Corcobo Norte</t>
        </is>
      </c>
      <c r="B243" t="inlineStr">
        <is>
          <t>2026-03</t>
        </is>
      </c>
      <c r="C243" t="n">
        <v>40618.2</v>
      </c>
      <c r="D243" t="n">
        <v>682548.5</v>
      </c>
      <c r="E243">
        <f>E242+C243</f>
        <v/>
      </c>
      <c r="F243">
        <f>IF(C243&gt;0,D243/C243,NA())</f>
        <v/>
      </c>
    </row>
    <row r="244">
      <c r="A244" t="inlineStr">
        <is>
          <t>El Corcobo Norte</t>
        </is>
      </c>
      <c r="B244" t="inlineStr">
        <is>
          <t>2026-04</t>
        </is>
      </c>
      <c r="C244" t="n">
        <v>37708.3</v>
      </c>
      <c r="D244" t="n">
        <v>654076.7</v>
      </c>
      <c r="E244">
        <f>E243+C244</f>
        <v/>
      </c>
      <c r="F244">
        <f>IF(C244&gt;0,D244/C244,NA())</f>
        <v/>
      </c>
    </row>
    <row r="245">
      <c r="A245" t="inlineStr">
        <is>
          <t>El Corcobo Norte</t>
        </is>
      </c>
      <c r="B245" t="inlineStr">
        <is>
          <t>2026-05</t>
        </is>
      </c>
      <c r="C245" t="n">
        <v>39142.2</v>
      </c>
      <c r="D245" t="n">
        <v>678703</v>
      </c>
      <c r="E245">
        <f>E244+C245</f>
        <v/>
      </c>
      <c r="F245">
        <f>IF(C245&gt;0,D245/C245,NA())</f>
        <v/>
      </c>
    </row>
    <row r="246">
      <c r="A246" t="inlineStr">
        <is>
          <t>El Corcobo Norte</t>
        </is>
      </c>
      <c r="B246" t="inlineStr">
        <is>
          <t>2026-06</t>
        </is>
      </c>
      <c r="C246" t="n">
        <v>38754.7</v>
      </c>
      <c r="D246" t="n">
        <v>660106.8</v>
      </c>
      <c r="E246">
        <f>E245+C246</f>
        <v/>
      </c>
      <c r="F246">
        <f>IF(C246&gt;0,D246/C246,NA())</f>
        <v/>
      </c>
    </row>
    <row r="247">
      <c r="A247" t="inlineStr">
        <is>
          <t>El Corcobo Norte</t>
        </is>
      </c>
      <c r="B247" t="inlineStr">
        <is>
          <t>2026-07</t>
        </is>
      </c>
      <c r="C247" t="n">
        <v>38246.2</v>
      </c>
      <c r="D247" t="n">
        <v>678885.8</v>
      </c>
      <c r="E247">
        <f>E246+C247</f>
        <v/>
      </c>
      <c r="F247">
        <f>IF(C247&gt;0,D247/C247,NA())</f>
        <v/>
      </c>
    </row>
    <row r="248">
      <c r="A248" t="inlineStr">
        <is>
          <t>Chihuido de la Sierra Negra</t>
        </is>
      </c>
      <c r="B248" t="inlineStr">
        <is>
          <t>2006-01</t>
        </is>
      </c>
      <c r="C248" t="n">
        <v>111100.5</v>
      </c>
      <c r="D248" t="n">
        <v>1275854.7</v>
      </c>
      <c r="E248">
        <f>C248</f>
        <v/>
      </c>
      <c r="F248">
        <f>IF(C248&gt;0,D248/C248,NA())</f>
        <v/>
      </c>
    </row>
    <row r="249">
      <c r="A249" t="inlineStr">
        <is>
          <t>Chihuido de la Sierra Negra</t>
        </is>
      </c>
      <c r="B249" t="inlineStr">
        <is>
          <t>2006-02</t>
        </is>
      </c>
      <c r="C249" t="n">
        <v>97685.5</v>
      </c>
      <c r="D249" t="n">
        <v>1126539.1</v>
      </c>
      <c r="E249">
        <f>E248+C249</f>
        <v/>
      </c>
      <c r="F249">
        <f>IF(C249&gt;0,D249/C249,NA())</f>
        <v/>
      </c>
    </row>
    <row r="250">
      <c r="A250" t="inlineStr">
        <is>
          <t>Chihuido de la Sierra Negra</t>
        </is>
      </c>
      <c r="B250" t="inlineStr">
        <is>
          <t>2006-03</t>
        </is>
      </c>
      <c r="C250" t="n">
        <v>102277.4</v>
      </c>
      <c r="D250" t="n">
        <v>1161147.4</v>
      </c>
      <c r="E250">
        <f>E249+C250</f>
        <v/>
      </c>
      <c r="F250">
        <f>IF(C250&gt;0,D250/C250,NA())</f>
        <v/>
      </c>
    </row>
    <row r="251">
      <c r="A251" t="inlineStr">
        <is>
          <t>Chihuido de la Sierra Negra</t>
        </is>
      </c>
      <c r="B251" t="inlineStr">
        <is>
          <t>2006-04</t>
        </is>
      </c>
      <c r="C251" t="n">
        <v>96939.10000000001</v>
      </c>
      <c r="D251" t="n">
        <v>1042168.2</v>
      </c>
      <c r="E251">
        <f>E250+C251</f>
        <v/>
      </c>
      <c r="F251">
        <f>IF(C251&gt;0,D251/C251,NA())</f>
        <v/>
      </c>
    </row>
    <row r="252">
      <c r="A252" t="inlineStr">
        <is>
          <t>Chihuido de la Sierra Negra</t>
        </is>
      </c>
      <c r="B252" t="inlineStr">
        <is>
          <t>2006-05</t>
        </is>
      </c>
      <c r="C252" t="n">
        <v>103819.4</v>
      </c>
      <c r="D252" t="n">
        <v>1216110.1</v>
      </c>
      <c r="E252">
        <f>E251+C252</f>
        <v/>
      </c>
      <c r="F252">
        <f>IF(C252&gt;0,D252/C252,NA())</f>
        <v/>
      </c>
    </row>
    <row r="253">
      <c r="A253" t="inlineStr">
        <is>
          <t>Chihuido de la Sierra Negra</t>
        </is>
      </c>
      <c r="B253" t="inlineStr">
        <is>
          <t>2006-06</t>
        </is>
      </c>
      <c r="C253" t="n">
        <v>99959.89999999999</v>
      </c>
      <c r="D253" t="n">
        <v>1203809.6</v>
      </c>
      <c r="E253">
        <f>E252+C253</f>
        <v/>
      </c>
      <c r="F253">
        <f>IF(C253&gt;0,D253/C253,NA())</f>
        <v/>
      </c>
    </row>
    <row r="254">
      <c r="A254" t="inlineStr">
        <is>
          <t>Chihuido de la Sierra Negra</t>
        </is>
      </c>
      <c r="B254" t="inlineStr">
        <is>
          <t>2006-07</t>
        </is>
      </c>
      <c r="C254" t="n">
        <v>100927.2</v>
      </c>
      <c r="D254" t="n">
        <v>1231473.6</v>
      </c>
      <c r="E254">
        <f>E253+C254</f>
        <v/>
      </c>
      <c r="F254">
        <f>IF(C254&gt;0,D254/C254,NA())</f>
        <v/>
      </c>
    </row>
    <row r="255">
      <c r="A255" t="inlineStr">
        <is>
          <t>Chihuido de la Sierra Negra</t>
        </is>
      </c>
      <c r="B255" t="inlineStr">
        <is>
          <t>2006-08</t>
        </is>
      </c>
      <c r="C255" t="n">
        <v>98666</v>
      </c>
      <c r="D255" t="n">
        <v>1211460.4</v>
      </c>
      <c r="E255">
        <f>E254+C255</f>
        <v/>
      </c>
      <c r="F255">
        <f>IF(C255&gt;0,D255/C255,NA())</f>
        <v/>
      </c>
    </row>
    <row r="256">
      <c r="A256" t="inlineStr">
        <is>
          <t>Chihuido de la Sierra Negra</t>
        </is>
      </c>
      <c r="B256" t="inlineStr">
        <is>
          <t>2006-09</t>
        </is>
      </c>
      <c r="C256" t="n">
        <v>95417.5</v>
      </c>
      <c r="D256" t="n">
        <v>1165300.2</v>
      </c>
      <c r="E256">
        <f>E255+C256</f>
        <v/>
      </c>
      <c r="F256">
        <f>IF(C256&gt;0,D256/C256,NA())</f>
        <v/>
      </c>
    </row>
    <row r="257">
      <c r="A257" t="inlineStr">
        <is>
          <t>Chihuido de la Sierra Negra</t>
        </is>
      </c>
      <c r="B257" t="inlineStr">
        <is>
          <t>2006-10</t>
        </is>
      </c>
      <c r="C257" t="n">
        <v>97038.7</v>
      </c>
      <c r="D257" t="n">
        <v>1202259.1</v>
      </c>
      <c r="E257">
        <f>E256+C257</f>
        <v/>
      </c>
      <c r="F257">
        <f>IF(C257&gt;0,D257/C257,NA())</f>
        <v/>
      </c>
    </row>
    <row r="258">
      <c r="A258" t="inlineStr">
        <is>
          <t>Chihuido de la Sierra Negra</t>
        </is>
      </c>
      <c r="B258" t="inlineStr">
        <is>
          <t>2006-11</t>
        </is>
      </c>
      <c r="C258" t="n">
        <v>88013.39999999999</v>
      </c>
      <c r="D258" t="n">
        <v>1117644.9</v>
      </c>
      <c r="E258">
        <f>E257+C258</f>
        <v/>
      </c>
      <c r="F258">
        <f>IF(C258&gt;0,D258/C258,NA())</f>
        <v/>
      </c>
    </row>
    <row r="259">
      <c r="A259" t="inlineStr">
        <is>
          <t>Chihuido de la Sierra Negra</t>
        </is>
      </c>
      <c r="B259" t="inlineStr">
        <is>
          <t>2006-12</t>
        </is>
      </c>
      <c r="C259" t="n">
        <v>93731.2</v>
      </c>
      <c r="D259" t="n">
        <v>1152837.3</v>
      </c>
      <c r="E259">
        <f>E258+C259</f>
        <v/>
      </c>
      <c r="F259">
        <f>IF(C259&gt;0,D259/C259,NA())</f>
        <v/>
      </c>
    </row>
    <row r="260">
      <c r="A260" t="inlineStr">
        <is>
          <t>Chihuido de la Sierra Negra</t>
        </is>
      </c>
      <c r="B260" t="inlineStr">
        <is>
          <t>2007-01</t>
        </is>
      </c>
      <c r="C260" t="n">
        <v>90578.2</v>
      </c>
      <c r="D260" t="n">
        <v>1179444.8</v>
      </c>
      <c r="E260">
        <f>E259+C260</f>
        <v/>
      </c>
      <c r="F260">
        <f>IF(C260&gt;0,D260/C260,NA())</f>
        <v/>
      </c>
    </row>
    <row r="261">
      <c r="A261" t="inlineStr">
        <is>
          <t>Chihuido de la Sierra Negra</t>
        </is>
      </c>
      <c r="B261" t="inlineStr">
        <is>
          <t>2007-02</t>
        </is>
      </c>
      <c r="C261" t="n">
        <v>85028.8</v>
      </c>
      <c r="D261" t="n">
        <v>1091327.2</v>
      </c>
      <c r="E261">
        <f>E260+C261</f>
        <v/>
      </c>
      <c r="F261">
        <f>IF(C261&gt;0,D261/C261,NA())</f>
        <v/>
      </c>
    </row>
    <row r="262">
      <c r="A262" t="inlineStr">
        <is>
          <t>Chihuido de la Sierra Negra</t>
        </is>
      </c>
      <c r="B262" t="inlineStr">
        <is>
          <t>2007-03</t>
        </is>
      </c>
      <c r="C262" t="n">
        <v>91520.89999999999</v>
      </c>
      <c r="D262" t="n">
        <v>1186766</v>
      </c>
      <c r="E262">
        <f>E261+C262</f>
        <v/>
      </c>
      <c r="F262">
        <f>IF(C262&gt;0,D262/C262,NA())</f>
        <v/>
      </c>
    </row>
    <row r="263">
      <c r="A263" t="inlineStr">
        <is>
          <t>Chihuido de la Sierra Negra</t>
        </is>
      </c>
      <c r="B263" t="inlineStr">
        <is>
          <t>2007-04</t>
        </is>
      </c>
      <c r="C263" t="n">
        <v>88845.2</v>
      </c>
      <c r="D263" t="n">
        <v>1155643.9</v>
      </c>
      <c r="E263">
        <f>E262+C263</f>
        <v/>
      </c>
      <c r="F263">
        <f>IF(C263&gt;0,D263/C263,NA())</f>
        <v/>
      </c>
    </row>
    <row r="264">
      <c r="A264" t="inlineStr">
        <is>
          <t>Chihuido de la Sierra Negra</t>
        </is>
      </c>
      <c r="B264" t="inlineStr">
        <is>
          <t>2007-05</t>
        </is>
      </c>
      <c r="C264" t="n">
        <v>90190</v>
      </c>
      <c r="D264" t="n">
        <v>1189179.8</v>
      </c>
      <c r="E264">
        <f>E263+C264</f>
        <v/>
      </c>
      <c r="F264">
        <f>IF(C264&gt;0,D264/C264,NA())</f>
        <v/>
      </c>
    </row>
    <row r="265">
      <c r="A265" t="inlineStr">
        <is>
          <t>Chihuido de la Sierra Negra</t>
        </is>
      </c>
      <c r="B265" t="inlineStr">
        <is>
          <t>2007-06</t>
        </is>
      </c>
      <c r="C265" t="n">
        <v>87677.89999999999</v>
      </c>
      <c r="D265" t="n">
        <v>1161502.2</v>
      </c>
      <c r="E265">
        <f>E264+C265</f>
        <v/>
      </c>
      <c r="F265">
        <f>IF(C265&gt;0,D265/C265,NA())</f>
        <v/>
      </c>
    </row>
    <row r="266">
      <c r="A266" t="inlineStr">
        <is>
          <t>Chihuido de la Sierra Negra</t>
        </is>
      </c>
      <c r="B266" t="inlineStr">
        <is>
          <t>2007-07</t>
        </is>
      </c>
      <c r="C266" t="n">
        <v>89246.10000000001</v>
      </c>
      <c r="D266" t="n">
        <v>1184272.9</v>
      </c>
      <c r="E266">
        <f>E265+C266</f>
        <v/>
      </c>
      <c r="F266">
        <f>IF(C266&gt;0,D266/C266,NA())</f>
        <v/>
      </c>
    </row>
    <row r="267">
      <c r="A267" t="inlineStr">
        <is>
          <t>Chihuido de la Sierra Negra</t>
        </is>
      </c>
      <c r="B267" t="inlineStr">
        <is>
          <t>2007-08</t>
        </is>
      </c>
      <c r="C267" t="n">
        <v>87790.8</v>
      </c>
      <c r="D267" t="n">
        <v>1192963.2</v>
      </c>
      <c r="E267">
        <f>E266+C267</f>
        <v/>
      </c>
      <c r="F267">
        <f>IF(C267&gt;0,D267/C267,NA())</f>
        <v/>
      </c>
    </row>
    <row r="268">
      <c r="A268" t="inlineStr">
        <is>
          <t>Chihuido de la Sierra Negra</t>
        </is>
      </c>
      <c r="B268" t="inlineStr">
        <is>
          <t>2007-09</t>
        </is>
      </c>
      <c r="C268" t="n">
        <v>82853.39999999999</v>
      </c>
      <c r="D268" t="n">
        <v>1137309.3</v>
      </c>
      <c r="E268">
        <f>E267+C268</f>
        <v/>
      </c>
      <c r="F268">
        <f>IF(C268&gt;0,D268/C268,NA())</f>
        <v/>
      </c>
    </row>
    <row r="269">
      <c r="A269" t="inlineStr">
        <is>
          <t>Chihuido de la Sierra Negra</t>
        </is>
      </c>
      <c r="B269" t="inlineStr">
        <is>
          <t>2007-10</t>
        </is>
      </c>
      <c r="C269" t="n">
        <v>85212.10000000001</v>
      </c>
      <c r="D269" t="n">
        <v>1173216.7</v>
      </c>
      <c r="E269">
        <f>E268+C269</f>
        <v/>
      </c>
      <c r="F269">
        <f>IF(C269&gt;0,D269/C269,NA())</f>
        <v/>
      </c>
    </row>
    <row r="270">
      <c r="A270" t="inlineStr">
        <is>
          <t>Chihuido de la Sierra Negra</t>
        </is>
      </c>
      <c r="B270" t="inlineStr">
        <is>
          <t>2007-11</t>
        </is>
      </c>
      <c r="C270" t="n">
        <v>83188.5</v>
      </c>
      <c r="D270" t="n">
        <v>1145622.7</v>
      </c>
      <c r="E270">
        <f>E269+C270</f>
        <v/>
      </c>
      <c r="F270">
        <f>IF(C270&gt;0,D270/C270,NA())</f>
        <v/>
      </c>
    </row>
    <row r="271">
      <c r="A271" t="inlineStr">
        <is>
          <t>Chihuido de la Sierra Negra</t>
        </is>
      </c>
      <c r="B271" t="inlineStr">
        <is>
          <t>2007-12</t>
        </is>
      </c>
      <c r="C271" t="n">
        <v>82114.89999999999</v>
      </c>
      <c r="D271" t="n">
        <v>1170866.8</v>
      </c>
      <c r="E271">
        <f>E270+C271</f>
        <v/>
      </c>
      <c r="F271">
        <f>IF(C271&gt;0,D271/C271,NA())</f>
        <v/>
      </c>
    </row>
    <row r="272">
      <c r="A272" t="inlineStr">
        <is>
          <t>Chihuido de la Sierra Negra</t>
        </is>
      </c>
      <c r="B272" t="inlineStr">
        <is>
          <t>2008-01</t>
        </is>
      </c>
      <c r="C272" t="n">
        <v>80766.60000000001</v>
      </c>
      <c r="D272" t="n">
        <v>1190273.8</v>
      </c>
      <c r="E272">
        <f>E271+C272</f>
        <v/>
      </c>
      <c r="F272">
        <f>IF(C272&gt;0,D272/C272,NA())</f>
        <v/>
      </c>
    </row>
    <row r="273">
      <c r="A273" t="inlineStr">
        <is>
          <t>Chihuido de la Sierra Negra</t>
        </is>
      </c>
      <c r="B273" t="inlineStr">
        <is>
          <t>2008-02</t>
        </is>
      </c>
      <c r="C273" t="n">
        <v>74478.5</v>
      </c>
      <c r="D273" t="n">
        <v>1086606.4</v>
      </c>
      <c r="E273">
        <f>E272+C273</f>
        <v/>
      </c>
      <c r="F273">
        <f>IF(C273&gt;0,D273/C273,NA())</f>
        <v/>
      </c>
    </row>
    <row r="274">
      <c r="A274" t="inlineStr">
        <is>
          <t>Chihuido de la Sierra Negra</t>
        </is>
      </c>
      <c r="B274" t="inlineStr">
        <is>
          <t>2008-03</t>
        </is>
      </c>
      <c r="C274" t="n">
        <v>79968.8</v>
      </c>
      <c r="D274" t="n">
        <v>1175273.7</v>
      </c>
      <c r="E274">
        <f>E273+C274</f>
        <v/>
      </c>
      <c r="F274">
        <f>IF(C274&gt;0,D274/C274,NA())</f>
        <v/>
      </c>
    </row>
    <row r="275">
      <c r="A275" t="inlineStr">
        <is>
          <t>Chihuido de la Sierra Negra</t>
        </is>
      </c>
      <c r="B275" t="inlineStr">
        <is>
          <t>2008-04</t>
        </is>
      </c>
      <c r="C275" t="n">
        <v>75947.89999999999</v>
      </c>
      <c r="D275" t="n">
        <v>1119561</v>
      </c>
      <c r="E275">
        <f>E274+C275</f>
        <v/>
      </c>
      <c r="F275">
        <f>IF(C275&gt;0,D275/C275,NA())</f>
        <v/>
      </c>
    </row>
    <row r="276">
      <c r="A276" t="inlineStr">
        <is>
          <t>Chihuido de la Sierra Negra</t>
        </is>
      </c>
      <c r="B276" t="inlineStr">
        <is>
          <t>2008-05</t>
        </is>
      </c>
      <c r="C276" t="n">
        <v>78258.5</v>
      </c>
      <c r="D276" t="n">
        <v>1151444.6</v>
      </c>
      <c r="E276">
        <f>E275+C276</f>
        <v/>
      </c>
      <c r="F276">
        <f>IF(C276&gt;0,D276/C276,NA())</f>
        <v/>
      </c>
    </row>
    <row r="277">
      <c r="A277" t="inlineStr">
        <is>
          <t>Chihuido de la Sierra Negra</t>
        </is>
      </c>
      <c r="B277" t="inlineStr">
        <is>
          <t>2008-06</t>
        </is>
      </c>
      <c r="C277" t="n">
        <v>75255.10000000001</v>
      </c>
      <c r="D277" t="n">
        <v>1110346.4</v>
      </c>
      <c r="E277">
        <f>E276+C277</f>
        <v/>
      </c>
      <c r="F277">
        <f>IF(C277&gt;0,D277/C277,NA())</f>
        <v/>
      </c>
    </row>
    <row r="278">
      <c r="A278" t="inlineStr">
        <is>
          <t>Chihuido de la Sierra Negra</t>
        </is>
      </c>
      <c r="B278" t="inlineStr">
        <is>
          <t>2008-07</t>
        </is>
      </c>
      <c r="C278" t="n">
        <v>77394.60000000001</v>
      </c>
      <c r="D278" t="n">
        <v>1146202</v>
      </c>
      <c r="E278">
        <f>E277+C278</f>
        <v/>
      </c>
      <c r="F278">
        <f>IF(C278&gt;0,D278/C278,NA())</f>
        <v/>
      </c>
    </row>
    <row r="279">
      <c r="A279" t="inlineStr">
        <is>
          <t>Chihuido de la Sierra Negra</t>
        </is>
      </c>
      <c r="B279" t="inlineStr">
        <is>
          <t>2008-08</t>
        </is>
      </c>
      <c r="C279" t="n">
        <v>76639.60000000001</v>
      </c>
      <c r="D279" t="n">
        <v>1143926.8</v>
      </c>
      <c r="E279">
        <f>E278+C279</f>
        <v/>
      </c>
      <c r="F279">
        <f>IF(C279&gt;0,D279/C279,NA())</f>
        <v/>
      </c>
    </row>
    <row r="280">
      <c r="A280" t="inlineStr">
        <is>
          <t>Chihuido de la Sierra Negra</t>
        </is>
      </c>
      <c r="B280" t="inlineStr">
        <is>
          <t>2008-09</t>
        </is>
      </c>
      <c r="C280" t="n">
        <v>75137</v>
      </c>
      <c r="D280" t="n">
        <v>1116603.7</v>
      </c>
      <c r="E280">
        <f>E279+C280</f>
        <v/>
      </c>
      <c r="F280">
        <f>IF(C280&gt;0,D280/C280,NA())</f>
        <v/>
      </c>
    </row>
    <row r="281">
      <c r="A281" t="inlineStr">
        <is>
          <t>Chihuido de la Sierra Negra</t>
        </is>
      </c>
      <c r="B281" t="inlineStr">
        <is>
          <t>2008-10</t>
        </is>
      </c>
      <c r="C281" t="n">
        <v>75588.89999999999</v>
      </c>
      <c r="D281" t="n">
        <v>1146718</v>
      </c>
      <c r="E281">
        <f>E280+C281</f>
        <v/>
      </c>
      <c r="F281">
        <f>IF(C281&gt;0,D281/C281,NA())</f>
        <v/>
      </c>
    </row>
    <row r="282">
      <c r="A282" t="inlineStr">
        <is>
          <t>Chihuido de la Sierra Negra</t>
        </is>
      </c>
      <c r="B282" t="inlineStr">
        <is>
          <t>2008-11</t>
        </is>
      </c>
      <c r="C282" t="n">
        <v>73089.3</v>
      </c>
      <c r="D282" t="n">
        <v>1099354.1</v>
      </c>
      <c r="E282">
        <f>E281+C282</f>
        <v/>
      </c>
      <c r="F282">
        <f>IF(C282&gt;0,D282/C282,NA())</f>
        <v/>
      </c>
    </row>
    <row r="283">
      <c r="A283" t="inlineStr">
        <is>
          <t>Chihuido de la Sierra Negra</t>
        </is>
      </c>
      <c r="B283" t="inlineStr">
        <is>
          <t>2008-12</t>
        </is>
      </c>
      <c r="C283" t="n">
        <v>73285.2</v>
      </c>
      <c r="D283" t="n">
        <v>1131589.6</v>
      </c>
      <c r="E283">
        <f>E282+C283</f>
        <v/>
      </c>
      <c r="F283">
        <f>IF(C283&gt;0,D283/C283,NA())</f>
        <v/>
      </c>
    </row>
    <row r="284">
      <c r="A284" t="inlineStr">
        <is>
          <t>Chihuido de la Sierra Negra</t>
        </is>
      </c>
      <c r="B284" t="inlineStr">
        <is>
          <t>2009-01</t>
        </is>
      </c>
      <c r="C284" t="n">
        <v>73520.10000000001</v>
      </c>
      <c r="D284" t="n">
        <v>1129609.8</v>
      </c>
      <c r="E284">
        <f>E283+C284</f>
        <v/>
      </c>
      <c r="F284">
        <f>IF(C284&gt;0,D284/C284,NA())</f>
        <v/>
      </c>
    </row>
    <row r="285">
      <c r="A285" t="inlineStr">
        <is>
          <t>Chihuido de la Sierra Negra</t>
        </is>
      </c>
      <c r="B285" t="inlineStr">
        <is>
          <t>2009-02</t>
        </is>
      </c>
      <c r="C285" t="n">
        <v>65792.89999999999</v>
      </c>
      <c r="D285" t="n">
        <v>1029482.9</v>
      </c>
      <c r="E285">
        <f>E284+C285</f>
        <v/>
      </c>
      <c r="F285">
        <f>IF(C285&gt;0,D285/C285,NA())</f>
        <v/>
      </c>
    </row>
    <row r="286">
      <c r="A286" t="inlineStr">
        <is>
          <t>Chihuido de la Sierra Negra</t>
        </is>
      </c>
      <c r="B286" t="inlineStr">
        <is>
          <t>2009-03</t>
        </is>
      </c>
      <c r="C286" t="n">
        <v>72227.2</v>
      </c>
      <c r="D286" t="n">
        <v>1146882.1</v>
      </c>
      <c r="E286">
        <f>E285+C286</f>
        <v/>
      </c>
      <c r="F286">
        <f>IF(C286&gt;0,D286/C286,NA())</f>
        <v/>
      </c>
    </row>
    <row r="287">
      <c r="A287" t="inlineStr">
        <is>
          <t>Chihuido de la Sierra Negra</t>
        </is>
      </c>
      <c r="B287" t="inlineStr">
        <is>
          <t>2009-04</t>
        </is>
      </c>
      <c r="C287" t="n">
        <v>69037.10000000001</v>
      </c>
      <c r="D287" t="n">
        <v>1115405</v>
      </c>
      <c r="E287">
        <f>E286+C287</f>
        <v/>
      </c>
      <c r="F287">
        <f>IF(C287&gt;0,D287/C287,NA())</f>
        <v/>
      </c>
    </row>
    <row r="288">
      <c r="A288" t="inlineStr">
        <is>
          <t>Chihuido de la Sierra Negra</t>
        </is>
      </c>
      <c r="B288" t="inlineStr">
        <is>
          <t>2009-05</t>
        </is>
      </c>
      <c r="C288" t="n">
        <v>67038.3</v>
      </c>
      <c r="D288" t="n">
        <v>1127153.5</v>
      </c>
      <c r="E288">
        <f>E287+C288</f>
        <v/>
      </c>
      <c r="F288">
        <f>IF(C288&gt;0,D288/C288,NA())</f>
        <v/>
      </c>
    </row>
    <row r="289">
      <c r="A289" t="inlineStr">
        <is>
          <t>Chihuido de la Sierra Negra</t>
        </is>
      </c>
      <c r="B289" t="inlineStr">
        <is>
          <t>2009-06</t>
        </is>
      </c>
      <c r="C289" t="n">
        <v>65904.3</v>
      </c>
      <c r="D289" t="n">
        <v>1094160.2</v>
      </c>
      <c r="E289">
        <f>E288+C289</f>
        <v/>
      </c>
      <c r="F289">
        <f>IF(C289&gt;0,D289/C289,NA())</f>
        <v/>
      </c>
    </row>
    <row r="290">
      <c r="A290" t="inlineStr">
        <is>
          <t>Chihuido de la Sierra Negra</t>
        </is>
      </c>
      <c r="B290" t="inlineStr">
        <is>
          <t>2009-07</t>
        </is>
      </c>
      <c r="C290" t="n">
        <v>58700.5</v>
      </c>
      <c r="D290" t="n">
        <v>1001558.9</v>
      </c>
      <c r="E290">
        <f>E289+C290</f>
        <v/>
      </c>
      <c r="F290">
        <f>IF(C290&gt;0,D290/C290,NA())</f>
        <v/>
      </c>
    </row>
    <row r="291">
      <c r="A291" t="inlineStr">
        <is>
          <t>Chihuido de la Sierra Negra</t>
        </is>
      </c>
      <c r="B291" t="inlineStr">
        <is>
          <t>2009-08</t>
        </is>
      </c>
      <c r="C291" t="n">
        <v>66386.7</v>
      </c>
      <c r="D291" t="n">
        <v>1111810.6</v>
      </c>
      <c r="E291">
        <f>E290+C291</f>
        <v/>
      </c>
      <c r="F291">
        <f>IF(C291&gt;0,D291/C291,NA())</f>
        <v/>
      </c>
    </row>
    <row r="292">
      <c r="A292" t="inlineStr">
        <is>
          <t>Chihuido de la Sierra Negra</t>
        </is>
      </c>
      <c r="B292" t="inlineStr">
        <is>
          <t>2009-09</t>
        </is>
      </c>
      <c r="C292" t="n">
        <v>61201.3</v>
      </c>
      <c r="D292" t="n">
        <v>1040824.2</v>
      </c>
      <c r="E292">
        <f>E291+C292</f>
        <v/>
      </c>
      <c r="F292">
        <f>IF(C292&gt;0,D292/C292,NA())</f>
        <v/>
      </c>
    </row>
    <row r="293">
      <c r="A293" t="inlineStr">
        <is>
          <t>Chihuido de la Sierra Negra</t>
        </is>
      </c>
      <c r="B293" t="inlineStr">
        <is>
          <t>2009-10</t>
        </is>
      </c>
      <c r="C293" t="n">
        <v>66009.2</v>
      </c>
      <c r="D293" t="n">
        <v>1112381.8</v>
      </c>
      <c r="E293">
        <f>E292+C293</f>
        <v/>
      </c>
      <c r="F293">
        <f>IF(C293&gt;0,D293/C293,NA())</f>
        <v/>
      </c>
    </row>
    <row r="294">
      <c r="A294" t="inlineStr">
        <is>
          <t>Chihuido de la Sierra Negra</t>
        </is>
      </c>
      <c r="B294" t="inlineStr">
        <is>
          <t>2009-11</t>
        </is>
      </c>
      <c r="C294" t="n">
        <v>62715.4</v>
      </c>
      <c r="D294" t="n">
        <v>1081535.2</v>
      </c>
      <c r="E294">
        <f>E293+C294</f>
        <v/>
      </c>
      <c r="F294">
        <f>IF(C294&gt;0,D294/C294,NA())</f>
        <v/>
      </c>
    </row>
    <row r="295">
      <c r="A295" t="inlineStr">
        <is>
          <t>Chihuido de la Sierra Negra</t>
        </is>
      </c>
      <c r="B295" t="inlineStr">
        <is>
          <t>2009-12</t>
        </is>
      </c>
      <c r="C295" t="n">
        <v>64855.1</v>
      </c>
      <c r="D295" t="n">
        <v>1116083.4</v>
      </c>
      <c r="E295">
        <f>E294+C295</f>
        <v/>
      </c>
      <c r="F295">
        <f>IF(C295&gt;0,D295/C295,NA())</f>
        <v/>
      </c>
    </row>
    <row r="296">
      <c r="A296" t="inlineStr">
        <is>
          <t>Chihuido de la Sierra Negra</t>
        </is>
      </c>
      <c r="B296" t="inlineStr">
        <is>
          <t>2010-01</t>
        </is>
      </c>
      <c r="C296" t="n">
        <v>64196.1</v>
      </c>
      <c r="D296" t="n">
        <v>1110996.3</v>
      </c>
      <c r="E296">
        <f>E295+C296</f>
        <v/>
      </c>
      <c r="F296">
        <f>IF(C296&gt;0,D296/C296,NA())</f>
        <v/>
      </c>
    </row>
    <row r="297">
      <c r="A297" t="inlineStr">
        <is>
          <t>Chihuido de la Sierra Negra</t>
        </is>
      </c>
      <c r="B297" t="inlineStr">
        <is>
          <t>2010-02</t>
        </is>
      </c>
      <c r="C297" t="n">
        <v>58209.5</v>
      </c>
      <c r="D297" t="n">
        <v>1016593.1</v>
      </c>
      <c r="E297">
        <f>E296+C297</f>
        <v/>
      </c>
      <c r="F297">
        <f>IF(C297&gt;0,D297/C297,NA())</f>
        <v/>
      </c>
    </row>
    <row r="298">
      <c r="A298" t="inlineStr">
        <is>
          <t>Chihuido de la Sierra Negra</t>
        </is>
      </c>
      <c r="B298" t="inlineStr">
        <is>
          <t>2010-03</t>
        </is>
      </c>
      <c r="C298" t="n">
        <v>62530.1</v>
      </c>
      <c r="D298" t="n">
        <v>1110761.9</v>
      </c>
      <c r="E298">
        <f>E297+C298</f>
        <v/>
      </c>
      <c r="F298">
        <f>IF(C298&gt;0,D298/C298,NA())</f>
        <v/>
      </c>
    </row>
    <row r="299">
      <c r="A299" t="inlineStr">
        <is>
          <t>Chihuido de la Sierra Negra</t>
        </is>
      </c>
      <c r="B299" t="inlineStr">
        <is>
          <t>2010-04</t>
        </is>
      </c>
      <c r="C299" t="n">
        <v>59642.2</v>
      </c>
      <c r="D299" t="n">
        <v>1080697.1</v>
      </c>
      <c r="E299">
        <f>E298+C299</f>
        <v/>
      </c>
      <c r="F299">
        <f>IF(C299&gt;0,D299/C299,NA())</f>
        <v/>
      </c>
    </row>
    <row r="300">
      <c r="A300" t="inlineStr">
        <is>
          <t>Chihuido de la Sierra Negra</t>
        </is>
      </c>
      <c r="B300" t="inlineStr">
        <is>
          <t>2010-05</t>
        </is>
      </c>
      <c r="C300" t="n">
        <v>59915.2</v>
      </c>
      <c r="D300" t="n">
        <v>1123757.8</v>
      </c>
      <c r="E300">
        <f>E299+C300</f>
        <v/>
      </c>
      <c r="F300">
        <f>IF(C300&gt;0,D300/C300,NA())</f>
        <v/>
      </c>
    </row>
    <row r="301">
      <c r="A301" t="inlineStr">
        <is>
          <t>Chihuido de la Sierra Negra</t>
        </is>
      </c>
      <c r="B301" t="inlineStr">
        <is>
          <t>2010-06</t>
        </is>
      </c>
      <c r="C301" t="n">
        <v>58767</v>
      </c>
      <c r="D301" t="n">
        <v>1114122</v>
      </c>
      <c r="E301">
        <f>E300+C301</f>
        <v/>
      </c>
      <c r="F301">
        <f>IF(C301&gt;0,D301/C301,NA())</f>
        <v/>
      </c>
    </row>
    <row r="302">
      <c r="A302" t="inlineStr">
        <is>
          <t>Chihuido de la Sierra Negra</t>
        </is>
      </c>
      <c r="B302" t="inlineStr">
        <is>
          <t>2010-07</t>
        </is>
      </c>
      <c r="C302" t="n">
        <v>60036.3</v>
      </c>
      <c r="D302" t="n">
        <v>1145917.8</v>
      </c>
      <c r="E302">
        <f>E301+C302</f>
        <v/>
      </c>
      <c r="F302">
        <f>IF(C302&gt;0,D302/C302,NA())</f>
        <v/>
      </c>
    </row>
    <row r="303">
      <c r="A303" t="inlineStr">
        <is>
          <t>Chihuido de la Sierra Negra</t>
        </is>
      </c>
      <c r="B303" t="inlineStr">
        <is>
          <t>2010-08</t>
        </is>
      </c>
      <c r="C303" t="n">
        <v>59874.3</v>
      </c>
      <c r="D303" t="n">
        <v>1124682.1</v>
      </c>
      <c r="E303">
        <f>E302+C303</f>
        <v/>
      </c>
      <c r="F303">
        <f>IF(C303&gt;0,D303/C303,NA())</f>
        <v/>
      </c>
    </row>
    <row r="304">
      <c r="A304" t="inlineStr">
        <is>
          <t>Chihuido de la Sierra Negra</t>
        </is>
      </c>
      <c r="B304" t="inlineStr">
        <is>
          <t>2010-09</t>
        </is>
      </c>
      <c r="C304" t="n">
        <v>57907.7</v>
      </c>
      <c r="D304" t="n">
        <v>1100446.5</v>
      </c>
      <c r="E304">
        <f>E303+C304</f>
        <v/>
      </c>
      <c r="F304">
        <f>IF(C304&gt;0,D304/C304,NA())</f>
        <v/>
      </c>
    </row>
    <row r="305">
      <c r="A305" t="inlineStr">
        <is>
          <t>Chihuido de la Sierra Negra</t>
        </is>
      </c>
      <c r="B305" t="inlineStr">
        <is>
          <t>2010-10</t>
        </is>
      </c>
      <c r="C305" t="n">
        <v>59190.8</v>
      </c>
      <c r="D305" t="n">
        <v>1127513.4</v>
      </c>
      <c r="E305">
        <f>E304+C305</f>
        <v/>
      </c>
      <c r="F305">
        <f>IF(C305&gt;0,D305/C305,NA())</f>
        <v/>
      </c>
    </row>
    <row r="306">
      <c r="A306" t="inlineStr">
        <is>
          <t>Chihuido de la Sierra Negra</t>
        </is>
      </c>
      <c r="B306" t="inlineStr">
        <is>
          <t>2010-11</t>
        </is>
      </c>
      <c r="C306" t="n">
        <v>55063.2</v>
      </c>
      <c r="D306" t="n">
        <v>1037452.9</v>
      </c>
      <c r="E306">
        <f>E305+C306</f>
        <v/>
      </c>
      <c r="F306">
        <f>IF(C306&gt;0,D306/C306,NA())</f>
        <v/>
      </c>
    </row>
    <row r="307">
      <c r="A307" t="inlineStr">
        <is>
          <t>Chihuido de la Sierra Negra</t>
        </is>
      </c>
      <c r="B307" t="inlineStr">
        <is>
          <t>2010-12</t>
        </is>
      </c>
      <c r="C307" t="n">
        <v>58958.9</v>
      </c>
      <c r="D307" t="n">
        <v>1100456</v>
      </c>
      <c r="E307">
        <f>E306+C307</f>
        <v/>
      </c>
      <c r="F307">
        <f>IF(C307&gt;0,D307/C307,NA())</f>
        <v/>
      </c>
    </row>
    <row r="308">
      <c r="A308" t="inlineStr">
        <is>
          <t>Chihuido de la Sierra Negra</t>
        </is>
      </c>
      <c r="B308" t="inlineStr">
        <is>
          <t>2011-01</t>
        </is>
      </c>
      <c r="C308" t="n">
        <v>57291.9</v>
      </c>
      <c r="D308" t="n">
        <v>1070064.9</v>
      </c>
      <c r="E308">
        <f>E307+C308</f>
        <v/>
      </c>
      <c r="F308">
        <f>IF(C308&gt;0,D308/C308,NA())</f>
        <v/>
      </c>
    </row>
    <row r="309">
      <c r="A309" t="inlineStr">
        <is>
          <t>Chihuido de la Sierra Negra</t>
        </is>
      </c>
      <c r="B309" t="inlineStr">
        <is>
          <t>2011-02</t>
        </is>
      </c>
      <c r="C309" t="n">
        <v>51829.3</v>
      </c>
      <c r="D309" t="n">
        <v>959376.4</v>
      </c>
      <c r="E309">
        <f>E308+C309</f>
        <v/>
      </c>
      <c r="F309">
        <f>IF(C309&gt;0,D309/C309,NA())</f>
        <v/>
      </c>
    </row>
    <row r="310">
      <c r="A310" t="inlineStr">
        <is>
          <t>Chihuido de la Sierra Negra</t>
        </is>
      </c>
      <c r="B310" t="inlineStr">
        <is>
          <t>2011-03</t>
        </is>
      </c>
      <c r="C310" t="n">
        <v>56468.1</v>
      </c>
      <c r="D310" t="n">
        <v>1063482.4</v>
      </c>
      <c r="E310">
        <f>E309+C310</f>
        <v/>
      </c>
      <c r="F310">
        <f>IF(C310&gt;0,D310/C310,NA())</f>
        <v/>
      </c>
    </row>
    <row r="311">
      <c r="A311" t="inlineStr">
        <is>
          <t>Chihuido de la Sierra Negra</t>
        </is>
      </c>
      <c r="B311" t="inlineStr">
        <is>
          <t>2011-04</t>
        </is>
      </c>
      <c r="C311" t="n">
        <v>53982.1</v>
      </c>
      <c r="D311" t="n">
        <v>1032485.8</v>
      </c>
      <c r="E311">
        <f>E310+C311</f>
        <v/>
      </c>
      <c r="F311">
        <f>IF(C311&gt;0,D311/C311,NA())</f>
        <v/>
      </c>
    </row>
    <row r="312">
      <c r="A312" t="inlineStr">
        <is>
          <t>Chihuido de la Sierra Negra</t>
        </is>
      </c>
      <c r="B312" t="inlineStr">
        <is>
          <t>2011-05</t>
        </is>
      </c>
      <c r="C312" t="n">
        <v>53800.8</v>
      </c>
      <c r="D312" t="n">
        <v>1077651.8</v>
      </c>
      <c r="E312">
        <f>E311+C312</f>
        <v/>
      </c>
      <c r="F312">
        <f>IF(C312&gt;0,D312/C312,NA())</f>
        <v/>
      </c>
    </row>
    <row r="313">
      <c r="A313" t="inlineStr">
        <is>
          <t>Chihuido de la Sierra Negra</t>
        </is>
      </c>
      <c r="B313" t="inlineStr">
        <is>
          <t>2011-06</t>
        </is>
      </c>
      <c r="C313" t="n">
        <v>50891.6</v>
      </c>
      <c r="D313" t="n">
        <v>1051271.3</v>
      </c>
      <c r="E313">
        <f>E312+C313</f>
        <v/>
      </c>
      <c r="F313">
        <f>IF(C313&gt;0,D313/C313,NA())</f>
        <v/>
      </c>
    </row>
    <row r="314">
      <c r="A314" t="inlineStr">
        <is>
          <t>Chihuido de la Sierra Negra</t>
        </is>
      </c>
      <c r="B314" t="inlineStr">
        <is>
          <t>2011-07</t>
        </is>
      </c>
      <c r="C314" t="n">
        <v>51930</v>
      </c>
      <c r="D314" t="n">
        <v>1099091.2</v>
      </c>
      <c r="E314">
        <f>E313+C314</f>
        <v/>
      </c>
      <c r="F314">
        <f>IF(C314&gt;0,D314/C314,NA())</f>
        <v/>
      </c>
    </row>
    <row r="315">
      <c r="A315" t="inlineStr">
        <is>
          <t>Chihuido de la Sierra Negra</t>
        </is>
      </c>
      <c r="B315" t="inlineStr">
        <is>
          <t>2011-08</t>
        </is>
      </c>
      <c r="C315" t="n">
        <v>52977.9</v>
      </c>
      <c r="D315" t="n">
        <v>1104028.3</v>
      </c>
      <c r="E315">
        <f>E314+C315</f>
        <v/>
      </c>
      <c r="F315">
        <f>IF(C315&gt;0,D315/C315,NA())</f>
        <v/>
      </c>
    </row>
    <row r="316">
      <c r="A316" t="inlineStr">
        <is>
          <t>Chihuido de la Sierra Negra</t>
        </is>
      </c>
      <c r="B316" t="inlineStr">
        <is>
          <t>2011-09</t>
        </is>
      </c>
      <c r="C316" t="n">
        <v>52187.6</v>
      </c>
      <c r="D316" t="n">
        <v>1077600.5</v>
      </c>
      <c r="E316">
        <f>E315+C316</f>
        <v/>
      </c>
      <c r="F316">
        <f>IF(C316&gt;0,D316/C316,NA())</f>
        <v/>
      </c>
    </row>
    <row r="317">
      <c r="A317" t="inlineStr">
        <is>
          <t>Chihuido de la Sierra Negra</t>
        </is>
      </c>
      <c r="B317" t="inlineStr">
        <is>
          <t>2011-10</t>
        </is>
      </c>
      <c r="C317" t="n">
        <v>55773.8</v>
      </c>
      <c r="D317" t="n">
        <v>1106642.3</v>
      </c>
      <c r="E317">
        <f>E316+C317</f>
        <v/>
      </c>
      <c r="F317">
        <f>IF(C317&gt;0,D317/C317,NA())</f>
        <v/>
      </c>
    </row>
    <row r="318">
      <c r="A318" t="inlineStr">
        <is>
          <t>Chihuido de la Sierra Negra</t>
        </is>
      </c>
      <c r="B318" t="inlineStr">
        <is>
          <t>2011-11</t>
        </is>
      </c>
      <c r="C318" t="n">
        <v>52871.6</v>
      </c>
      <c r="D318" t="n">
        <v>1066102</v>
      </c>
      <c r="E318">
        <f>E317+C318</f>
        <v/>
      </c>
      <c r="F318">
        <f>IF(C318&gt;0,D318/C318,NA())</f>
        <v/>
      </c>
    </row>
    <row r="319">
      <c r="A319" t="inlineStr">
        <is>
          <t>Chihuido de la Sierra Negra</t>
        </is>
      </c>
      <c r="B319" t="inlineStr">
        <is>
          <t>2011-12</t>
        </is>
      </c>
      <c r="C319" t="n">
        <v>53300.9</v>
      </c>
      <c r="D319" t="n">
        <v>1102019.6</v>
      </c>
      <c r="E319">
        <f>E318+C319</f>
        <v/>
      </c>
      <c r="F319">
        <f>IF(C319&gt;0,D319/C319,NA())</f>
        <v/>
      </c>
    </row>
    <row r="320">
      <c r="A320" t="inlineStr">
        <is>
          <t>Chihuido de la Sierra Negra</t>
        </is>
      </c>
      <c r="B320" t="inlineStr">
        <is>
          <t>2012-01</t>
        </is>
      </c>
      <c r="C320" t="n">
        <v>46721.8</v>
      </c>
      <c r="D320" t="n">
        <v>1017364.3</v>
      </c>
      <c r="E320">
        <f>E319+C320</f>
        <v/>
      </c>
      <c r="F320">
        <f>IF(C320&gt;0,D320/C320,NA())</f>
        <v/>
      </c>
    </row>
    <row r="321">
      <c r="A321" t="inlineStr">
        <is>
          <t>Chihuido de la Sierra Negra</t>
        </is>
      </c>
      <c r="B321" t="inlineStr">
        <is>
          <t>2012-02</t>
        </is>
      </c>
      <c r="C321" t="n">
        <v>47605.3</v>
      </c>
      <c r="D321" t="n">
        <v>1008168.8</v>
      </c>
      <c r="E321">
        <f>E320+C321</f>
        <v/>
      </c>
      <c r="F321">
        <f>IF(C321&gt;0,D321/C321,NA())</f>
        <v/>
      </c>
    </row>
    <row r="322">
      <c r="A322" t="inlineStr">
        <is>
          <t>Chihuido de la Sierra Negra</t>
        </is>
      </c>
      <c r="B322" t="inlineStr">
        <is>
          <t>2012-03</t>
        </is>
      </c>
      <c r="C322" t="n">
        <v>51065.4</v>
      </c>
      <c r="D322" t="n">
        <v>1076130.7</v>
      </c>
      <c r="E322">
        <f>E321+C322</f>
        <v/>
      </c>
      <c r="F322">
        <f>IF(C322&gt;0,D322/C322,NA())</f>
        <v/>
      </c>
    </row>
    <row r="323">
      <c r="A323" t="inlineStr">
        <is>
          <t>Chihuido de la Sierra Negra</t>
        </is>
      </c>
      <c r="B323" t="inlineStr">
        <is>
          <t>2012-04</t>
        </is>
      </c>
      <c r="C323" t="n">
        <v>46447.7</v>
      </c>
      <c r="D323" t="n">
        <v>1007830.6</v>
      </c>
      <c r="E323">
        <f>E322+C323</f>
        <v/>
      </c>
      <c r="F323">
        <f>IF(C323&gt;0,D323/C323,NA())</f>
        <v/>
      </c>
    </row>
    <row r="324">
      <c r="A324" t="inlineStr">
        <is>
          <t>Chihuido de la Sierra Negra</t>
        </is>
      </c>
      <c r="B324" t="inlineStr">
        <is>
          <t>2012-05</t>
        </is>
      </c>
      <c r="C324" t="n">
        <v>49832.2</v>
      </c>
      <c r="D324" t="n">
        <v>1058700</v>
      </c>
      <c r="E324">
        <f>E323+C324</f>
        <v/>
      </c>
      <c r="F324">
        <f>IF(C324&gt;0,D324/C324,NA())</f>
        <v/>
      </c>
    </row>
    <row r="325">
      <c r="A325" t="inlineStr">
        <is>
          <t>Chihuido de la Sierra Negra</t>
        </is>
      </c>
      <c r="B325" t="inlineStr">
        <is>
          <t>2012-06</t>
        </is>
      </c>
      <c r="C325" t="n">
        <v>47591.5</v>
      </c>
      <c r="D325" t="n">
        <v>1020829.6</v>
      </c>
      <c r="E325">
        <f>E324+C325</f>
        <v/>
      </c>
      <c r="F325">
        <f>IF(C325&gt;0,D325/C325,NA())</f>
        <v/>
      </c>
    </row>
    <row r="326">
      <c r="A326" t="inlineStr">
        <is>
          <t>Chihuido de la Sierra Negra</t>
        </is>
      </c>
      <c r="B326" t="inlineStr">
        <is>
          <t>2012-07</t>
        </is>
      </c>
      <c r="C326" t="n">
        <v>47373.1</v>
      </c>
      <c r="D326" t="n">
        <v>1025365</v>
      </c>
      <c r="E326">
        <f>E325+C326</f>
        <v/>
      </c>
      <c r="F326">
        <f>IF(C326&gt;0,D326/C326,NA())</f>
        <v/>
      </c>
    </row>
    <row r="327">
      <c r="A327" t="inlineStr">
        <is>
          <t>Chihuido de la Sierra Negra</t>
        </is>
      </c>
      <c r="B327" t="inlineStr">
        <is>
          <t>2012-08</t>
        </is>
      </c>
      <c r="C327" t="n">
        <v>47719.5</v>
      </c>
      <c r="D327" t="n">
        <v>1019626.5</v>
      </c>
      <c r="E327">
        <f>E326+C327</f>
        <v/>
      </c>
      <c r="F327">
        <f>IF(C327&gt;0,D327/C327,NA())</f>
        <v/>
      </c>
    </row>
    <row r="328">
      <c r="A328" t="inlineStr">
        <is>
          <t>Chihuido de la Sierra Negra</t>
        </is>
      </c>
      <c r="B328" t="inlineStr">
        <is>
          <t>2012-09</t>
        </is>
      </c>
      <c r="C328" t="n">
        <v>45914.5</v>
      </c>
      <c r="D328" t="n">
        <v>981895.4</v>
      </c>
      <c r="E328">
        <f>E327+C328</f>
        <v/>
      </c>
      <c r="F328">
        <f>IF(C328&gt;0,D328/C328,NA())</f>
        <v/>
      </c>
    </row>
    <row r="329">
      <c r="A329" t="inlineStr">
        <is>
          <t>Chihuido de la Sierra Negra</t>
        </is>
      </c>
      <c r="B329" t="inlineStr">
        <is>
          <t>2012-10</t>
        </is>
      </c>
      <c r="C329" t="n">
        <v>47924.3</v>
      </c>
      <c r="D329" t="n">
        <v>1044174.2</v>
      </c>
      <c r="E329">
        <f>E328+C329</f>
        <v/>
      </c>
      <c r="F329">
        <f>IF(C329&gt;0,D329/C329,NA())</f>
        <v/>
      </c>
    </row>
    <row r="330">
      <c r="A330" t="inlineStr">
        <is>
          <t>Chihuido de la Sierra Negra</t>
        </is>
      </c>
      <c r="B330" t="inlineStr">
        <is>
          <t>2012-11</t>
        </is>
      </c>
      <c r="C330" t="n">
        <v>41249.6</v>
      </c>
      <c r="D330" t="n">
        <v>924908.3</v>
      </c>
      <c r="E330">
        <f>E329+C330</f>
        <v/>
      </c>
      <c r="F330">
        <f>IF(C330&gt;0,D330/C330,NA())</f>
        <v/>
      </c>
    </row>
    <row r="331">
      <c r="A331" t="inlineStr">
        <is>
          <t>Chihuido de la Sierra Negra</t>
        </is>
      </c>
      <c r="B331" t="inlineStr">
        <is>
          <t>2012-12</t>
        </is>
      </c>
      <c r="C331" t="n">
        <v>46707.4</v>
      </c>
      <c r="D331" t="n">
        <v>1027853.5</v>
      </c>
      <c r="E331">
        <f>E330+C331</f>
        <v/>
      </c>
      <c r="F331">
        <f>IF(C331&gt;0,D331/C331,NA())</f>
        <v/>
      </c>
    </row>
    <row r="332">
      <c r="A332" t="inlineStr">
        <is>
          <t>Chihuido de la Sierra Negra</t>
        </is>
      </c>
      <c r="B332" t="inlineStr">
        <is>
          <t>2013-01</t>
        </is>
      </c>
      <c r="C332" t="n">
        <v>45841.4</v>
      </c>
      <c r="D332" t="n">
        <v>1020989.4</v>
      </c>
      <c r="E332">
        <f>E331+C332</f>
        <v/>
      </c>
      <c r="F332">
        <f>IF(C332&gt;0,D332/C332,NA())</f>
        <v/>
      </c>
    </row>
    <row r="333">
      <c r="A333" t="inlineStr">
        <is>
          <t>Chihuido de la Sierra Negra</t>
        </is>
      </c>
      <c r="B333" t="inlineStr">
        <is>
          <t>2013-02</t>
        </is>
      </c>
      <c r="C333" t="n">
        <v>41781.4</v>
      </c>
      <c r="D333" t="n">
        <v>944821.5</v>
      </c>
      <c r="E333">
        <f>E332+C333</f>
        <v/>
      </c>
      <c r="F333">
        <f>IF(C333&gt;0,D333/C333,NA())</f>
        <v/>
      </c>
    </row>
    <row r="334">
      <c r="A334" t="inlineStr">
        <is>
          <t>Chihuido de la Sierra Negra</t>
        </is>
      </c>
      <c r="B334" t="inlineStr">
        <is>
          <t>2013-03</t>
        </is>
      </c>
      <c r="C334" t="n">
        <v>46004.5</v>
      </c>
      <c r="D334" t="n">
        <v>1003797.3</v>
      </c>
      <c r="E334">
        <f>E333+C334</f>
        <v/>
      </c>
      <c r="F334">
        <f>IF(C334&gt;0,D334/C334,NA())</f>
        <v/>
      </c>
    </row>
    <row r="335">
      <c r="A335" t="inlineStr">
        <is>
          <t>Chihuido de la Sierra Negra</t>
        </is>
      </c>
      <c r="B335" t="inlineStr">
        <is>
          <t>2013-04</t>
        </is>
      </c>
      <c r="C335" t="n">
        <v>44563.7</v>
      </c>
      <c r="D335" t="n">
        <v>969097.3</v>
      </c>
      <c r="E335">
        <f>E334+C335</f>
        <v/>
      </c>
      <c r="F335">
        <f>IF(C335&gt;0,D335/C335,NA())</f>
        <v/>
      </c>
    </row>
    <row r="336">
      <c r="A336" t="inlineStr">
        <is>
          <t>Chihuido de la Sierra Negra</t>
        </is>
      </c>
      <c r="B336" t="inlineStr">
        <is>
          <t>2013-05</t>
        </is>
      </c>
      <c r="C336" t="n">
        <v>47333.2</v>
      </c>
      <c r="D336" t="n">
        <v>1025684.8</v>
      </c>
      <c r="E336">
        <f>E335+C336</f>
        <v/>
      </c>
      <c r="F336">
        <f>IF(C336&gt;0,D336/C336,NA())</f>
        <v/>
      </c>
    </row>
    <row r="337">
      <c r="A337" t="inlineStr">
        <is>
          <t>Chihuido de la Sierra Negra</t>
        </is>
      </c>
      <c r="B337" t="inlineStr">
        <is>
          <t>2013-06</t>
        </is>
      </c>
      <c r="C337" t="n">
        <v>41866.8</v>
      </c>
      <c r="D337" t="n">
        <v>935830</v>
      </c>
      <c r="E337">
        <f>E336+C337</f>
        <v/>
      </c>
      <c r="F337">
        <f>IF(C337&gt;0,D337/C337,NA())</f>
        <v/>
      </c>
    </row>
    <row r="338">
      <c r="A338" t="inlineStr">
        <is>
          <t>Chihuido de la Sierra Negra</t>
        </is>
      </c>
      <c r="B338" t="inlineStr">
        <is>
          <t>2013-07</t>
        </is>
      </c>
      <c r="C338" t="n">
        <v>46447.4</v>
      </c>
      <c r="D338" t="n">
        <v>998133.2</v>
      </c>
      <c r="E338">
        <f>E337+C338</f>
        <v/>
      </c>
      <c r="F338">
        <f>IF(C338&gt;0,D338/C338,NA())</f>
        <v/>
      </c>
    </row>
    <row r="339">
      <c r="A339" t="inlineStr">
        <is>
          <t>Chihuido de la Sierra Negra</t>
        </is>
      </c>
      <c r="B339" t="inlineStr">
        <is>
          <t>2013-08</t>
        </is>
      </c>
      <c r="C339" t="n">
        <v>39359.9</v>
      </c>
      <c r="D339" t="n">
        <v>849936.4</v>
      </c>
      <c r="E339">
        <f>E338+C339</f>
        <v/>
      </c>
      <c r="F339">
        <f>IF(C339&gt;0,D339/C339,NA())</f>
        <v/>
      </c>
    </row>
    <row r="340">
      <c r="A340" t="inlineStr">
        <is>
          <t>Chihuido de la Sierra Negra</t>
        </is>
      </c>
      <c r="B340" t="inlineStr">
        <is>
          <t>2013-09</t>
        </is>
      </c>
      <c r="C340" t="n">
        <v>44406.9</v>
      </c>
      <c r="D340" t="n">
        <v>969252.8</v>
      </c>
      <c r="E340">
        <f>E339+C340</f>
        <v/>
      </c>
      <c r="F340">
        <f>IF(C340&gt;0,D340/C340,NA())</f>
        <v/>
      </c>
    </row>
    <row r="341">
      <c r="A341" t="inlineStr">
        <is>
          <t>Chihuido de la Sierra Negra</t>
        </is>
      </c>
      <c r="B341" t="inlineStr">
        <is>
          <t>2013-10</t>
        </is>
      </c>
      <c r="C341" t="n">
        <v>45317.3</v>
      </c>
      <c r="D341" t="n">
        <v>971731.5</v>
      </c>
      <c r="E341">
        <f>E340+C341</f>
        <v/>
      </c>
      <c r="F341">
        <f>IF(C341&gt;0,D341/C341,NA())</f>
        <v/>
      </c>
    </row>
    <row r="342">
      <c r="A342" t="inlineStr">
        <is>
          <t>Chihuido de la Sierra Negra</t>
        </is>
      </c>
      <c r="B342" t="inlineStr">
        <is>
          <t>2013-11</t>
        </is>
      </c>
      <c r="C342" t="n">
        <v>41444.4</v>
      </c>
      <c r="D342" t="n">
        <v>899645.7</v>
      </c>
      <c r="E342">
        <f>E341+C342</f>
        <v/>
      </c>
      <c r="F342">
        <f>IF(C342&gt;0,D342/C342,NA())</f>
        <v/>
      </c>
    </row>
    <row r="343">
      <c r="A343" t="inlineStr">
        <is>
          <t>Chihuido de la Sierra Negra</t>
        </is>
      </c>
      <c r="B343" t="inlineStr">
        <is>
          <t>2013-12</t>
        </is>
      </c>
      <c r="C343" t="n">
        <v>42948.6</v>
      </c>
      <c r="D343" t="n">
        <v>966033.6</v>
      </c>
      <c r="E343">
        <f>E342+C343</f>
        <v/>
      </c>
      <c r="F343">
        <f>IF(C343&gt;0,D343/C343,NA())</f>
        <v/>
      </c>
    </row>
    <row r="344">
      <c r="A344" t="inlineStr">
        <is>
          <t>Chihuido de la Sierra Negra</t>
        </is>
      </c>
      <c r="B344" t="inlineStr">
        <is>
          <t>2014-01</t>
        </is>
      </c>
      <c r="C344" t="n">
        <v>42592.9</v>
      </c>
      <c r="D344" t="n">
        <v>969250.8</v>
      </c>
      <c r="E344">
        <f>E343+C344</f>
        <v/>
      </c>
      <c r="F344">
        <f>IF(C344&gt;0,D344/C344,NA())</f>
        <v/>
      </c>
    </row>
    <row r="345">
      <c r="A345" t="inlineStr">
        <is>
          <t>Chihuido de la Sierra Negra</t>
        </is>
      </c>
      <c r="B345" t="inlineStr">
        <is>
          <t>2014-02</t>
        </is>
      </c>
      <c r="C345" t="n">
        <v>37906.2</v>
      </c>
      <c r="D345" t="n">
        <v>874668.9</v>
      </c>
      <c r="E345">
        <f>E344+C345</f>
        <v/>
      </c>
      <c r="F345">
        <f>IF(C345&gt;0,D345/C345,NA())</f>
        <v/>
      </c>
    </row>
    <row r="346">
      <c r="A346" t="inlineStr">
        <is>
          <t>Chihuido de la Sierra Negra</t>
        </is>
      </c>
      <c r="B346" t="inlineStr">
        <is>
          <t>2014-03</t>
        </is>
      </c>
      <c r="C346" t="n">
        <v>41645.9</v>
      </c>
      <c r="D346" t="n">
        <v>956603.9</v>
      </c>
      <c r="E346">
        <f>E345+C346</f>
        <v/>
      </c>
      <c r="F346">
        <f>IF(C346&gt;0,D346/C346,NA())</f>
        <v/>
      </c>
    </row>
    <row r="347">
      <c r="A347" t="inlineStr">
        <is>
          <t>Chihuido de la Sierra Negra</t>
        </is>
      </c>
      <c r="B347" t="inlineStr">
        <is>
          <t>2014-04</t>
        </is>
      </c>
      <c r="C347" t="n">
        <v>35355.1</v>
      </c>
      <c r="D347" t="n">
        <v>817710.6</v>
      </c>
      <c r="E347">
        <f>E346+C347</f>
        <v/>
      </c>
      <c r="F347">
        <f>IF(C347&gt;0,D347/C347,NA())</f>
        <v/>
      </c>
    </row>
    <row r="348">
      <c r="A348" t="inlineStr">
        <is>
          <t>Chihuido de la Sierra Negra</t>
        </is>
      </c>
      <c r="B348" t="inlineStr">
        <is>
          <t>2014-05</t>
        </is>
      </c>
      <c r="C348" t="n">
        <v>41609.2</v>
      </c>
      <c r="D348" t="n">
        <v>925396.2</v>
      </c>
      <c r="E348">
        <f>E347+C348</f>
        <v/>
      </c>
      <c r="F348">
        <f>IF(C348&gt;0,D348/C348,NA())</f>
        <v/>
      </c>
    </row>
    <row r="349">
      <c r="A349" t="inlineStr">
        <is>
          <t>Chihuido de la Sierra Negra</t>
        </is>
      </c>
      <c r="B349" t="inlineStr">
        <is>
          <t>2014-06</t>
        </is>
      </c>
      <c r="C349" t="n">
        <v>39864.1</v>
      </c>
      <c r="D349" t="n">
        <v>892034.4</v>
      </c>
      <c r="E349">
        <f>E348+C349</f>
        <v/>
      </c>
      <c r="F349">
        <f>IF(C349&gt;0,D349/C349,NA())</f>
        <v/>
      </c>
    </row>
    <row r="350">
      <c r="A350" t="inlineStr">
        <is>
          <t>Chihuido de la Sierra Negra</t>
        </is>
      </c>
      <c r="B350" t="inlineStr">
        <is>
          <t>2014-07</t>
        </is>
      </c>
      <c r="C350" t="n">
        <v>39387</v>
      </c>
      <c r="D350" t="n">
        <v>893642.9</v>
      </c>
      <c r="E350">
        <f>E349+C350</f>
        <v/>
      </c>
      <c r="F350">
        <f>IF(C350&gt;0,D350/C350,NA())</f>
        <v/>
      </c>
    </row>
    <row r="351">
      <c r="A351" t="inlineStr">
        <is>
          <t>Chihuido de la Sierra Negra</t>
        </is>
      </c>
      <c r="B351" t="inlineStr">
        <is>
          <t>2014-08</t>
        </is>
      </c>
      <c r="C351" t="n">
        <v>37931.7</v>
      </c>
      <c r="D351" t="n">
        <v>903908.8</v>
      </c>
      <c r="E351">
        <f>E350+C351</f>
        <v/>
      </c>
      <c r="F351">
        <f>IF(C351&gt;0,D351/C351,NA())</f>
        <v/>
      </c>
    </row>
    <row r="352">
      <c r="A352" t="inlineStr">
        <is>
          <t>Chihuido de la Sierra Negra</t>
        </is>
      </c>
      <c r="B352" t="inlineStr">
        <is>
          <t>2014-09</t>
        </is>
      </c>
      <c r="C352" t="n">
        <v>40523.8</v>
      </c>
      <c r="D352" t="n">
        <v>951507.3</v>
      </c>
      <c r="E352">
        <f>E351+C352</f>
        <v/>
      </c>
      <c r="F352">
        <f>IF(C352&gt;0,D352/C352,NA())</f>
        <v/>
      </c>
    </row>
    <row r="353">
      <c r="A353" t="inlineStr">
        <is>
          <t>Chihuido de la Sierra Negra</t>
        </is>
      </c>
      <c r="B353" t="inlineStr">
        <is>
          <t>2014-10</t>
        </is>
      </c>
      <c r="C353" t="n">
        <v>41507.9</v>
      </c>
      <c r="D353" t="n">
        <v>984835.6</v>
      </c>
      <c r="E353">
        <f>E352+C353</f>
        <v/>
      </c>
      <c r="F353">
        <f>IF(C353&gt;0,D353/C353,NA())</f>
        <v/>
      </c>
    </row>
    <row r="354">
      <c r="A354" t="inlineStr">
        <is>
          <t>Chihuido de la Sierra Negra</t>
        </is>
      </c>
      <c r="B354" t="inlineStr">
        <is>
          <t>2014-11</t>
        </is>
      </c>
      <c r="C354" t="n">
        <v>39574.9</v>
      </c>
      <c r="D354" t="n">
        <v>938187.6</v>
      </c>
      <c r="E354">
        <f>E353+C354</f>
        <v/>
      </c>
      <c r="F354">
        <f>IF(C354&gt;0,D354/C354,NA())</f>
        <v/>
      </c>
    </row>
    <row r="355">
      <c r="A355" t="inlineStr">
        <is>
          <t>Chihuido de la Sierra Negra</t>
        </is>
      </c>
      <c r="B355" t="inlineStr">
        <is>
          <t>2014-12</t>
        </is>
      </c>
      <c r="C355" t="n">
        <v>38424.7</v>
      </c>
      <c r="D355" t="n">
        <v>950164.9</v>
      </c>
      <c r="E355">
        <f>E354+C355</f>
        <v/>
      </c>
      <c r="F355">
        <f>IF(C355&gt;0,D355/C355,NA())</f>
        <v/>
      </c>
    </row>
    <row r="356">
      <c r="A356" t="inlineStr">
        <is>
          <t>Chihuido de la Sierra Negra</t>
        </is>
      </c>
      <c r="B356" t="inlineStr">
        <is>
          <t>2015-01</t>
        </is>
      </c>
      <c r="C356" t="n">
        <v>39889.4</v>
      </c>
      <c r="D356" t="n">
        <v>975408.3</v>
      </c>
      <c r="E356">
        <f>E355+C356</f>
        <v/>
      </c>
      <c r="F356">
        <f>IF(C356&gt;0,D356/C356,NA())</f>
        <v/>
      </c>
    </row>
    <row r="357">
      <c r="A357" t="inlineStr">
        <is>
          <t>Chihuido de la Sierra Negra</t>
        </is>
      </c>
      <c r="B357" t="inlineStr">
        <is>
          <t>2015-02</t>
        </is>
      </c>
      <c r="C357" t="n">
        <v>34552.8</v>
      </c>
      <c r="D357" t="n">
        <v>855076.8</v>
      </c>
      <c r="E357">
        <f>E356+C357</f>
        <v/>
      </c>
      <c r="F357">
        <f>IF(C357&gt;0,D357/C357,NA())</f>
        <v/>
      </c>
    </row>
    <row r="358">
      <c r="A358" t="inlineStr">
        <is>
          <t>Chihuido de la Sierra Negra</t>
        </is>
      </c>
      <c r="B358" t="inlineStr">
        <is>
          <t>2015-03</t>
        </is>
      </c>
      <c r="C358" t="n">
        <v>39882.7</v>
      </c>
      <c r="D358" t="n">
        <v>968492.7</v>
      </c>
      <c r="E358">
        <f>E357+C358</f>
        <v/>
      </c>
      <c r="F358">
        <f>IF(C358&gt;0,D358/C358,NA())</f>
        <v/>
      </c>
    </row>
    <row r="359">
      <c r="A359" t="inlineStr">
        <is>
          <t>Chihuido de la Sierra Negra</t>
        </is>
      </c>
      <c r="B359" t="inlineStr">
        <is>
          <t>2015-04</t>
        </is>
      </c>
      <c r="C359" t="n">
        <v>38104.2</v>
      </c>
      <c r="D359" t="n">
        <v>939790.5</v>
      </c>
      <c r="E359">
        <f>E358+C359</f>
        <v/>
      </c>
      <c r="F359">
        <f>IF(C359&gt;0,D359/C359,NA())</f>
        <v/>
      </c>
    </row>
    <row r="360">
      <c r="A360" t="inlineStr">
        <is>
          <t>Chihuido de la Sierra Negra</t>
        </is>
      </c>
      <c r="B360" t="inlineStr">
        <is>
          <t>2015-05</t>
        </is>
      </c>
      <c r="C360" t="n">
        <v>39062.1</v>
      </c>
      <c r="D360" t="n">
        <v>990107.3</v>
      </c>
      <c r="E360">
        <f>E359+C360</f>
        <v/>
      </c>
      <c r="F360">
        <f>IF(C360&gt;0,D360/C360,NA())</f>
        <v/>
      </c>
    </row>
    <row r="361">
      <c r="A361" t="inlineStr">
        <is>
          <t>Chihuido de la Sierra Negra</t>
        </is>
      </c>
      <c r="B361" t="inlineStr">
        <is>
          <t>2015-06</t>
        </is>
      </c>
      <c r="C361" t="n">
        <v>37214</v>
      </c>
      <c r="D361" t="n">
        <v>975676.7</v>
      </c>
      <c r="E361">
        <f>E360+C361</f>
        <v/>
      </c>
      <c r="F361">
        <f>IF(C361&gt;0,D361/C361,NA())</f>
        <v/>
      </c>
    </row>
    <row r="362">
      <c r="A362" t="inlineStr">
        <is>
          <t>Chihuido de la Sierra Negra</t>
        </is>
      </c>
      <c r="B362" t="inlineStr">
        <is>
          <t>2015-07</t>
        </is>
      </c>
      <c r="C362" t="n">
        <v>38562.3</v>
      </c>
      <c r="D362" t="n">
        <v>1009334.7</v>
      </c>
      <c r="E362">
        <f>E361+C362</f>
        <v/>
      </c>
      <c r="F362">
        <f>IF(C362&gt;0,D362/C362,NA())</f>
        <v/>
      </c>
    </row>
    <row r="363">
      <c r="A363" t="inlineStr">
        <is>
          <t>Chihuido de la Sierra Negra</t>
        </is>
      </c>
      <c r="B363" t="inlineStr">
        <is>
          <t>2015-08</t>
        </is>
      </c>
      <c r="C363" t="n">
        <v>37944.1</v>
      </c>
      <c r="D363" t="n">
        <v>1014340.6</v>
      </c>
      <c r="E363">
        <f>E362+C363</f>
        <v/>
      </c>
      <c r="F363">
        <f>IF(C363&gt;0,D363/C363,NA())</f>
        <v/>
      </c>
    </row>
    <row r="364">
      <c r="A364" t="inlineStr">
        <is>
          <t>Chihuido de la Sierra Negra</t>
        </is>
      </c>
      <c r="B364" t="inlineStr">
        <is>
          <t>2015-09</t>
        </is>
      </c>
      <c r="C364" t="n">
        <v>36741.9</v>
      </c>
      <c r="D364" t="n">
        <v>973010.5</v>
      </c>
      <c r="E364">
        <f>E363+C364</f>
        <v/>
      </c>
      <c r="F364">
        <f>IF(C364&gt;0,D364/C364,NA())</f>
        <v/>
      </c>
    </row>
    <row r="365">
      <c r="A365" t="inlineStr">
        <is>
          <t>Chihuido de la Sierra Negra</t>
        </is>
      </c>
      <c r="B365" t="inlineStr">
        <is>
          <t>2015-10</t>
        </is>
      </c>
      <c r="C365" t="n">
        <v>37572.6</v>
      </c>
      <c r="D365" t="n">
        <v>969098.9</v>
      </c>
      <c r="E365">
        <f>E364+C365</f>
        <v/>
      </c>
      <c r="F365">
        <f>IF(C365&gt;0,D365/C365,NA())</f>
        <v/>
      </c>
    </row>
    <row r="366">
      <c r="A366" t="inlineStr">
        <is>
          <t>Chihuido de la Sierra Negra</t>
        </is>
      </c>
      <c r="B366" t="inlineStr">
        <is>
          <t>2015-11</t>
        </is>
      </c>
      <c r="C366" t="n">
        <v>34507.6</v>
      </c>
      <c r="D366" t="n">
        <v>925302.8</v>
      </c>
      <c r="E366">
        <f>E365+C366</f>
        <v/>
      </c>
      <c r="F366">
        <f>IF(C366&gt;0,D366/C366,NA())</f>
        <v/>
      </c>
    </row>
    <row r="367">
      <c r="A367" t="inlineStr">
        <is>
          <t>Chihuido de la Sierra Negra</t>
        </is>
      </c>
      <c r="B367" t="inlineStr">
        <is>
          <t>2015-12</t>
        </is>
      </c>
      <c r="C367" t="n">
        <v>37036.5</v>
      </c>
      <c r="D367" t="n">
        <v>1001419.3</v>
      </c>
      <c r="E367">
        <f>E366+C367</f>
        <v/>
      </c>
      <c r="F367">
        <f>IF(C367&gt;0,D367/C367,NA())</f>
        <v/>
      </c>
    </row>
    <row r="368">
      <c r="A368" t="inlineStr">
        <is>
          <t>Chihuido de la Sierra Negra</t>
        </is>
      </c>
      <c r="B368" t="inlineStr">
        <is>
          <t>2016-01</t>
        </is>
      </c>
      <c r="C368" t="n">
        <v>36475.7</v>
      </c>
      <c r="D368" t="n">
        <v>992711.9</v>
      </c>
      <c r="E368">
        <f>E367+C368</f>
        <v/>
      </c>
      <c r="F368">
        <f>IF(C368&gt;0,D368/C368,NA())</f>
        <v/>
      </c>
    </row>
    <row r="369">
      <c r="A369" t="inlineStr">
        <is>
          <t>Chihuido de la Sierra Negra</t>
        </is>
      </c>
      <c r="B369" t="inlineStr">
        <is>
          <t>2016-02</t>
        </is>
      </c>
      <c r="C369" t="n">
        <v>33188.7</v>
      </c>
      <c r="D369" t="n">
        <v>910320.4</v>
      </c>
      <c r="E369">
        <f>E368+C369</f>
        <v/>
      </c>
      <c r="F369">
        <f>IF(C369&gt;0,D369/C369,NA())</f>
        <v/>
      </c>
    </row>
    <row r="370">
      <c r="A370" t="inlineStr">
        <is>
          <t>Chihuido de la Sierra Negra</t>
        </is>
      </c>
      <c r="B370" t="inlineStr">
        <is>
          <t>2016-03</t>
        </is>
      </c>
      <c r="C370" t="n">
        <v>37218.9</v>
      </c>
      <c r="D370" t="n">
        <v>1017398.9</v>
      </c>
      <c r="E370">
        <f>E369+C370</f>
        <v/>
      </c>
      <c r="F370">
        <f>IF(C370&gt;0,D370/C370,NA())</f>
        <v/>
      </c>
    </row>
    <row r="371">
      <c r="A371" t="inlineStr">
        <is>
          <t>Chihuido de la Sierra Negra</t>
        </is>
      </c>
      <c r="B371" t="inlineStr">
        <is>
          <t>2016-04</t>
        </is>
      </c>
      <c r="C371" t="n">
        <v>34895.6</v>
      </c>
      <c r="D371" t="n">
        <v>961655.4</v>
      </c>
      <c r="E371">
        <f>E370+C371</f>
        <v/>
      </c>
      <c r="F371">
        <f>IF(C371&gt;0,D371/C371,NA())</f>
        <v/>
      </c>
    </row>
    <row r="372">
      <c r="A372" t="inlineStr">
        <is>
          <t>Chihuido de la Sierra Negra</t>
        </is>
      </c>
      <c r="B372" t="inlineStr">
        <is>
          <t>2016-05</t>
        </is>
      </c>
      <c r="C372" t="n">
        <v>35400.6</v>
      </c>
      <c r="D372" t="n">
        <v>979393</v>
      </c>
      <c r="E372">
        <f>E371+C372</f>
        <v/>
      </c>
      <c r="F372">
        <f>IF(C372&gt;0,D372/C372,NA())</f>
        <v/>
      </c>
    </row>
    <row r="373">
      <c r="A373" t="inlineStr">
        <is>
          <t>Chihuido de la Sierra Negra</t>
        </is>
      </c>
      <c r="B373" t="inlineStr">
        <is>
          <t>2016-06</t>
        </is>
      </c>
      <c r="C373" t="n">
        <v>32063</v>
      </c>
      <c r="D373" t="n">
        <v>911210.2</v>
      </c>
      <c r="E373">
        <f>E372+C373</f>
        <v/>
      </c>
      <c r="F373">
        <f>IF(C373&gt;0,D373/C373,NA())</f>
        <v/>
      </c>
    </row>
    <row r="374">
      <c r="A374" t="inlineStr">
        <is>
          <t>Chihuido de la Sierra Negra</t>
        </is>
      </c>
      <c r="B374" t="inlineStr">
        <is>
          <t>2016-07</t>
        </is>
      </c>
      <c r="C374" t="n">
        <v>34225.7</v>
      </c>
      <c r="D374" t="n">
        <v>984593.1</v>
      </c>
      <c r="E374">
        <f>E373+C374</f>
        <v/>
      </c>
      <c r="F374">
        <f>IF(C374&gt;0,D374/C374,NA())</f>
        <v/>
      </c>
    </row>
    <row r="375">
      <c r="A375" t="inlineStr">
        <is>
          <t>Chihuido de la Sierra Negra</t>
        </is>
      </c>
      <c r="B375" t="inlineStr">
        <is>
          <t>2016-08</t>
        </is>
      </c>
      <c r="C375" t="n">
        <v>33330.1</v>
      </c>
      <c r="D375" t="n">
        <v>940364.1</v>
      </c>
      <c r="E375">
        <f>E374+C375</f>
        <v/>
      </c>
      <c r="F375">
        <f>IF(C375&gt;0,D375/C375,NA())</f>
        <v/>
      </c>
    </row>
    <row r="376">
      <c r="A376" t="inlineStr">
        <is>
          <t>Chihuido de la Sierra Negra</t>
        </is>
      </c>
      <c r="B376" t="inlineStr">
        <is>
          <t>2016-09</t>
        </is>
      </c>
      <c r="C376" t="n">
        <v>31276.8</v>
      </c>
      <c r="D376" t="n">
        <v>834861.2</v>
      </c>
      <c r="E376">
        <f>E375+C376</f>
        <v/>
      </c>
      <c r="F376">
        <f>IF(C376&gt;0,D376/C376,NA())</f>
        <v/>
      </c>
    </row>
    <row r="377">
      <c r="A377" t="inlineStr">
        <is>
          <t>Chihuido de la Sierra Negra</t>
        </is>
      </c>
      <c r="B377" t="inlineStr">
        <is>
          <t>2016-10</t>
        </is>
      </c>
      <c r="C377" t="n">
        <v>32350.3</v>
      </c>
      <c r="D377" t="n">
        <v>853654.9</v>
      </c>
      <c r="E377">
        <f>E376+C377</f>
        <v/>
      </c>
      <c r="F377">
        <f>IF(C377&gt;0,D377/C377,NA())</f>
        <v/>
      </c>
    </row>
    <row r="378">
      <c r="A378" t="inlineStr">
        <is>
          <t>Chihuido de la Sierra Negra</t>
        </is>
      </c>
      <c r="B378" t="inlineStr">
        <is>
          <t>2016-11</t>
        </is>
      </c>
      <c r="C378" t="n">
        <v>30614.6</v>
      </c>
      <c r="D378" t="n">
        <v>803540.9</v>
      </c>
      <c r="E378">
        <f>E377+C378</f>
        <v/>
      </c>
      <c r="F378">
        <f>IF(C378&gt;0,D378/C378,NA())</f>
        <v/>
      </c>
    </row>
    <row r="379">
      <c r="A379" t="inlineStr">
        <is>
          <t>Chihuido de la Sierra Negra</t>
        </is>
      </c>
      <c r="B379" t="inlineStr">
        <is>
          <t>2016-12</t>
        </is>
      </c>
      <c r="C379" t="n">
        <v>29030.4</v>
      </c>
      <c r="D379" t="n">
        <v>750244</v>
      </c>
      <c r="E379">
        <f>E378+C379</f>
        <v/>
      </c>
      <c r="F379">
        <f>IF(C379&gt;0,D379/C379,NA())</f>
        <v/>
      </c>
    </row>
    <row r="380">
      <c r="A380" t="inlineStr">
        <is>
          <t>Chihuido de la Sierra Negra</t>
        </is>
      </c>
      <c r="B380" t="inlineStr">
        <is>
          <t>2017-01</t>
        </is>
      </c>
      <c r="C380" t="n">
        <v>29030.2</v>
      </c>
      <c r="D380" t="n">
        <v>762019.4</v>
      </c>
      <c r="E380">
        <f>E379+C380</f>
        <v/>
      </c>
      <c r="F380">
        <f>IF(C380&gt;0,D380/C380,NA())</f>
        <v/>
      </c>
    </row>
    <row r="381">
      <c r="A381" t="inlineStr">
        <is>
          <t>Chihuido de la Sierra Negra</t>
        </is>
      </c>
      <c r="B381" t="inlineStr">
        <is>
          <t>2017-02</t>
        </is>
      </c>
      <c r="C381" t="n">
        <v>23559.2</v>
      </c>
      <c r="D381" t="n">
        <v>650921.7</v>
      </c>
      <c r="E381">
        <f>E380+C381</f>
        <v/>
      </c>
      <c r="F381">
        <f>IF(C381&gt;0,D381/C381,NA())</f>
        <v/>
      </c>
    </row>
    <row r="382">
      <c r="A382" t="inlineStr">
        <is>
          <t>Chihuido de la Sierra Negra</t>
        </is>
      </c>
      <c r="B382" t="inlineStr">
        <is>
          <t>2017-03</t>
        </is>
      </c>
      <c r="C382" t="n">
        <v>27785.9</v>
      </c>
      <c r="D382" t="n">
        <v>773017</v>
      </c>
      <c r="E382">
        <f>E381+C382</f>
        <v/>
      </c>
      <c r="F382">
        <f>IF(C382&gt;0,D382/C382,NA())</f>
        <v/>
      </c>
    </row>
    <row r="383">
      <c r="A383" t="inlineStr">
        <is>
          <t>Chihuido de la Sierra Negra</t>
        </is>
      </c>
      <c r="B383" t="inlineStr">
        <is>
          <t>2017-04</t>
        </is>
      </c>
      <c r="C383" t="n">
        <v>23884</v>
      </c>
      <c r="D383" t="n">
        <v>665501.7</v>
      </c>
      <c r="E383">
        <f>E382+C383</f>
        <v/>
      </c>
      <c r="F383">
        <f>IF(C383&gt;0,D383/C383,NA())</f>
        <v/>
      </c>
    </row>
    <row r="384">
      <c r="A384" t="inlineStr">
        <is>
          <t>Chihuido de la Sierra Negra</t>
        </is>
      </c>
      <c r="B384" t="inlineStr">
        <is>
          <t>2017-05</t>
        </is>
      </c>
      <c r="C384" t="n">
        <v>24593.5</v>
      </c>
      <c r="D384" t="n">
        <v>701333</v>
      </c>
      <c r="E384">
        <f>E383+C384</f>
        <v/>
      </c>
      <c r="F384">
        <f>IF(C384&gt;0,D384/C384,NA())</f>
        <v/>
      </c>
    </row>
    <row r="385">
      <c r="A385" t="inlineStr">
        <is>
          <t>Chihuido de la Sierra Negra</t>
        </is>
      </c>
      <c r="B385" t="inlineStr">
        <is>
          <t>2017-06</t>
        </is>
      </c>
      <c r="C385" t="n">
        <v>27192</v>
      </c>
      <c r="D385" t="n">
        <v>749351.9</v>
      </c>
      <c r="E385">
        <f>E384+C385</f>
        <v/>
      </c>
      <c r="F385">
        <f>IF(C385&gt;0,D385/C385,NA())</f>
        <v/>
      </c>
    </row>
    <row r="386">
      <c r="A386" t="inlineStr">
        <is>
          <t>Chihuido de la Sierra Negra</t>
        </is>
      </c>
      <c r="B386" t="inlineStr">
        <is>
          <t>2017-07</t>
        </is>
      </c>
      <c r="C386" t="n">
        <v>28083.4</v>
      </c>
      <c r="D386" t="n">
        <v>764030.3</v>
      </c>
      <c r="E386">
        <f>E385+C386</f>
        <v/>
      </c>
      <c r="F386">
        <f>IF(C386&gt;0,D386/C386,NA())</f>
        <v/>
      </c>
    </row>
    <row r="387">
      <c r="A387" t="inlineStr">
        <is>
          <t>Chihuido de la Sierra Negra</t>
        </is>
      </c>
      <c r="B387" t="inlineStr">
        <is>
          <t>2017-08</t>
        </is>
      </c>
      <c r="C387" t="n">
        <v>27638.3</v>
      </c>
      <c r="D387" t="n">
        <v>732796.3</v>
      </c>
      <c r="E387">
        <f>E386+C387</f>
        <v/>
      </c>
      <c r="F387">
        <f>IF(C387&gt;0,D387/C387,NA())</f>
        <v/>
      </c>
    </row>
    <row r="388">
      <c r="A388" t="inlineStr">
        <is>
          <t>Chihuido de la Sierra Negra</t>
        </is>
      </c>
      <c r="B388" t="inlineStr">
        <is>
          <t>2017-09</t>
        </is>
      </c>
      <c r="C388" t="n">
        <v>27239.8</v>
      </c>
      <c r="D388" t="n">
        <v>711919.1</v>
      </c>
      <c r="E388">
        <f>E387+C388</f>
        <v/>
      </c>
      <c r="F388">
        <f>IF(C388&gt;0,D388/C388,NA())</f>
        <v/>
      </c>
    </row>
    <row r="389">
      <c r="A389" t="inlineStr">
        <is>
          <t>Chihuido de la Sierra Negra</t>
        </is>
      </c>
      <c r="B389" t="inlineStr">
        <is>
          <t>2017-10</t>
        </is>
      </c>
      <c r="C389" t="n">
        <v>27201.7</v>
      </c>
      <c r="D389" t="n">
        <v>739988.5</v>
      </c>
      <c r="E389">
        <f>E388+C389</f>
        <v/>
      </c>
      <c r="F389">
        <f>IF(C389&gt;0,D389/C389,NA())</f>
        <v/>
      </c>
    </row>
    <row r="390">
      <c r="A390" t="inlineStr">
        <is>
          <t>Chihuido de la Sierra Negra</t>
        </is>
      </c>
      <c r="B390" t="inlineStr">
        <is>
          <t>2017-11</t>
        </is>
      </c>
      <c r="C390" t="n">
        <v>26047.2</v>
      </c>
      <c r="D390" t="n">
        <v>730909.4</v>
      </c>
      <c r="E390">
        <f>E389+C390</f>
        <v/>
      </c>
      <c r="F390">
        <f>IF(C390&gt;0,D390/C390,NA())</f>
        <v/>
      </c>
    </row>
    <row r="391">
      <c r="A391" t="inlineStr">
        <is>
          <t>Chihuido de la Sierra Negra</t>
        </is>
      </c>
      <c r="B391" t="inlineStr">
        <is>
          <t>2017-12</t>
        </is>
      </c>
      <c r="C391" t="n">
        <v>25533.2</v>
      </c>
      <c r="D391" t="n">
        <v>747219.3</v>
      </c>
      <c r="E391">
        <f>E390+C391</f>
        <v/>
      </c>
      <c r="F391">
        <f>IF(C391&gt;0,D391/C391,NA())</f>
        <v/>
      </c>
    </row>
    <row r="392">
      <c r="A392" t="inlineStr">
        <is>
          <t>Chihuido de la Sierra Negra</t>
        </is>
      </c>
      <c r="B392" t="inlineStr">
        <is>
          <t>2018-01</t>
        </is>
      </c>
      <c r="C392" t="n">
        <v>26505.5</v>
      </c>
      <c r="D392" t="n">
        <v>814059.2</v>
      </c>
      <c r="E392">
        <f>E391+C392</f>
        <v/>
      </c>
      <c r="F392">
        <f>IF(C392&gt;0,D392/C392,NA())</f>
        <v/>
      </c>
    </row>
    <row r="393">
      <c r="A393" t="inlineStr">
        <is>
          <t>Chihuido de la Sierra Negra</t>
        </is>
      </c>
      <c r="B393" t="inlineStr">
        <is>
          <t>2018-02</t>
        </is>
      </c>
      <c r="C393" t="n">
        <v>24204.3</v>
      </c>
      <c r="D393" t="n">
        <v>748106.8</v>
      </c>
      <c r="E393">
        <f>E392+C393</f>
        <v/>
      </c>
      <c r="F393">
        <f>IF(C393&gt;0,D393/C393,NA())</f>
        <v/>
      </c>
    </row>
    <row r="394">
      <c r="A394" t="inlineStr">
        <is>
          <t>Chihuido de la Sierra Negra</t>
        </is>
      </c>
      <c r="B394" t="inlineStr">
        <is>
          <t>2018-03</t>
        </is>
      </c>
      <c r="C394" t="n">
        <v>26934.2</v>
      </c>
      <c r="D394" t="n">
        <v>819701</v>
      </c>
      <c r="E394">
        <f>E393+C394</f>
        <v/>
      </c>
      <c r="F394">
        <f>IF(C394&gt;0,D394/C394,NA())</f>
        <v/>
      </c>
    </row>
    <row r="395">
      <c r="A395" t="inlineStr">
        <is>
          <t>Chihuido de la Sierra Negra</t>
        </is>
      </c>
      <c r="B395" t="inlineStr">
        <is>
          <t>2018-04</t>
        </is>
      </c>
      <c r="C395" t="n">
        <v>26083.7</v>
      </c>
      <c r="D395" t="n">
        <v>779837.2</v>
      </c>
      <c r="E395">
        <f>E394+C395</f>
        <v/>
      </c>
      <c r="F395">
        <f>IF(C395&gt;0,D395/C395,NA())</f>
        <v/>
      </c>
    </row>
    <row r="396">
      <c r="A396" t="inlineStr">
        <is>
          <t>Chihuido de la Sierra Negra</t>
        </is>
      </c>
      <c r="B396" t="inlineStr">
        <is>
          <t>2018-05</t>
        </is>
      </c>
      <c r="C396" t="n">
        <v>26906.1</v>
      </c>
      <c r="D396" t="n">
        <v>818720.1</v>
      </c>
      <c r="E396">
        <f>E395+C396</f>
        <v/>
      </c>
      <c r="F396">
        <f>IF(C396&gt;0,D396/C396,NA())</f>
        <v/>
      </c>
    </row>
    <row r="397">
      <c r="A397" t="inlineStr">
        <is>
          <t>Chihuido de la Sierra Negra</t>
        </is>
      </c>
      <c r="B397" t="inlineStr">
        <is>
          <t>2018-06</t>
        </is>
      </c>
      <c r="C397" t="n">
        <v>25499.1</v>
      </c>
      <c r="D397" t="n">
        <v>783706</v>
      </c>
      <c r="E397">
        <f>E396+C397</f>
        <v/>
      </c>
      <c r="F397">
        <f>IF(C397&gt;0,D397/C397,NA())</f>
        <v/>
      </c>
    </row>
    <row r="398">
      <c r="A398" t="inlineStr">
        <is>
          <t>Chihuido de la Sierra Negra</t>
        </is>
      </c>
      <c r="B398" t="inlineStr">
        <is>
          <t>2018-07</t>
        </is>
      </c>
      <c r="C398" t="n">
        <v>25069.4</v>
      </c>
      <c r="D398" t="n">
        <v>820641.7</v>
      </c>
      <c r="E398">
        <f>E397+C398</f>
        <v/>
      </c>
      <c r="F398">
        <f>IF(C398&gt;0,D398/C398,NA())</f>
        <v/>
      </c>
    </row>
    <row r="399">
      <c r="A399" t="inlineStr">
        <is>
          <t>Chihuido de la Sierra Negra</t>
        </is>
      </c>
      <c r="B399" t="inlineStr">
        <is>
          <t>2018-08</t>
        </is>
      </c>
      <c r="C399" t="n">
        <v>25165.2</v>
      </c>
      <c r="D399" t="n">
        <v>801788.5</v>
      </c>
      <c r="E399">
        <f>E398+C399</f>
        <v/>
      </c>
      <c r="F399">
        <f>IF(C399&gt;0,D399/C399,NA())</f>
        <v/>
      </c>
    </row>
    <row r="400">
      <c r="A400" t="inlineStr">
        <is>
          <t>Chihuido de la Sierra Negra</t>
        </is>
      </c>
      <c r="B400" t="inlineStr">
        <is>
          <t>2018-09</t>
        </is>
      </c>
      <c r="C400" t="n">
        <v>24141.9</v>
      </c>
      <c r="D400" t="n">
        <v>759883.3</v>
      </c>
      <c r="E400">
        <f>E399+C400</f>
        <v/>
      </c>
      <c r="F400">
        <f>IF(C400&gt;0,D400/C400,NA())</f>
        <v/>
      </c>
    </row>
    <row r="401">
      <c r="A401" t="inlineStr">
        <is>
          <t>Chihuido de la Sierra Negra</t>
        </is>
      </c>
      <c r="B401" t="inlineStr">
        <is>
          <t>2018-10</t>
        </is>
      </c>
      <c r="C401" t="n">
        <v>24477.6</v>
      </c>
      <c r="D401" t="n">
        <v>788282.5</v>
      </c>
      <c r="E401">
        <f>E400+C401</f>
        <v/>
      </c>
      <c r="F401">
        <f>IF(C401&gt;0,D401/C401,NA())</f>
        <v/>
      </c>
    </row>
    <row r="402">
      <c r="A402" t="inlineStr">
        <is>
          <t>Chihuido de la Sierra Negra</t>
        </is>
      </c>
      <c r="B402" t="inlineStr">
        <is>
          <t>2018-11</t>
        </is>
      </c>
      <c r="C402" t="n">
        <v>22749.7</v>
      </c>
      <c r="D402" t="n">
        <v>765814</v>
      </c>
      <c r="E402">
        <f>E401+C402</f>
        <v/>
      </c>
      <c r="F402">
        <f>IF(C402&gt;0,D402/C402,NA())</f>
        <v/>
      </c>
    </row>
    <row r="403">
      <c r="A403" t="inlineStr">
        <is>
          <t>Chihuido de la Sierra Negra</t>
        </is>
      </c>
      <c r="B403" t="inlineStr">
        <is>
          <t>2018-12</t>
        </is>
      </c>
      <c r="C403" t="n">
        <v>23570.9</v>
      </c>
      <c r="D403" t="n">
        <v>782140.4</v>
      </c>
      <c r="E403">
        <f>E402+C403</f>
        <v/>
      </c>
      <c r="F403">
        <f>IF(C403&gt;0,D403/C403,NA())</f>
        <v/>
      </c>
    </row>
    <row r="404">
      <c r="A404" t="inlineStr">
        <is>
          <t>Chihuido de la Sierra Negra</t>
        </is>
      </c>
      <c r="B404" t="inlineStr">
        <is>
          <t>2019-01</t>
        </is>
      </c>
      <c r="C404" t="n">
        <v>23448.9</v>
      </c>
      <c r="D404" t="n">
        <v>786544.4</v>
      </c>
      <c r="E404">
        <f>E403+C404</f>
        <v/>
      </c>
      <c r="F404">
        <f>IF(C404&gt;0,D404/C404,NA())</f>
        <v/>
      </c>
    </row>
    <row r="405">
      <c r="A405" t="inlineStr">
        <is>
          <t>Chihuido de la Sierra Negra</t>
        </is>
      </c>
      <c r="B405" t="inlineStr">
        <is>
          <t>2019-02</t>
        </is>
      </c>
      <c r="C405" t="n">
        <v>21764.6</v>
      </c>
      <c r="D405" t="n">
        <v>721583.1</v>
      </c>
      <c r="E405">
        <f>E404+C405</f>
        <v/>
      </c>
      <c r="F405">
        <f>IF(C405&gt;0,D405/C405,NA())</f>
        <v/>
      </c>
    </row>
    <row r="406">
      <c r="A406" t="inlineStr">
        <is>
          <t>Chihuido de la Sierra Negra</t>
        </is>
      </c>
      <c r="B406" t="inlineStr">
        <is>
          <t>2019-03</t>
        </is>
      </c>
      <c r="C406" t="n">
        <v>23348.6</v>
      </c>
      <c r="D406" t="n">
        <v>778428.6</v>
      </c>
      <c r="E406">
        <f>E405+C406</f>
        <v/>
      </c>
      <c r="F406">
        <f>IF(C406&gt;0,D406/C406,NA())</f>
        <v/>
      </c>
    </row>
    <row r="407">
      <c r="A407" t="inlineStr">
        <is>
          <t>Chihuido de la Sierra Negra</t>
        </is>
      </c>
      <c r="B407" t="inlineStr">
        <is>
          <t>2019-04</t>
        </is>
      </c>
      <c r="C407" t="n">
        <v>22142.7</v>
      </c>
      <c r="D407" t="n">
        <v>759691.3</v>
      </c>
      <c r="E407">
        <f>E406+C407</f>
        <v/>
      </c>
      <c r="F407">
        <f>IF(C407&gt;0,D407/C407,NA())</f>
        <v/>
      </c>
    </row>
    <row r="408">
      <c r="A408" t="inlineStr">
        <is>
          <t>Chihuido de la Sierra Negra</t>
        </is>
      </c>
      <c r="B408" t="inlineStr">
        <is>
          <t>2019-05</t>
        </is>
      </c>
      <c r="C408" t="n">
        <v>23368.7</v>
      </c>
      <c r="D408" t="n">
        <v>787291.3</v>
      </c>
      <c r="E408">
        <f>E407+C408</f>
        <v/>
      </c>
      <c r="F408">
        <f>IF(C408&gt;0,D408/C408,NA())</f>
        <v/>
      </c>
    </row>
    <row r="409">
      <c r="A409" t="inlineStr">
        <is>
          <t>Chihuido de la Sierra Negra</t>
        </is>
      </c>
      <c r="B409" t="inlineStr">
        <is>
          <t>2019-06</t>
        </is>
      </c>
      <c r="C409" t="n">
        <v>21699.4</v>
      </c>
      <c r="D409" t="n">
        <v>734436</v>
      </c>
      <c r="E409">
        <f>E408+C409</f>
        <v/>
      </c>
      <c r="F409">
        <f>IF(C409&gt;0,D409/C409,NA())</f>
        <v/>
      </c>
    </row>
    <row r="410">
      <c r="A410" t="inlineStr">
        <is>
          <t>Chihuido de la Sierra Negra</t>
        </is>
      </c>
      <c r="B410" t="inlineStr">
        <is>
          <t>2019-07</t>
        </is>
      </c>
      <c r="C410" t="n">
        <v>22703.5</v>
      </c>
      <c r="D410" t="n">
        <v>793943.2</v>
      </c>
      <c r="E410">
        <f>E409+C410</f>
        <v/>
      </c>
      <c r="F410">
        <f>IF(C410&gt;0,D410/C410,NA())</f>
        <v/>
      </c>
    </row>
    <row r="411">
      <c r="A411" t="inlineStr">
        <is>
          <t>Chihuido de la Sierra Negra</t>
        </is>
      </c>
      <c r="B411" t="inlineStr">
        <is>
          <t>2019-08</t>
        </is>
      </c>
      <c r="C411" t="n">
        <v>22755.1</v>
      </c>
      <c r="D411" t="n">
        <v>784609.3</v>
      </c>
      <c r="E411">
        <f>E410+C411</f>
        <v/>
      </c>
      <c r="F411">
        <f>IF(C411&gt;0,D411/C411,NA())</f>
        <v/>
      </c>
    </row>
    <row r="412">
      <c r="A412" t="inlineStr">
        <is>
          <t>Chihuido de la Sierra Negra</t>
        </is>
      </c>
      <c r="B412" t="inlineStr">
        <is>
          <t>2019-09</t>
        </is>
      </c>
      <c r="C412" t="n">
        <v>21708.4</v>
      </c>
      <c r="D412" t="n">
        <v>762210.5</v>
      </c>
      <c r="E412">
        <f>E411+C412</f>
        <v/>
      </c>
      <c r="F412">
        <f>IF(C412&gt;0,D412/C412,NA())</f>
        <v/>
      </c>
    </row>
    <row r="413">
      <c r="A413" t="inlineStr">
        <is>
          <t>Chihuido de la Sierra Negra</t>
        </is>
      </c>
      <c r="B413" t="inlineStr">
        <is>
          <t>2019-10</t>
        </is>
      </c>
      <c r="C413" t="n">
        <v>21551.8</v>
      </c>
      <c r="D413" t="n">
        <v>754036.3</v>
      </c>
      <c r="E413">
        <f>E412+C413</f>
        <v/>
      </c>
      <c r="F413">
        <f>IF(C413&gt;0,D413/C413,NA())</f>
        <v/>
      </c>
    </row>
    <row r="414">
      <c r="A414" t="inlineStr">
        <is>
          <t>Chihuido de la Sierra Negra</t>
        </is>
      </c>
      <c r="B414" t="inlineStr">
        <is>
          <t>2019-11</t>
        </is>
      </c>
      <c r="C414" t="n">
        <v>20336</v>
      </c>
      <c r="D414" t="n">
        <v>732265.4</v>
      </c>
      <c r="E414">
        <f>E413+C414</f>
        <v/>
      </c>
      <c r="F414">
        <f>IF(C414&gt;0,D414/C414,NA())</f>
        <v/>
      </c>
    </row>
    <row r="415">
      <c r="A415" t="inlineStr">
        <is>
          <t>Chihuido de la Sierra Negra</t>
        </is>
      </c>
      <c r="B415" t="inlineStr">
        <is>
          <t>2019-12</t>
        </is>
      </c>
      <c r="C415" t="n">
        <v>20131.5</v>
      </c>
      <c r="D415" t="n">
        <v>731736.7</v>
      </c>
      <c r="E415">
        <f>E414+C415</f>
        <v/>
      </c>
      <c r="F415">
        <f>IF(C415&gt;0,D415/C415,NA())</f>
        <v/>
      </c>
    </row>
    <row r="416">
      <c r="A416" t="inlineStr">
        <is>
          <t>Chihuido de la Sierra Negra</t>
        </is>
      </c>
      <c r="B416" t="inlineStr">
        <is>
          <t>2020-01</t>
        </is>
      </c>
      <c r="C416" t="n">
        <v>21732.3</v>
      </c>
      <c r="D416" t="n">
        <v>790048.7</v>
      </c>
      <c r="E416">
        <f>E415+C416</f>
        <v/>
      </c>
      <c r="F416">
        <f>IF(C416&gt;0,D416/C416,NA())</f>
        <v/>
      </c>
    </row>
    <row r="417">
      <c r="A417" t="inlineStr">
        <is>
          <t>Chihuido de la Sierra Negra</t>
        </is>
      </c>
      <c r="B417" t="inlineStr">
        <is>
          <t>2020-02</t>
        </is>
      </c>
      <c r="C417" t="n">
        <v>20170</v>
      </c>
      <c r="D417" t="n">
        <v>676322.4</v>
      </c>
      <c r="E417">
        <f>E416+C417</f>
        <v/>
      </c>
      <c r="F417">
        <f>IF(C417&gt;0,D417/C417,NA())</f>
        <v/>
      </c>
    </row>
    <row r="418">
      <c r="A418" t="inlineStr">
        <is>
          <t>Chihuido de la Sierra Negra</t>
        </is>
      </c>
      <c r="B418" t="inlineStr">
        <is>
          <t>2020-03</t>
        </is>
      </c>
      <c r="C418" t="n">
        <v>19874.2</v>
      </c>
      <c r="D418" t="n">
        <v>657453</v>
      </c>
      <c r="E418">
        <f>E417+C418</f>
        <v/>
      </c>
      <c r="F418">
        <f>IF(C418&gt;0,D418/C418,NA())</f>
        <v/>
      </c>
    </row>
    <row r="419">
      <c r="A419" t="inlineStr">
        <is>
          <t>Chihuido de la Sierra Negra</t>
        </is>
      </c>
      <c r="B419" t="inlineStr">
        <is>
          <t>2020-04</t>
        </is>
      </c>
      <c r="C419" t="n">
        <v>18547</v>
      </c>
      <c r="D419" t="n">
        <v>633251.3</v>
      </c>
      <c r="E419">
        <f>E418+C419</f>
        <v/>
      </c>
      <c r="F419">
        <f>IF(C419&gt;0,D419/C419,NA())</f>
        <v/>
      </c>
    </row>
    <row r="420">
      <c r="A420" t="inlineStr">
        <is>
          <t>Chihuido de la Sierra Negra</t>
        </is>
      </c>
      <c r="B420" t="inlineStr">
        <is>
          <t>2020-05</t>
        </is>
      </c>
      <c r="C420" t="n">
        <v>17747.4</v>
      </c>
      <c r="D420" t="n">
        <v>645025.6</v>
      </c>
      <c r="E420">
        <f>E419+C420</f>
        <v/>
      </c>
      <c r="F420">
        <f>IF(C420&gt;0,D420/C420,NA())</f>
        <v/>
      </c>
    </row>
    <row r="421">
      <c r="A421" t="inlineStr">
        <is>
          <t>Chihuido de la Sierra Negra</t>
        </is>
      </c>
      <c r="B421" t="inlineStr">
        <is>
          <t>2020-06</t>
        </is>
      </c>
      <c r="C421" t="n">
        <v>16659</v>
      </c>
      <c r="D421" t="n">
        <v>620130.9</v>
      </c>
      <c r="E421">
        <f>E420+C421</f>
        <v/>
      </c>
      <c r="F421">
        <f>IF(C421&gt;0,D421/C421,NA())</f>
        <v/>
      </c>
    </row>
    <row r="422">
      <c r="A422" t="inlineStr">
        <is>
          <t>Chihuido de la Sierra Negra</t>
        </is>
      </c>
      <c r="B422" t="inlineStr">
        <is>
          <t>2020-07</t>
        </is>
      </c>
      <c r="C422" t="n">
        <v>16037</v>
      </c>
      <c r="D422" t="n">
        <v>555872.5</v>
      </c>
      <c r="E422">
        <f>E421+C422</f>
        <v/>
      </c>
      <c r="F422">
        <f>IF(C422&gt;0,D422/C422,NA())</f>
        <v/>
      </c>
    </row>
    <row r="423">
      <c r="A423" t="inlineStr">
        <is>
          <t>Chihuido de la Sierra Negra</t>
        </is>
      </c>
      <c r="B423" t="inlineStr">
        <is>
          <t>2020-08</t>
        </is>
      </c>
      <c r="C423" t="n">
        <v>14670.8</v>
      </c>
      <c r="D423" t="n">
        <v>513055</v>
      </c>
      <c r="E423">
        <f>E422+C423</f>
        <v/>
      </c>
      <c r="F423">
        <f>IF(C423&gt;0,D423/C423,NA())</f>
        <v/>
      </c>
    </row>
    <row r="424">
      <c r="A424" t="inlineStr">
        <is>
          <t>Chihuido de la Sierra Negra</t>
        </is>
      </c>
      <c r="B424" t="inlineStr">
        <is>
          <t>2020-09</t>
        </is>
      </c>
      <c r="C424" t="n">
        <v>13896.1</v>
      </c>
      <c r="D424" t="n">
        <v>451315.8</v>
      </c>
      <c r="E424">
        <f>E423+C424</f>
        <v/>
      </c>
      <c r="F424">
        <f>IF(C424&gt;0,D424/C424,NA())</f>
        <v/>
      </c>
    </row>
    <row r="425">
      <c r="A425" t="inlineStr">
        <is>
          <t>Chihuido de la Sierra Negra</t>
        </is>
      </c>
      <c r="B425" t="inlineStr">
        <is>
          <t>2020-10</t>
        </is>
      </c>
      <c r="C425" t="n">
        <v>14099.7</v>
      </c>
      <c r="D425" t="n">
        <v>495593.4</v>
      </c>
      <c r="E425">
        <f>E424+C425</f>
        <v/>
      </c>
      <c r="F425">
        <f>IF(C425&gt;0,D425/C425,NA())</f>
        <v/>
      </c>
    </row>
    <row r="426">
      <c r="A426" t="inlineStr">
        <is>
          <t>Chihuido de la Sierra Negra</t>
        </is>
      </c>
      <c r="B426" t="inlineStr">
        <is>
          <t>2020-11</t>
        </is>
      </c>
      <c r="C426" t="n">
        <v>13462.8</v>
      </c>
      <c r="D426" t="n">
        <v>524603.4</v>
      </c>
      <c r="E426">
        <f>E425+C426</f>
        <v/>
      </c>
      <c r="F426">
        <f>IF(C426&gt;0,D426/C426,NA())</f>
        <v/>
      </c>
    </row>
    <row r="427">
      <c r="A427" t="inlineStr">
        <is>
          <t>Chihuido de la Sierra Negra</t>
        </is>
      </c>
      <c r="B427" t="inlineStr">
        <is>
          <t>2020-12</t>
        </is>
      </c>
      <c r="C427" t="n">
        <v>14567.7</v>
      </c>
      <c r="D427" t="n">
        <v>568177.3</v>
      </c>
      <c r="E427">
        <f>E426+C427</f>
        <v/>
      </c>
      <c r="F427">
        <f>IF(C427&gt;0,D427/C427,NA())</f>
        <v/>
      </c>
    </row>
    <row r="428">
      <c r="A428" t="inlineStr">
        <is>
          <t>Chihuido de la Sierra Negra</t>
        </is>
      </c>
      <c r="B428" t="inlineStr">
        <is>
          <t>2021-01</t>
        </is>
      </c>
      <c r="C428" t="n">
        <v>14790</v>
      </c>
      <c r="D428" t="n">
        <v>572397.6</v>
      </c>
      <c r="E428">
        <f>E427+C428</f>
        <v/>
      </c>
      <c r="F428">
        <f>IF(C428&gt;0,D428/C428,NA())</f>
        <v/>
      </c>
    </row>
    <row r="429">
      <c r="A429" t="inlineStr">
        <is>
          <t>Chihuido de la Sierra Negra</t>
        </is>
      </c>
      <c r="B429" t="inlineStr">
        <is>
          <t>2021-02</t>
        </is>
      </c>
      <c r="C429" t="n">
        <v>14027.6</v>
      </c>
      <c r="D429" t="n">
        <v>529387.4</v>
      </c>
      <c r="E429">
        <f>E428+C429</f>
        <v/>
      </c>
      <c r="F429">
        <f>IF(C429&gt;0,D429/C429,NA())</f>
        <v/>
      </c>
    </row>
    <row r="430">
      <c r="A430" t="inlineStr">
        <is>
          <t>Chihuido de la Sierra Negra</t>
        </is>
      </c>
      <c r="B430" t="inlineStr">
        <is>
          <t>2021-03</t>
        </is>
      </c>
      <c r="C430" t="n">
        <v>14232.7</v>
      </c>
      <c r="D430" t="n">
        <v>555228.9</v>
      </c>
      <c r="E430">
        <f>E429+C430</f>
        <v/>
      </c>
      <c r="F430">
        <f>IF(C430&gt;0,D430/C430,NA())</f>
        <v/>
      </c>
    </row>
    <row r="431">
      <c r="A431" t="inlineStr">
        <is>
          <t>Chihuido de la Sierra Negra</t>
        </is>
      </c>
      <c r="B431" t="inlineStr">
        <is>
          <t>2021-04</t>
        </is>
      </c>
      <c r="C431" t="n">
        <v>14598.8</v>
      </c>
      <c r="D431" t="n">
        <v>552953.3</v>
      </c>
      <c r="E431">
        <f>E430+C431</f>
        <v/>
      </c>
      <c r="F431">
        <f>IF(C431&gt;0,D431/C431,NA())</f>
        <v/>
      </c>
    </row>
    <row r="432">
      <c r="A432" t="inlineStr">
        <is>
          <t>Chihuido de la Sierra Negra</t>
        </is>
      </c>
      <c r="B432" t="inlineStr">
        <is>
          <t>2021-05</t>
        </is>
      </c>
      <c r="C432" t="n">
        <v>14940.3</v>
      </c>
      <c r="D432" t="n">
        <v>582789.9</v>
      </c>
      <c r="E432">
        <f>E431+C432</f>
        <v/>
      </c>
      <c r="F432">
        <f>IF(C432&gt;0,D432/C432,NA())</f>
        <v/>
      </c>
    </row>
    <row r="433">
      <c r="A433" t="inlineStr">
        <is>
          <t>Chihuido de la Sierra Negra</t>
        </is>
      </c>
      <c r="B433" t="inlineStr">
        <is>
          <t>2021-06</t>
        </is>
      </c>
      <c r="C433" t="n">
        <v>15056.8</v>
      </c>
      <c r="D433" t="n">
        <v>571933</v>
      </c>
      <c r="E433">
        <f>E432+C433</f>
        <v/>
      </c>
      <c r="F433">
        <f>IF(C433&gt;0,D433/C433,NA())</f>
        <v/>
      </c>
    </row>
    <row r="434">
      <c r="A434" t="inlineStr">
        <is>
          <t>Chihuido de la Sierra Negra</t>
        </is>
      </c>
      <c r="B434" t="inlineStr">
        <is>
          <t>2021-07</t>
        </is>
      </c>
      <c r="C434" t="n">
        <v>15494.3</v>
      </c>
      <c r="D434" t="n">
        <v>576088</v>
      </c>
      <c r="E434">
        <f>E433+C434</f>
        <v/>
      </c>
      <c r="F434">
        <f>IF(C434&gt;0,D434/C434,NA())</f>
        <v/>
      </c>
    </row>
    <row r="435">
      <c r="A435" t="inlineStr">
        <is>
          <t>Chihuido de la Sierra Negra</t>
        </is>
      </c>
      <c r="B435" t="inlineStr">
        <is>
          <t>2021-08</t>
        </is>
      </c>
      <c r="C435" t="n">
        <v>15371.2</v>
      </c>
      <c r="D435" t="n">
        <v>580100.8</v>
      </c>
      <c r="E435">
        <f>E434+C435</f>
        <v/>
      </c>
      <c r="F435">
        <f>IF(C435&gt;0,D435/C435,NA())</f>
        <v/>
      </c>
    </row>
    <row r="436">
      <c r="A436" t="inlineStr">
        <is>
          <t>Chihuido de la Sierra Negra</t>
        </is>
      </c>
      <c r="B436" t="inlineStr">
        <is>
          <t>2021-09</t>
        </is>
      </c>
      <c r="C436" t="n">
        <v>15726.2</v>
      </c>
      <c r="D436" t="n">
        <v>572238.4</v>
      </c>
      <c r="E436">
        <f>E435+C436</f>
        <v/>
      </c>
      <c r="F436">
        <f>IF(C436&gt;0,D436/C436,NA())</f>
        <v/>
      </c>
    </row>
    <row r="437">
      <c r="A437" t="inlineStr">
        <is>
          <t>Chihuido de la Sierra Negra</t>
        </is>
      </c>
      <c r="B437" t="inlineStr">
        <is>
          <t>2021-10</t>
        </is>
      </c>
      <c r="C437" t="n">
        <v>16002.6</v>
      </c>
      <c r="D437" t="n">
        <v>616710.6</v>
      </c>
      <c r="E437">
        <f>E436+C437</f>
        <v/>
      </c>
      <c r="F437">
        <f>IF(C437&gt;0,D437/C437,NA())</f>
        <v/>
      </c>
    </row>
    <row r="438">
      <c r="A438" t="inlineStr">
        <is>
          <t>Chihuido de la Sierra Negra</t>
        </is>
      </c>
      <c r="B438" t="inlineStr">
        <is>
          <t>2021-11</t>
        </is>
      </c>
      <c r="C438" t="n">
        <v>15594.5</v>
      </c>
      <c r="D438" t="n">
        <v>605082.1</v>
      </c>
      <c r="E438">
        <f>E437+C438</f>
        <v/>
      </c>
      <c r="F438">
        <f>IF(C438&gt;0,D438/C438,NA())</f>
        <v/>
      </c>
    </row>
    <row r="439">
      <c r="A439" t="inlineStr">
        <is>
          <t>Chihuido de la Sierra Negra</t>
        </is>
      </c>
      <c r="B439" t="inlineStr">
        <is>
          <t>2021-12</t>
        </is>
      </c>
      <c r="C439" t="n">
        <v>15519.5</v>
      </c>
      <c r="D439" t="n">
        <v>613004.3</v>
      </c>
      <c r="E439">
        <f>E438+C439</f>
        <v/>
      </c>
      <c r="F439">
        <f>IF(C439&gt;0,D439/C439,NA())</f>
        <v/>
      </c>
    </row>
    <row r="440">
      <c r="A440" t="inlineStr">
        <is>
          <t>Chihuido de la Sierra Negra</t>
        </is>
      </c>
      <c r="B440" t="inlineStr">
        <is>
          <t>2022-01</t>
        </is>
      </c>
      <c r="C440" t="n">
        <v>15760.6</v>
      </c>
      <c r="D440" t="n">
        <v>614257.9</v>
      </c>
      <c r="E440">
        <f>E439+C440</f>
        <v/>
      </c>
      <c r="F440">
        <f>IF(C440&gt;0,D440/C440,NA())</f>
        <v/>
      </c>
    </row>
    <row r="441">
      <c r="A441" t="inlineStr">
        <is>
          <t>Chihuido de la Sierra Negra</t>
        </is>
      </c>
      <c r="B441" t="inlineStr">
        <is>
          <t>2022-02</t>
        </is>
      </c>
      <c r="C441" t="n">
        <v>14508.4</v>
      </c>
      <c r="D441" t="n">
        <v>552910.4</v>
      </c>
      <c r="E441">
        <f>E440+C441</f>
        <v/>
      </c>
      <c r="F441">
        <f>IF(C441&gt;0,D441/C441,NA())</f>
        <v/>
      </c>
    </row>
    <row r="442">
      <c r="A442" t="inlineStr">
        <is>
          <t>Chihuido de la Sierra Negra</t>
        </is>
      </c>
      <c r="B442" t="inlineStr">
        <is>
          <t>2022-03</t>
        </is>
      </c>
      <c r="C442" t="n">
        <v>16279.7</v>
      </c>
      <c r="D442" t="n">
        <v>617383.2</v>
      </c>
      <c r="E442">
        <f>E441+C442</f>
        <v/>
      </c>
      <c r="F442">
        <f>IF(C442&gt;0,D442/C442,NA())</f>
        <v/>
      </c>
    </row>
    <row r="443">
      <c r="A443" t="inlineStr">
        <is>
          <t>Chihuido de la Sierra Negra</t>
        </is>
      </c>
      <c r="B443" t="inlineStr">
        <is>
          <t>2022-04</t>
        </is>
      </c>
      <c r="C443" t="n">
        <v>15679</v>
      </c>
      <c r="D443" t="n">
        <v>579938.7</v>
      </c>
      <c r="E443">
        <f>E442+C443</f>
        <v/>
      </c>
      <c r="F443">
        <f>IF(C443&gt;0,D443/C443,NA())</f>
        <v/>
      </c>
    </row>
    <row r="444">
      <c r="A444" t="inlineStr">
        <is>
          <t>Chihuido de la Sierra Negra</t>
        </is>
      </c>
      <c r="B444" t="inlineStr">
        <is>
          <t>2022-05</t>
        </is>
      </c>
      <c r="C444" t="n">
        <v>15307.1</v>
      </c>
      <c r="D444" t="n">
        <v>536977.7</v>
      </c>
      <c r="E444">
        <f>E443+C444</f>
        <v/>
      </c>
      <c r="F444">
        <f>IF(C444&gt;0,D444/C444,NA())</f>
        <v/>
      </c>
    </row>
    <row r="445">
      <c r="A445" t="inlineStr">
        <is>
          <t>Chihuido de la Sierra Negra</t>
        </is>
      </c>
      <c r="B445" t="inlineStr">
        <is>
          <t>2022-06</t>
        </is>
      </c>
      <c r="C445" t="n">
        <v>13658.4</v>
      </c>
      <c r="D445" t="n">
        <v>482661.1</v>
      </c>
      <c r="E445">
        <f>E444+C445</f>
        <v/>
      </c>
      <c r="F445">
        <f>IF(C445&gt;0,D445/C445,NA())</f>
        <v/>
      </c>
    </row>
    <row r="446">
      <c r="A446" t="inlineStr">
        <is>
          <t>Chihuido de la Sierra Negra</t>
        </is>
      </c>
      <c r="B446" t="inlineStr">
        <is>
          <t>2022-07</t>
        </is>
      </c>
      <c r="C446" t="n">
        <v>13960.8</v>
      </c>
      <c r="D446" t="n">
        <v>521251.7</v>
      </c>
      <c r="E446">
        <f>E445+C446</f>
        <v/>
      </c>
      <c r="F446">
        <f>IF(C446&gt;0,D446/C446,NA())</f>
        <v/>
      </c>
    </row>
    <row r="447">
      <c r="A447" t="inlineStr">
        <is>
          <t>Chihuido de la Sierra Negra</t>
        </is>
      </c>
      <c r="B447" t="inlineStr">
        <is>
          <t>2022-08</t>
        </is>
      </c>
      <c r="C447" t="n">
        <v>13390.3</v>
      </c>
      <c r="D447" t="n">
        <v>493260.8</v>
      </c>
      <c r="E447">
        <f>E446+C447</f>
        <v/>
      </c>
      <c r="F447">
        <f>IF(C447&gt;0,D447/C447,NA())</f>
        <v/>
      </c>
    </row>
    <row r="448">
      <c r="A448" t="inlineStr">
        <is>
          <t>Chihuido de la Sierra Negra</t>
        </is>
      </c>
      <c r="B448" t="inlineStr">
        <is>
          <t>2022-09</t>
        </is>
      </c>
      <c r="C448" t="n">
        <v>12362.7</v>
      </c>
      <c r="D448" t="n">
        <v>453991.4</v>
      </c>
      <c r="E448">
        <f>E447+C448</f>
        <v/>
      </c>
      <c r="F448">
        <f>IF(C448&gt;0,D448/C448,NA())</f>
        <v/>
      </c>
    </row>
    <row r="449">
      <c r="A449" t="inlineStr">
        <is>
          <t>Chihuido de la Sierra Negra</t>
        </is>
      </c>
      <c r="B449" t="inlineStr">
        <is>
          <t>2022-10</t>
        </is>
      </c>
      <c r="C449" t="n">
        <v>12495.6</v>
      </c>
      <c r="D449" t="n">
        <v>464666</v>
      </c>
      <c r="E449">
        <f>E448+C449</f>
        <v/>
      </c>
      <c r="F449">
        <f>IF(C449&gt;0,D449/C449,NA())</f>
        <v/>
      </c>
    </row>
    <row r="450">
      <c r="A450" t="inlineStr">
        <is>
          <t>Chihuido de la Sierra Negra</t>
        </is>
      </c>
      <c r="B450" t="inlineStr">
        <is>
          <t>2022-11</t>
        </is>
      </c>
      <c r="C450" t="n">
        <v>12114.3</v>
      </c>
      <c r="D450" t="n">
        <v>459772.1</v>
      </c>
      <c r="E450">
        <f>E449+C450</f>
        <v/>
      </c>
      <c r="F450">
        <f>IF(C450&gt;0,D450/C450,NA())</f>
        <v/>
      </c>
    </row>
    <row r="451">
      <c r="A451" t="inlineStr">
        <is>
          <t>Chihuido de la Sierra Negra</t>
        </is>
      </c>
      <c r="B451" t="inlineStr">
        <is>
          <t>2022-12</t>
        </is>
      </c>
      <c r="C451" t="n">
        <v>12652.8</v>
      </c>
      <c r="D451" t="n">
        <v>488415</v>
      </c>
      <c r="E451">
        <f>E450+C451</f>
        <v/>
      </c>
      <c r="F451">
        <f>IF(C451&gt;0,D451/C451,NA())</f>
        <v/>
      </c>
    </row>
    <row r="452">
      <c r="A452" t="inlineStr">
        <is>
          <t>Chihuido de la Sierra Negra</t>
        </is>
      </c>
      <c r="B452" t="inlineStr">
        <is>
          <t>2023-01</t>
        </is>
      </c>
      <c r="C452" t="n">
        <v>12468.3</v>
      </c>
      <c r="D452" t="n">
        <v>503013.7</v>
      </c>
      <c r="E452">
        <f>E451+C452</f>
        <v/>
      </c>
      <c r="F452">
        <f>IF(C452&gt;0,D452/C452,NA())</f>
        <v/>
      </c>
    </row>
    <row r="453">
      <c r="A453" t="inlineStr">
        <is>
          <t>Chihuido de la Sierra Negra</t>
        </is>
      </c>
      <c r="B453" t="inlineStr">
        <is>
          <t>2023-02</t>
        </is>
      </c>
      <c r="C453" t="n">
        <v>12497.8</v>
      </c>
      <c r="D453" t="n">
        <v>498964.4</v>
      </c>
      <c r="E453">
        <f>E452+C453</f>
        <v/>
      </c>
      <c r="F453">
        <f>IF(C453&gt;0,D453/C453,NA())</f>
        <v/>
      </c>
    </row>
    <row r="454">
      <c r="A454" t="inlineStr">
        <is>
          <t>Chihuido de la Sierra Negra</t>
        </is>
      </c>
      <c r="B454" t="inlineStr">
        <is>
          <t>2023-03</t>
        </is>
      </c>
      <c r="C454" t="n">
        <v>14315.2</v>
      </c>
      <c r="D454" t="n">
        <v>583057.6</v>
      </c>
      <c r="E454">
        <f>E453+C454</f>
        <v/>
      </c>
      <c r="F454">
        <f>IF(C454&gt;0,D454/C454,NA())</f>
        <v/>
      </c>
    </row>
    <row r="455">
      <c r="A455" t="inlineStr">
        <is>
          <t>Chihuido de la Sierra Negra</t>
        </is>
      </c>
      <c r="B455" t="inlineStr">
        <is>
          <t>2023-04</t>
        </is>
      </c>
      <c r="C455" t="n">
        <v>14178.9</v>
      </c>
      <c r="D455" t="n">
        <v>560983.5</v>
      </c>
      <c r="E455">
        <f>E454+C455</f>
        <v/>
      </c>
      <c r="F455">
        <f>IF(C455&gt;0,D455/C455,NA())</f>
        <v/>
      </c>
    </row>
    <row r="456">
      <c r="A456" t="inlineStr">
        <is>
          <t>Chihuido de la Sierra Negra</t>
        </is>
      </c>
      <c r="B456" t="inlineStr">
        <is>
          <t>2023-05</t>
        </is>
      </c>
      <c r="C456" t="n">
        <v>14212</v>
      </c>
      <c r="D456" t="n">
        <v>579388.8</v>
      </c>
      <c r="E456">
        <f>E455+C456</f>
        <v/>
      </c>
      <c r="F456">
        <f>IF(C456&gt;0,D456/C456,NA())</f>
        <v/>
      </c>
    </row>
    <row r="457">
      <c r="A457" t="inlineStr">
        <is>
          <t>Chihuido de la Sierra Negra</t>
        </is>
      </c>
      <c r="B457" t="inlineStr">
        <is>
          <t>2023-06</t>
        </is>
      </c>
      <c r="C457" t="n">
        <v>14144.3</v>
      </c>
      <c r="D457" t="n">
        <v>563085</v>
      </c>
      <c r="E457">
        <f>E456+C457</f>
        <v/>
      </c>
      <c r="F457">
        <f>IF(C457&gt;0,D457/C457,NA())</f>
        <v/>
      </c>
    </row>
    <row r="458">
      <c r="A458" t="inlineStr">
        <is>
          <t>Chihuido de la Sierra Negra</t>
        </is>
      </c>
      <c r="B458" t="inlineStr">
        <is>
          <t>2023-07</t>
        </is>
      </c>
      <c r="C458" t="n">
        <v>14293.1</v>
      </c>
      <c r="D458" t="n">
        <v>566036</v>
      </c>
      <c r="E458">
        <f>E457+C458</f>
        <v/>
      </c>
      <c r="F458">
        <f>IF(C458&gt;0,D458/C458,NA())</f>
        <v/>
      </c>
    </row>
    <row r="459">
      <c r="A459" t="inlineStr">
        <is>
          <t>Chihuido de la Sierra Negra</t>
        </is>
      </c>
      <c r="B459" t="inlineStr">
        <is>
          <t>2023-08</t>
        </is>
      </c>
      <c r="C459" t="n">
        <v>14023.5</v>
      </c>
      <c r="D459" t="n">
        <v>585209.8</v>
      </c>
      <c r="E459">
        <f>E458+C459</f>
        <v/>
      </c>
      <c r="F459">
        <f>IF(C459&gt;0,D459/C459,NA())</f>
        <v/>
      </c>
    </row>
    <row r="460">
      <c r="A460" t="inlineStr">
        <is>
          <t>Chihuido de la Sierra Negra</t>
        </is>
      </c>
      <c r="B460" t="inlineStr">
        <is>
          <t>2023-09</t>
        </is>
      </c>
      <c r="C460" t="n">
        <v>13840.7</v>
      </c>
      <c r="D460" t="n">
        <v>562552.6</v>
      </c>
      <c r="E460">
        <f>E459+C460</f>
        <v/>
      </c>
      <c r="F460">
        <f>IF(C460&gt;0,D460/C460,NA())</f>
        <v/>
      </c>
    </row>
    <row r="461">
      <c r="A461" t="inlineStr">
        <is>
          <t>Chihuido de la Sierra Negra</t>
        </is>
      </c>
      <c r="B461" t="inlineStr">
        <is>
          <t>2023-10</t>
        </is>
      </c>
      <c r="C461" t="n">
        <v>13986</v>
      </c>
      <c r="D461" t="n">
        <v>584561.4</v>
      </c>
      <c r="E461">
        <f>E460+C461</f>
        <v/>
      </c>
      <c r="F461">
        <f>IF(C461&gt;0,D461/C461,NA())</f>
        <v/>
      </c>
    </row>
    <row r="462">
      <c r="A462" t="inlineStr">
        <is>
          <t>Chihuido de la Sierra Negra</t>
        </is>
      </c>
      <c r="B462" t="inlineStr">
        <is>
          <t>2023-11</t>
        </is>
      </c>
      <c r="C462" t="n">
        <v>13479.4</v>
      </c>
      <c r="D462" t="n">
        <v>561903.6</v>
      </c>
      <c r="E462">
        <f>E461+C462</f>
        <v/>
      </c>
      <c r="F462">
        <f>IF(C462&gt;0,D462/C462,NA())</f>
        <v/>
      </c>
    </row>
    <row r="463">
      <c r="A463" t="inlineStr">
        <is>
          <t>Chihuido de la Sierra Negra</t>
        </is>
      </c>
      <c r="B463" t="inlineStr">
        <is>
          <t>2023-12</t>
        </is>
      </c>
      <c r="C463" t="n">
        <v>14135.9</v>
      </c>
      <c r="D463" t="n">
        <v>588837.2</v>
      </c>
      <c r="E463">
        <f>E462+C463</f>
        <v/>
      </c>
      <c r="F463">
        <f>IF(C463&gt;0,D463/C463,NA())</f>
        <v/>
      </c>
    </row>
    <row r="464">
      <c r="A464" t="inlineStr">
        <is>
          <t>Chihuido de la Sierra Negra</t>
        </is>
      </c>
      <c r="B464" t="inlineStr">
        <is>
          <t>2024-01</t>
        </is>
      </c>
      <c r="C464" t="n">
        <v>13983.7</v>
      </c>
      <c r="D464" t="n">
        <v>596155.2</v>
      </c>
      <c r="E464">
        <f>E463+C464</f>
        <v/>
      </c>
      <c r="F464">
        <f>IF(C464&gt;0,D464/C464,NA())</f>
        <v/>
      </c>
    </row>
    <row r="465">
      <c r="A465" t="inlineStr">
        <is>
          <t>Chihuido de la Sierra Negra</t>
        </is>
      </c>
      <c r="B465" t="inlineStr">
        <is>
          <t>2024-02</t>
        </is>
      </c>
      <c r="C465" t="n">
        <v>13075</v>
      </c>
      <c r="D465" t="n">
        <v>551349.8</v>
      </c>
      <c r="E465">
        <f>E464+C465</f>
        <v/>
      </c>
      <c r="F465">
        <f>IF(C465&gt;0,D465/C465,NA())</f>
        <v/>
      </c>
    </row>
    <row r="466">
      <c r="A466" t="inlineStr">
        <is>
          <t>Chihuido de la Sierra Negra</t>
        </is>
      </c>
      <c r="B466" t="inlineStr">
        <is>
          <t>2024-03</t>
        </is>
      </c>
      <c r="C466" t="n">
        <v>13658.9</v>
      </c>
      <c r="D466" t="n">
        <v>581897.9</v>
      </c>
      <c r="E466">
        <f>E465+C466</f>
        <v/>
      </c>
      <c r="F466">
        <f>IF(C466&gt;0,D466/C466,NA())</f>
        <v/>
      </c>
    </row>
    <row r="467">
      <c r="A467" t="inlineStr">
        <is>
          <t>Chihuido de la Sierra Negra</t>
        </is>
      </c>
      <c r="B467" t="inlineStr">
        <is>
          <t>2024-04</t>
        </is>
      </c>
      <c r="C467" t="n">
        <v>12412.4</v>
      </c>
      <c r="D467" t="n">
        <v>531699.8</v>
      </c>
      <c r="E467">
        <f>E466+C467</f>
        <v/>
      </c>
      <c r="F467">
        <f>IF(C467&gt;0,D467/C467,NA())</f>
        <v/>
      </c>
    </row>
    <row r="468">
      <c r="A468" t="inlineStr">
        <is>
          <t>Chihuido de la Sierra Negra</t>
        </is>
      </c>
      <c r="B468" t="inlineStr">
        <is>
          <t>2024-05</t>
        </is>
      </c>
      <c r="C468" t="n">
        <v>12816.9</v>
      </c>
      <c r="D468" t="n">
        <v>530775.2</v>
      </c>
      <c r="E468">
        <f>E467+C468</f>
        <v/>
      </c>
      <c r="F468">
        <f>IF(C468&gt;0,D468/C468,NA())</f>
        <v/>
      </c>
    </row>
    <row r="469">
      <c r="A469" t="inlineStr">
        <is>
          <t>Chihuido de la Sierra Negra</t>
        </is>
      </c>
      <c r="B469" t="inlineStr">
        <is>
          <t>2024-06</t>
        </is>
      </c>
      <c r="C469" t="n">
        <v>12159.9</v>
      </c>
      <c r="D469" t="n">
        <v>505086.2</v>
      </c>
      <c r="E469">
        <f>E468+C469</f>
        <v/>
      </c>
      <c r="F469">
        <f>IF(C469&gt;0,D469/C469,NA())</f>
        <v/>
      </c>
    </row>
    <row r="470">
      <c r="A470" t="inlineStr">
        <is>
          <t>Chihuido de la Sierra Negra</t>
        </is>
      </c>
      <c r="B470" t="inlineStr">
        <is>
          <t>2024-07</t>
        </is>
      </c>
      <c r="C470" t="n">
        <v>12955.9</v>
      </c>
      <c r="D470" t="n">
        <v>531719.4</v>
      </c>
      <c r="E470">
        <f>E469+C470</f>
        <v/>
      </c>
      <c r="F470">
        <f>IF(C470&gt;0,D470/C470,NA())</f>
        <v/>
      </c>
    </row>
    <row r="471">
      <c r="A471" t="inlineStr">
        <is>
          <t>Chihuido de la Sierra Negra</t>
        </is>
      </c>
      <c r="B471" t="inlineStr">
        <is>
          <t>2024-08</t>
        </is>
      </c>
      <c r="C471" t="n">
        <v>13129.1</v>
      </c>
      <c r="D471" t="n">
        <v>520214.6</v>
      </c>
      <c r="E471">
        <f>E470+C471</f>
        <v/>
      </c>
      <c r="F471">
        <f>IF(C471&gt;0,D471/C471,NA())</f>
        <v/>
      </c>
    </row>
    <row r="472">
      <c r="A472" t="inlineStr">
        <is>
          <t>Chihuido de la Sierra Negra</t>
        </is>
      </c>
      <c r="B472" t="inlineStr">
        <is>
          <t>2024-09</t>
        </is>
      </c>
      <c r="C472" t="n">
        <v>12186.8</v>
      </c>
      <c r="D472" t="n">
        <v>459862.4</v>
      </c>
      <c r="E472">
        <f>E471+C472</f>
        <v/>
      </c>
      <c r="F472">
        <f>IF(C472&gt;0,D472/C472,NA())</f>
        <v/>
      </c>
    </row>
    <row r="473">
      <c r="A473" t="inlineStr">
        <is>
          <t>Chihuido de la Sierra Negra</t>
        </is>
      </c>
      <c r="B473" t="inlineStr">
        <is>
          <t>2024-10</t>
        </is>
      </c>
      <c r="C473" t="n">
        <v>12420.3</v>
      </c>
      <c r="D473" t="n">
        <v>499065</v>
      </c>
      <c r="E473">
        <f>E472+C473</f>
        <v/>
      </c>
      <c r="F473">
        <f>IF(C473&gt;0,D473/C473,NA())</f>
        <v/>
      </c>
    </row>
    <row r="474">
      <c r="A474" t="inlineStr">
        <is>
          <t>Chihuido de la Sierra Negra</t>
        </is>
      </c>
      <c r="B474" t="inlineStr">
        <is>
          <t>2024-11</t>
        </is>
      </c>
      <c r="C474" t="n">
        <v>12480.8</v>
      </c>
      <c r="D474" t="n">
        <v>494129.4</v>
      </c>
      <c r="E474">
        <f>E473+C474</f>
        <v/>
      </c>
      <c r="F474">
        <f>IF(C474&gt;0,D474/C474,NA())</f>
        <v/>
      </c>
    </row>
    <row r="475">
      <c r="A475" t="inlineStr">
        <is>
          <t>Chihuido de la Sierra Negra</t>
        </is>
      </c>
      <c r="B475" t="inlineStr">
        <is>
          <t>2024-12</t>
        </is>
      </c>
      <c r="C475" t="n">
        <v>12461.2</v>
      </c>
      <c r="D475" t="n">
        <v>497985.4</v>
      </c>
      <c r="E475">
        <f>E474+C475</f>
        <v/>
      </c>
      <c r="F475">
        <f>IF(C475&gt;0,D475/C475,NA())</f>
        <v/>
      </c>
    </row>
    <row r="476">
      <c r="A476" t="inlineStr">
        <is>
          <t>Chihuido de la Sierra Negra</t>
        </is>
      </c>
      <c r="B476" t="inlineStr">
        <is>
          <t>2025-01</t>
        </is>
      </c>
      <c r="C476" t="n">
        <v>12759.9</v>
      </c>
      <c r="D476" t="n">
        <v>494369.1</v>
      </c>
      <c r="E476">
        <f>E475+C476</f>
        <v/>
      </c>
      <c r="F476">
        <f>IF(C476&gt;0,D476/C476,NA())</f>
        <v/>
      </c>
    </row>
    <row r="477">
      <c r="A477" t="inlineStr">
        <is>
          <t>Chihuido de la Sierra Negra</t>
        </is>
      </c>
      <c r="B477" t="inlineStr">
        <is>
          <t>2025-02</t>
        </is>
      </c>
      <c r="C477" t="n">
        <v>11347.7</v>
      </c>
      <c r="D477" t="n">
        <v>431771.2</v>
      </c>
      <c r="E477">
        <f>E476+C477</f>
        <v/>
      </c>
      <c r="F477">
        <f>IF(C477&gt;0,D477/C477,NA())</f>
        <v/>
      </c>
    </row>
    <row r="478">
      <c r="A478" t="inlineStr">
        <is>
          <t>Chihuido de la Sierra Negra</t>
        </is>
      </c>
      <c r="B478" t="inlineStr">
        <is>
          <t>2025-03</t>
        </is>
      </c>
      <c r="C478" t="n">
        <v>12903.7</v>
      </c>
      <c r="D478" t="n">
        <v>483639.4</v>
      </c>
      <c r="E478">
        <f>E477+C478</f>
        <v/>
      </c>
      <c r="F478">
        <f>IF(C478&gt;0,D478/C478,NA())</f>
        <v/>
      </c>
    </row>
    <row r="479">
      <c r="A479" t="inlineStr">
        <is>
          <t>Chihuido de la Sierra Negra</t>
        </is>
      </c>
      <c r="B479" t="inlineStr">
        <is>
          <t>2025-04</t>
        </is>
      </c>
      <c r="C479" t="n">
        <v>11938.8</v>
      </c>
      <c r="D479" t="n">
        <v>458056</v>
      </c>
      <c r="E479">
        <f>E478+C479</f>
        <v/>
      </c>
      <c r="F479">
        <f>IF(C479&gt;0,D479/C479,NA())</f>
        <v/>
      </c>
    </row>
    <row r="480">
      <c r="A480" t="inlineStr">
        <is>
          <t>Chihuido de la Sierra Negra</t>
        </is>
      </c>
      <c r="B480" t="inlineStr">
        <is>
          <t>2025-05</t>
        </is>
      </c>
      <c r="C480" t="n">
        <v>12597.6</v>
      </c>
      <c r="D480" t="n">
        <v>472703.9</v>
      </c>
      <c r="E480">
        <f>E479+C480</f>
        <v/>
      </c>
      <c r="F480">
        <f>IF(C480&gt;0,D480/C480,NA())</f>
        <v/>
      </c>
    </row>
    <row r="481">
      <c r="A481" t="inlineStr">
        <is>
          <t>Chihuido de la Sierra Negra</t>
        </is>
      </c>
      <c r="B481" t="inlineStr">
        <is>
          <t>2025-06</t>
        </is>
      </c>
      <c r="C481" t="n">
        <v>12164.5</v>
      </c>
      <c r="D481" t="n">
        <v>451937.8</v>
      </c>
      <c r="E481">
        <f>E480+C481</f>
        <v/>
      </c>
      <c r="F481">
        <f>IF(C481&gt;0,D481/C481,NA())</f>
        <v/>
      </c>
    </row>
    <row r="482">
      <c r="A482" t="inlineStr">
        <is>
          <t>Chihuido de la Sierra Negra</t>
        </is>
      </c>
      <c r="B482" t="inlineStr">
        <is>
          <t>2025-07</t>
        </is>
      </c>
      <c r="C482" t="n">
        <v>12135.8</v>
      </c>
      <c r="D482" t="n">
        <v>457571.4</v>
      </c>
      <c r="E482">
        <f>E481+C482</f>
        <v/>
      </c>
      <c r="F482">
        <f>IF(C482&gt;0,D482/C482,NA())</f>
        <v/>
      </c>
    </row>
    <row r="483">
      <c r="A483" t="inlineStr">
        <is>
          <t>Chihuido de la Sierra Negra</t>
        </is>
      </c>
      <c r="B483" t="inlineStr">
        <is>
          <t>2025-08</t>
        </is>
      </c>
      <c r="C483" t="n">
        <v>11932.6</v>
      </c>
      <c r="D483" t="n">
        <v>469749.5</v>
      </c>
      <c r="E483">
        <f>E482+C483</f>
        <v/>
      </c>
      <c r="F483">
        <f>IF(C483&gt;0,D483/C483,NA())</f>
        <v/>
      </c>
    </row>
    <row r="484">
      <c r="A484" t="inlineStr">
        <is>
          <t>Chihuido de la Sierra Negra</t>
        </is>
      </c>
      <c r="B484" t="inlineStr">
        <is>
          <t>2025-09</t>
        </is>
      </c>
      <c r="C484" t="n">
        <v>11456.6</v>
      </c>
      <c r="D484" t="n">
        <v>453676.9</v>
      </c>
      <c r="E484">
        <f>E483+C484</f>
        <v/>
      </c>
      <c r="F484">
        <f>IF(C484&gt;0,D484/C484,NA())</f>
        <v/>
      </c>
    </row>
    <row r="485">
      <c r="A485" t="inlineStr">
        <is>
          <t>Chihuido de la Sierra Negra</t>
        </is>
      </c>
      <c r="B485" t="inlineStr">
        <is>
          <t>2025-10</t>
        </is>
      </c>
      <c r="C485" t="n">
        <v>11997.1</v>
      </c>
      <c r="D485" t="n">
        <v>460772.2</v>
      </c>
      <c r="E485">
        <f>E484+C485</f>
        <v/>
      </c>
      <c r="F485">
        <f>IF(C485&gt;0,D485/C485,NA())</f>
        <v/>
      </c>
    </row>
    <row r="486">
      <c r="A486" t="inlineStr">
        <is>
          <t>Chihuido de la Sierra Negra</t>
        </is>
      </c>
      <c r="B486" t="inlineStr">
        <is>
          <t>2025-11</t>
        </is>
      </c>
      <c r="C486" t="n">
        <v>11007.7</v>
      </c>
      <c r="D486" t="n">
        <v>407549.9</v>
      </c>
      <c r="E486">
        <f>E485+C486</f>
        <v/>
      </c>
      <c r="F486">
        <f>IF(C486&gt;0,D486/C486,NA())</f>
        <v/>
      </c>
    </row>
    <row r="487">
      <c r="A487" t="inlineStr">
        <is>
          <t>Chihuido de la Sierra Negra</t>
        </is>
      </c>
      <c r="B487" t="inlineStr">
        <is>
          <t>2025-12</t>
        </is>
      </c>
      <c r="C487" t="n">
        <v>11623.1</v>
      </c>
      <c r="D487" t="n">
        <v>427500.8</v>
      </c>
      <c r="E487">
        <f>E486+C487</f>
        <v/>
      </c>
      <c r="F487">
        <f>IF(C487&gt;0,D487/C487,NA())</f>
        <v/>
      </c>
    </row>
    <row r="488">
      <c r="A488" t="inlineStr">
        <is>
          <t>Chihuido de la Sierra Negra</t>
        </is>
      </c>
      <c r="B488" t="inlineStr">
        <is>
          <t>2026-01</t>
        </is>
      </c>
      <c r="C488" t="n">
        <v>12024.1</v>
      </c>
      <c r="D488" t="n">
        <v>418999.5</v>
      </c>
      <c r="E488">
        <f>E487+C488</f>
        <v/>
      </c>
      <c r="F488">
        <f>IF(C488&gt;0,D488/C488,NA())</f>
        <v/>
      </c>
    </row>
    <row r="489">
      <c r="A489" t="inlineStr">
        <is>
          <t>Chihuido de la Sierra Negra</t>
        </is>
      </c>
      <c r="B489" t="inlineStr">
        <is>
          <t>2026-02</t>
        </is>
      </c>
      <c r="C489" t="n">
        <v>10537.8</v>
      </c>
      <c r="D489" t="n">
        <v>374808.9</v>
      </c>
      <c r="E489">
        <f>E488+C489</f>
        <v/>
      </c>
      <c r="F489">
        <f>IF(C489&gt;0,D489/C489,NA())</f>
        <v/>
      </c>
    </row>
    <row r="490">
      <c r="A490" t="inlineStr">
        <is>
          <t>Chihuido de la Sierra Negra</t>
        </is>
      </c>
      <c r="B490" t="inlineStr">
        <is>
          <t>2026-03</t>
        </is>
      </c>
      <c r="C490" t="n">
        <v>11404.6</v>
      </c>
      <c r="D490" t="n">
        <v>408325.3</v>
      </c>
      <c r="E490">
        <f>E489+C490</f>
        <v/>
      </c>
      <c r="F490">
        <f>IF(C490&gt;0,D490/C490,NA())</f>
        <v/>
      </c>
    </row>
    <row r="491">
      <c r="A491" t="inlineStr">
        <is>
          <t>Chihuido de la Sierra Negra</t>
        </is>
      </c>
      <c r="B491" t="inlineStr">
        <is>
          <t>2026-04</t>
        </is>
      </c>
      <c r="C491" t="n">
        <v>11462.9</v>
      </c>
      <c r="D491" t="n">
        <v>403943.3</v>
      </c>
      <c r="E491">
        <f>E490+C491</f>
        <v/>
      </c>
      <c r="F491">
        <f>IF(C491&gt;0,D491/C491,NA())</f>
        <v/>
      </c>
    </row>
    <row r="492">
      <c r="A492" t="inlineStr">
        <is>
          <t>Chihuido de la Sierra Negra</t>
        </is>
      </c>
      <c r="B492" t="inlineStr">
        <is>
          <t>2026-05</t>
        </is>
      </c>
      <c r="C492" t="n">
        <v>11628.4</v>
      </c>
      <c r="D492" t="n">
        <v>405638.5</v>
      </c>
      <c r="E492">
        <f>E491+C492</f>
        <v/>
      </c>
      <c r="F492">
        <f>IF(C492&gt;0,D492/C492,NA())</f>
        <v/>
      </c>
    </row>
    <row r="493">
      <c r="A493" t="inlineStr">
        <is>
          <t>Chihuido de la Sierra Negra</t>
        </is>
      </c>
      <c r="B493" t="inlineStr">
        <is>
          <t>2026-06</t>
        </is>
      </c>
      <c r="C493" t="n">
        <v>11062.3</v>
      </c>
      <c r="D493" t="n">
        <v>398448.1</v>
      </c>
      <c r="E493">
        <f>E492+C493</f>
        <v/>
      </c>
      <c r="F493">
        <f>IF(C493&gt;0,D493/C493,NA())</f>
        <v/>
      </c>
    </row>
    <row r="494">
      <c r="A494" t="inlineStr">
        <is>
          <t>Chihuido de la Sierra Negra</t>
        </is>
      </c>
      <c r="B494" t="inlineStr">
        <is>
          <t>2026-07</t>
        </is>
      </c>
      <c r="C494" t="n">
        <v>12046.4</v>
      </c>
      <c r="D494" t="n">
        <v>409192.7</v>
      </c>
      <c r="E494">
        <f>E493+C494</f>
        <v/>
      </c>
      <c r="F494">
        <f>IF(C494&gt;0,D494/C494,NA())</f>
        <v/>
      </c>
    </row>
    <row r="495">
      <c r="A495" t="inlineStr">
        <is>
          <t>El Trapial</t>
        </is>
      </c>
      <c r="B495" t="inlineStr">
        <is>
          <t>2006-01</t>
        </is>
      </c>
      <c r="C495" t="n">
        <v>206192</v>
      </c>
      <c r="D495" t="n">
        <v>1562668</v>
      </c>
      <c r="E495">
        <f>C495</f>
        <v/>
      </c>
      <c r="F495">
        <f>IF(C495&gt;0,D495/C495,NA())</f>
        <v/>
      </c>
    </row>
    <row r="496">
      <c r="A496" t="inlineStr">
        <is>
          <t>El Trapial</t>
        </is>
      </c>
      <c r="B496" t="inlineStr">
        <is>
          <t>2006-02</t>
        </is>
      </c>
      <c r="C496" t="n">
        <v>183596</v>
      </c>
      <c r="D496" t="n">
        <v>1433495</v>
      </c>
      <c r="E496">
        <f>E495+C496</f>
        <v/>
      </c>
      <c r="F496">
        <f>IF(C496&gt;0,D496/C496,NA())</f>
        <v/>
      </c>
    </row>
    <row r="497">
      <c r="A497" t="inlineStr">
        <is>
          <t>El Trapial</t>
        </is>
      </c>
      <c r="B497" t="inlineStr">
        <is>
          <t>2006-03</t>
        </is>
      </c>
      <c r="C497" t="n">
        <v>201610</v>
      </c>
      <c r="D497" t="n">
        <v>1584979.1</v>
      </c>
      <c r="E497">
        <f>E496+C497</f>
        <v/>
      </c>
      <c r="F497">
        <f>IF(C497&gt;0,D497/C497,NA())</f>
        <v/>
      </c>
    </row>
    <row r="498">
      <c r="A498" t="inlineStr">
        <is>
          <t>El Trapial</t>
        </is>
      </c>
      <c r="B498" t="inlineStr">
        <is>
          <t>2006-04</t>
        </is>
      </c>
      <c r="C498" t="n">
        <v>188397</v>
      </c>
      <c r="D498" t="n">
        <v>1526877.7</v>
      </c>
      <c r="E498">
        <f>E497+C498</f>
        <v/>
      </c>
      <c r="F498">
        <f>IF(C498&gt;0,D498/C498,NA())</f>
        <v/>
      </c>
    </row>
    <row r="499">
      <c r="A499" t="inlineStr">
        <is>
          <t>El Trapial</t>
        </is>
      </c>
      <c r="B499" t="inlineStr">
        <is>
          <t>2006-05</t>
        </is>
      </c>
      <c r="C499" t="n">
        <v>199095</v>
      </c>
      <c r="D499" t="n">
        <v>1626278</v>
      </c>
      <c r="E499">
        <f>E498+C499</f>
        <v/>
      </c>
      <c r="F499">
        <f>IF(C499&gt;0,D499/C499,NA())</f>
        <v/>
      </c>
    </row>
    <row r="500">
      <c r="A500" t="inlineStr">
        <is>
          <t>El Trapial</t>
        </is>
      </c>
      <c r="B500" t="inlineStr">
        <is>
          <t>2006-06</t>
        </is>
      </c>
      <c r="C500" t="n">
        <v>196197</v>
      </c>
      <c r="D500" t="n">
        <v>1515860</v>
      </c>
      <c r="E500">
        <f>E499+C500</f>
        <v/>
      </c>
      <c r="F500">
        <f>IF(C500&gt;0,D500/C500,NA())</f>
        <v/>
      </c>
    </row>
    <row r="501">
      <c r="A501" t="inlineStr">
        <is>
          <t>El Trapial</t>
        </is>
      </c>
      <c r="B501" t="inlineStr">
        <is>
          <t>2006-07</t>
        </is>
      </c>
      <c r="C501" t="n">
        <v>203451</v>
      </c>
      <c r="D501" t="n">
        <v>1584866</v>
      </c>
      <c r="E501">
        <f>E500+C501</f>
        <v/>
      </c>
      <c r="F501">
        <f>IF(C501&gt;0,D501/C501,NA())</f>
        <v/>
      </c>
    </row>
    <row r="502">
      <c r="A502" t="inlineStr">
        <is>
          <t>El Trapial</t>
        </is>
      </c>
      <c r="B502" t="inlineStr">
        <is>
          <t>2006-08</t>
        </is>
      </c>
      <c r="C502" t="n">
        <v>206926</v>
      </c>
      <c r="D502" t="n">
        <v>1627684</v>
      </c>
      <c r="E502">
        <f>E501+C502</f>
        <v/>
      </c>
      <c r="F502">
        <f>IF(C502&gt;0,D502/C502,NA())</f>
        <v/>
      </c>
    </row>
    <row r="503">
      <c r="A503" t="inlineStr">
        <is>
          <t>El Trapial</t>
        </is>
      </c>
      <c r="B503" t="inlineStr">
        <is>
          <t>2006-09</t>
        </is>
      </c>
      <c r="C503" t="n">
        <v>200266</v>
      </c>
      <c r="D503" t="n">
        <v>1596615</v>
      </c>
      <c r="E503">
        <f>E502+C503</f>
        <v/>
      </c>
      <c r="F503">
        <f>IF(C503&gt;0,D503/C503,NA())</f>
        <v/>
      </c>
    </row>
    <row r="504">
      <c r="A504" t="inlineStr">
        <is>
          <t>El Trapial</t>
        </is>
      </c>
      <c r="B504" t="inlineStr">
        <is>
          <t>2006-10</t>
        </is>
      </c>
      <c r="C504" t="n">
        <v>209132</v>
      </c>
      <c r="D504" t="n">
        <v>1625232</v>
      </c>
      <c r="E504">
        <f>E503+C504</f>
        <v/>
      </c>
      <c r="F504">
        <f>IF(C504&gt;0,D504/C504,NA())</f>
        <v/>
      </c>
    </row>
    <row r="505">
      <c r="A505" t="inlineStr">
        <is>
          <t>El Trapial</t>
        </is>
      </c>
      <c r="B505" t="inlineStr">
        <is>
          <t>2006-11</t>
        </is>
      </c>
      <c r="C505" t="n">
        <v>191434</v>
      </c>
      <c r="D505" t="n">
        <v>1515170</v>
      </c>
      <c r="E505">
        <f>E504+C505</f>
        <v/>
      </c>
      <c r="F505">
        <f>IF(C505&gt;0,D505/C505,NA())</f>
        <v/>
      </c>
    </row>
    <row r="506">
      <c r="A506" t="inlineStr">
        <is>
          <t>El Trapial</t>
        </is>
      </c>
      <c r="B506" t="inlineStr">
        <is>
          <t>2006-12</t>
        </is>
      </c>
      <c r="C506" t="n">
        <v>206294</v>
      </c>
      <c r="D506" t="n">
        <v>1573115</v>
      </c>
      <c r="E506">
        <f>E505+C506</f>
        <v/>
      </c>
      <c r="F506">
        <f>IF(C506&gt;0,D506/C506,NA())</f>
        <v/>
      </c>
    </row>
    <row r="507">
      <c r="A507" t="inlineStr">
        <is>
          <t>El Trapial</t>
        </is>
      </c>
      <c r="B507" t="inlineStr">
        <is>
          <t>2007-01</t>
        </is>
      </c>
      <c r="C507" t="n">
        <v>206875</v>
      </c>
      <c r="D507" t="n">
        <v>1567231</v>
      </c>
      <c r="E507">
        <f>E506+C507</f>
        <v/>
      </c>
      <c r="F507">
        <f>IF(C507&gt;0,D507/C507,NA())</f>
        <v/>
      </c>
    </row>
    <row r="508">
      <c r="A508" t="inlineStr">
        <is>
          <t>El Trapial</t>
        </is>
      </c>
      <c r="B508" t="inlineStr">
        <is>
          <t>2007-02</t>
        </is>
      </c>
      <c r="C508" t="n">
        <v>187714</v>
      </c>
      <c r="D508" t="n">
        <v>1384449.1</v>
      </c>
      <c r="E508">
        <f>E507+C508</f>
        <v/>
      </c>
      <c r="F508">
        <f>IF(C508&gt;0,D508/C508,NA())</f>
        <v/>
      </c>
    </row>
    <row r="509">
      <c r="A509" t="inlineStr">
        <is>
          <t>El Trapial</t>
        </is>
      </c>
      <c r="B509" t="inlineStr">
        <is>
          <t>2007-03</t>
        </is>
      </c>
      <c r="C509" t="n">
        <v>210927</v>
      </c>
      <c r="D509" t="n">
        <v>1657611</v>
      </c>
      <c r="E509">
        <f>E508+C509</f>
        <v/>
      </c>
      <c r="F509">
        <f>IF(C509&gt;0,D509/C509,NA())</f>
        <v/>
      </c>
    </row>
    <row r="510">
      <c r="A510" t="inlineStr">
        <is>
          <t>El Trapial</t>
        </is>
      </c>
      <c r="B510" t="inlineStr">
        <is>
          <t>2007-04</t>
        </is>
      </c>
      <c r="C510" t="n">
        <v>208124</v>
      </c>
      <c r="D510" t="n">
        <v>1539825</v>
      </c>
      <c r="E510">
        <f>E509+C510</f>
        <v/>
      </c>
      <c r="F510">
        <f>IF(C510&gt;0,D510/C510,NA())</f>
        <v/>
      </c>
    </row>
    <row r="511">
      <c r="A511" t="inlineStr">
        <is>
          <t>El Trapial</t>
        </is>
      </c>
      <c r="B511" t="inlineStr">
        <is>
          <t>2007-05</t>
        </is>
      </c>
      <c r="C511" t="n">
        <v>213101</v>
      </c>
      <c r="D511" t="n">
        <v>1564081</v>
      </c>
      <c r="E511">
        <f>E510+C511</f>
        <v/>
      </c>
      <c r="F511">
        <f>IF(C511&gt;0,D511/C511,NA())</f>
        <v/>
      </c>
    </row>
    <row r="512">
      <c r="A512" t="inlineStr">
        <is>
          <t>El Trapial</t>
        </is>
      </c>
      <c r="B512" t="inlineStr">
        <is>
          <t>2007-06</t>
        </is>
      </c>
      <c r="C512" t="n">
        <v>206287</v>
      </c>
      <c r="D512" t="n">
        <v>1531061</v>
      </c>
      <c r="E512">
        <f>E511+C512</f>
        <v/>
      </c>
      <c r="F512">
        <f>IF(C512&gt;0,D512/C512,NA())</f>
        <v/>
      </c>
    </row>
    <row r="513">
      <c r="A513" t="inlineStr">
        <is>
          <t>El Trapial</t>
        </is>
      </c>
      <c r="B513" t="inlineStr">
        <is>
          <t>2007-07</t>
        </is>
      </c>
      <c r="C513" t="n">
        <v>203146</v>
      </c>
      <c r="D513" t="n">
        <v>1563224</v>
      </c>
      <c r="E513">
        <f>E512+C513</f>
        <v/>
      </c>
      <c r="F513">
        <f>IF(C513&gt;0,D513/C513,NA())</f>
        <v/>
      </c>
    </row>
    <row r="514">
      <c r="A514" t="inlineStr">
        <is>
          <t>El Trapial</t>
        </is>
      </c>
      <c r="B514" t="inlineStr">
        <is>
          <t>2007-08</t>
        </is>
      </c>
      <c r="C514" t="n">
        <v>206939</v>
      </c>
      <c r="D514" t="n">
        <v>1589526</v>
      </c>
      <c r="E514">
        <f>E513+C514</f>
        <v/>
      </c>
      <c r="F514">
        <f>IF(C514&gt;0,D514/C514,NA())</f>
        <v/>
      </c>
    </row>
    <row r="515">
      <c r="A515" t="inlineStr">
        <is>
          <t>El Trapial</t>
        </is>
      </c>
      <c r="B515" t="inlineStr">
        <is>
          <t>2007-09</t>
        </is>
      </c>
      <c r="C515" t="n">
        <v>205228</v>
      </c>
      <c r="D515" t="n">
        <v>1502932</v>
      </c>
      <c r="E515">
        <f>E514+C515</f>
        <v/>
      </c>
      <c r="F515">
        <f>IF(C515&gt;0,D515/C515,NA())</f>
        <v/>
      </c>
    </row>
    <row r="516">
      <c r="A516" t="inlineStr">
        <is>
          <t>El Trapial</t>
        </is>
      </c>
      <c r="B516" t="inlineStr">
        <is>
          <t>2007-10</t>
        </is>
      </c>
      <c r="C516" t="n">
        <v>216562</v>
      </c>
      <c r="D516" t="n">
        <v>1544004</v>
      </c>
      <c r="E516">
        <f>E515+C516</f>
        <v/>
      </c>
      <c r="F516">
        <f>IF(C516&gt;0,D516/C516,NA())</f>
        <v/>
      </c>
    </row>
    <row r="517">
      <c r="A517" t="inlineStr">
        <is>
          <t>El Trapial</t>
        </is>
      </c>
      <c r="B517" t="inlineStr">
        <is>
          <t>2007-11</t>
        </is>
      </c>
      <c r="C517" t="n">
        <v>213292</v>
      </c>
      <c r="D517" t="n">
        <v>1502877</v>
      </c>
      <c r="E517">
        <f>E516+C517</f>
        <v/>
      </c>
      <c r="F517">
        <f>IF(C517&gt;0,D517/C517,NA())</f>
        <v/>
      </c>
    </row>
    <row r="518">
      <c r="A518" t="inlineStr">
        <is>
          <t>El Trapial</t>
        </is>
      </c>
      <c r="B518" t="inlineStr">
        <is>
          <t>2007-12</t>
        </is>
      </c>
      <c r="C518" t="n">
        <v>220787</v>
      </c>
      <c r="D518" t="n">
        <v>1493056</v>
      </c>
      <c r="E518">
        <f>E517+C518</f>
        <v/>
      </c>
      <c r="F518">
        <f>IF(C518&gt;0,D518/C518,NA())</f>
        <v/>
      </c>
    </row>
    <row r="519">
      <c r="A519" t="inlineStr">
        <is>
          <t>El Trapial</t>
        </is>
      </c>
      <c r="B519" t="inlineStr">
        <is>
          <t>2008-01</t>
        </is>
      </c>
      <c r="C519" t="n">
        <v>219051</v>
      </c>
      <c r="D519" t="n">
        <v>1471837.8</v>
      </c>
      <c r="E519">
        <f>E518+C519</f>
        <v/>
      </c>
      <c r="F519">
        <f>IF(C519&gt;0,D519/C519,NA())</f>
        <v/>
      </c>
    </row>
    <row r="520">
      <c r="A520" t="inlineStr">
        <is>
          <t>El Trapial</t>
        </is>
      </c>
      <c r="B520" t="inlineStr">
        <is>
          <t>2008-02</t>
        </is>
      </c>
      <c r="C520" t="n">
        <v>204616</v>
      </c>
      <c r="D520" t="n">
        <v>1393828</v>
      </c>
      <c r="E520">
        <f>E519+C520</f>
        <v/>
      </c>
      <c r="F520">
        <f>IF(C520&gt;0,D520/C520,NA())</f>
        <v/>
      </c>
    </row>
    <row r="521">
      <c r="A521" t="inlineStr">
        <is>
          <t>El Trapial</t>
        </is>
      </c>
      <c r="B521" t="inlineStr">
        <is>
          <t>2008-03</t>
        </is>
      </c>
      <c r="C521" t="n">
        <v>216993</v>
      </c>
      <c r="D521" t="n">
        <v>1528633</v>
      </c>
      <c r="E521">
        <f>E520+C521</f>
        <v/>
      </c>
      <c r="F521">
        <f>IF(C521&gt;0,D521/C521,NA())</f>
        <v/>
      </c>
    </row>
    <row r="522">
      <c r="A522" t="inlineStr">
        <is>
          <t>El Trapial</t>
        </is>
      </c>
      <c r="B522" t="inlineStr">
        <is>
          <t>2008-04</t>
        </is>
      </c>
      <c r="C522" t="n">
        <v>206009</v>
      </c>
      <c r="D522" t="n">
        <v>1429067.5</v>
      </c>
      <c r="E522">
        <f>E521+C522</f>
        <v/>
      </c>
      <c r="F522">
        <f>IF(C522&gt;0,D522/C522,NA())</f>
        <v/>
      </c>
    </row>
    <row r="523">
      <c r="A523" t="inlineStr">
        <is>
          <t>El Trapial</t>
        </is>
      </c>
      <c r="B523" t="inlineStr">
        <is>
          <t>2008-05</t>
        </is>
      </c>
      <c r="C523" t="n">
        <v>208481.4</v>
      </c>
      <c r="D523" t="n">
        <v>1470955.3</v>
      </c>
      <c r="E523">
        <f>E522+C523</f>
        <v/>
      </c>
      <c r="F523">
        <f>IF(C523&gt;0,D523/C523,NA())</f>
        <v/>
      </c>
    </row>
    <row r="524">
      <c r="A524" t="inlineStr">
        <is>
          <t>El Trapial</t>
        </is>
      </c>
      <c r="B524" t="inlineStr">
        <is>
          <t>2008-06</t>
        </is>
      </c>
      <c r="C524" t="n">
        <v>200938</v>
      </c>
      <c r="D524" t="n">
        <v>1380973.7</v>
      </c>
      <c r="E524">
        <f>E523+C524</f>
        <v/>
      </c>
      <c r="F524">
        <f>IF(C524&gt;0,D524/C524,NA())</f>
        <v/>
      </c>
    </row>
    <row r="525">
      <c r="A525" t="inlineStr">
        <is>
          <t>El Trapial</t>
        </is>
      </c>
      <c r="B525" t="inlineStr">
        <is>
          <t>2008-07</t>
        </is>
      </c>
      <c r="C525" t="n">
        <v>202040</v>
      </c>
      <c r="D525" t="n">
        <v>1462968.5</v>
      </c>
      <c r="E525">
        <f>E524+C525</f>
        <v/>
      </c>
      <c r="F525">
        <f>IF(C525&gt;0,D525/C525,NA())</f>
        <v/>
      </c>
    </row>
    <row r="526">
      <c r="A526" t="inlineStr">
        <is>
          <t>El Trapial</t>
        </is>
      </c>
      <c r="B526" t="inlineStr">
        <is>
          <t>2008-08</t>
        </is>
      </c>
      <c r="C526" t="n">
        <v>202382.9</v>
      </c>
      <c r="D526" t="n">
        <v>1494156.9</v>
      </c>
      <c r="E526">
        <f>E525+C526</f>
        <v/>
      </c>
      <c r="F526">
        <f>IF(C526&gt;0,D526/C526,NA())</f>
        <v/>
      </c>
    </row>
    <row r="527">
      <c r="A527" t="inlineStr">
        <is>
          <t>El Trapial</t>
        </is>
      </c>
      <c r="B527" t="inlineStr">
        <is>
          <t>2008-09</t>
        </is>
      </c>
      <c r="C527" t="n">
        <v>200317</v>
      </c>
      <c r="D527" t="n">
        <v>1435980.8</v>
      </c>
      <c r="E527">
        <f>E526+C527</f>
        <v/>
      </c>
      <c r="F527">
        <f>IF(C527&gt;0,D527/C527,NA())</f>
        <v/>
      </c>
    </row>
    <row r="528">
      <c r="A528" t="inlineStr">
        <is>
          <t>El Trapial</t>
        </is>
      </c>
      <c r="B528" t="inlineStr">
        <is>
          <t>2008-10</t>
        </is>
      </c>
      <c r="C528" t="n">
        <v>205255</v>
      </c>
      <c r="D528" t="n">
        <v>1443103</v>
      </c>
      <c r="E528">
        <f>E527+C528</f>
        <v/>
      </c>
      <c r="F528">
        <f>IF(C528&gt;0,D528/C528,NA())</f>
        <v/>
      </c>
    </row>
    <row r="529">
      <c r="A529" t="inlineStr">
        <is>
          <t>El Trapial</t>
        </is>
      </c>
      <c r="B529" t="inlineStr">
        <is>
          <t>2008-11</t>
        </is>
      </c>
      <c r="C529" t="n">
        <v>200094</v>
      </c>
      <c r="D529" t="n">
        <v>1377892.8</v>
      </c>
      <c r="E529">
        <f>E528+C529</f>
        <v/>
      </c>
      <c r="F529">
        <f>IF(C529&gt;0,D529/C529,NA())</f>
        <v/>
      </c>
    </row>
    <row r="530">
      <c r="A530" t="inlineStr">
        <is>
          <t>El Trapial</t>
        </is>
      </c>
      <c r="B530" t="inlineStr">
        <is>
          <t>2008-12</t>
        </is>
      </c>
      <c r="C530" t="n">
        <v>204471.9</v>
      </c>
      <c r="D530" t="n">
        <v>1461236.3</v>
      </c>
      <c r="E530">
        <f>E529+C530</f>
        <v/>
      </c>
      <c r="F530">
        <f>IF(C530&gt;0,D530/C530,NA())</f>
        <v/>
      </c>
    </row>
    <row r="531">
      <c r="A531" t="inlineStr">
        <is>
          <t>El Trapial</t>
        </is>
      </c>
      <c r="B531" t="inlineStr">
        <is>
          <t>2009-01</t>
        </is>
      </c>
      <c r="C531" t="n">
        <v>205002</v>
      </c>
      <c r="D531" t="n">
        <v>1457475</v>
      </c>
      <c r="E531">
        <f>E530+C531</f>
        <v/>
      </c>
      <c r="F531">
        <f>IF(C531&gt;0,D531/C531,NA())</f>
        <v/>
      </c>
    </row>
    <row r="532">
      <c r="A532" t="inlineStr">
        <is>
          <t>El Trapial</t>
        </is>
      </c>
      <c r="B532" t="inlineStr">
        <is>
          <t>2009-02</t>
        </is>
      </c>
      <c r="C532" t="n">
        <v>185468</v>
      </c>
      <c r="D532" t="n">
        <v>1333554.1</v>
      </c>
      <c r="E532">
        <f>E531+C532</f>
        <v/>
      </c>
      <c r="F532">
        <f>IF(C532&gt;0,D532/C532,NA())</f>
        <v/>
      </c>
    </row>
    <row r="533">
      <c r="A533" t="inlineStr">
        <is>
          <t>El Trapial</t>
        </is>
      </c>
      <c r="B533" t="inlineStr">
        <is>
          <t>2009-03</t>
        </is>
      </c>
      <c r="C533" t="n">
        <v>183353</v>
      </c>
      <c r="D533" t="n">
        <v>1443015.2</v>
      </c>
      <c r="E533">
        <f>E532+C533</f>
        <v/>
      </c>
      <c r="F533">
        <f>IF(C533&gt;0,D533/C533,NA())</f>
        <v/>
      </c>
    </row>
    <row r="534">
      <c r="A534" t="inlineStr">
        <is>
          <t>El Trapial</t>
        </is>
      </c>
      <c r="B534" t="inlineStr">
        <is>
          <t>2009-04</t>
        </is>
      </c>
      <c r="C534" t="n">
        <v>195855</v>
      </c>
      <c r="D534" t="n">
        <v>1370187.3</v>
      </c>
      <c r="E534">
        <f>E533+C534</f>
        <v/>
      </c>
      <c r="F534">
        <f>IF(C534&gt;0,D534/C534,NA())</f>
        <v/>
      </c>
    </row>
    <row r="535">
      <c r="A535" t="inlineStr">
        <is>
          <t>El Trapial</t>
        </is>
      </c>
      <c r="B535" t="inlineStr">
        <is>
          <t>2009-05</t>
        </is>
      </c>
      <c r="C535" t="n">
        <v>200581</v>
      </c>
      <c r="D535" t="n">
        <v>1418927.2</v>
      </c>
      <c r="E535">
        <f>E534+C535</f>
        <v/>
      </c>
      <c r="F535">
        <f>IF(C535&gt;0,D535/C535,NA())</f>
        <v/>
      </c>
    </row>
    <row r="536">
      <c r="A536" t="inlineStr">
        <is>
          <t>El Trapial</t>
        </is>
      </c>
      <c r="B536" t="inlineStr">
        <is>
          <t>2009-06</t>
        </is>
      </c>
      <c r="C536" t="n">
        <v>197522</v>
      </c>
      <c r="D536" t="n">
        <v>1392977.2</v>
      </c>
      <c r="E536">
        <f>E535+C536</f>
        <v/>
      </c>
      <c r="F536">
        <f>IF(C536&gt;0,D536/C536,NA())</f>
        <v/>
      </c>
    </row>
    <row r="537">
      <c r="A537" t="inlineStr">
        <is>
          <t>El Trapial</t>
        </is>
      </c>
      <c r="B537" t="inlineStr">
        <is>
          <t>2009-07</t>
        </is>
      </c>
      <c r="C537" t="n">
        <v>199721</v>
      </c>
      <c r="D537" t="n">
        <v>1418201.9</v>
      </c>
      <c r="E537">
        <f>E536+C537</f>
        <v/>
      </c>
      <c r="F537">
        <f>IF(C537&gt;0,D537/C537,NA())</f>
        <v/>
      </c>
    </row>
    <row r="538">
      <c r="A538" t="inlineStr">
        <is>
          <t>El Trapial</t>
        </is>
      </c>
      <c r="B538" t="inlineStr">
        <is>
          <t>2009-08</t>
        </is>
      </c>
      <c r="C538" t="n">
        <v>203379</v>
      </c>
      <c r="D538" t="n">
        <v>1441017.4</v>
      </c>
      <c r="E538">
        <f>E537+C538</f>
        <v/>
      </c>
      <c r="F538">
        <f>IF(C538&gt;0,D538/C538,NA())</f>
        <v/>
      </c>
    </row>
    <row r="539">
      <c r="A539" t="inlineStr">
        <is>
          <t>El Trapial</t>
        </is>
      </c>
      <c r="B539" t="inlineStr">
        <is>
          <t>2009-09</t>
        </is>
      </c>
      <c r="C539" t="n">
        <v>189745</v>
      </c>
      <c r="D539" t="n">
        <v>1336134.4</v>
      </c>
      <c r="E539">
        <f>E538+C539</f>
        <v/>
      </c>
      <c r="F539">
        <f>IF(C539&gt;0,D539/C539,NA())</f>
        <v/>
      </c>
    </row>
    <row r="540">
      <c r="A540" t="inlineStr">
        <is>
          <t>El Trapial</t>
        </is>
      </c>
      <c r="B540" t="inlineStr">
        <is>
          <t>2009-10</t>
        </is>
      </c>
      <c r="C540" t="n">
        <v>202222</v>
      </c>
      <c r="D540" t="n">
        <v>1393219.7</v>
      </c>
      <c r="E540">
        <f>E539+C540</f>
        <v/>
      </c>
      <c r="F540">
        <f>IF(C540&gt;0,D540/C540,NA())</f>
        <v/>
      </c>
    </row>
    <row r="541">
      <c r="A541" t="inlineStr">
        <is>
          <t>El Trapial</t>
        </is>
      </c>
      <c r="B541" t="inlineStr">
        <is>
          <t>2009-11</t>
        </is>
      </c>
      <c r="C541" t="n">
        <v>193014</v>
      </c>
      <c r="D541" t="n">
        <v>1336310.6</v>
      </c>
      <c r="E541">
        <f>E540+C541</f>
        <v/>
      </c>
      <c r="F541">
        <f>IF(C541&gt;0,D541/C541,NA())</f>
        <v/>
      </c>
    </row>
    <row r="542">
      <c r="A542" t="inlineStr">
        <is>
          <t>El Trapial</t>
        </is>
      </c>
      <c r="B542" t="inlineStr">
        <is>
          <t>2009-12</t>
        </is>
      </c>
      <c r="C542" t="n">
        <v>195357.8</v>
      </c>
      <c r="D542" t="n">
        <v>1371289.9</v>
      </c>
      <c r="E542">
        <f>E541+C542</f>
        <v/>
      </c>
      <c r="F542">
        <f>IF(C542&gt;0,D542/C542,NA())</f>
        <v/>
      </c>
    </row>
    <row r="543">
      <c r="A543" t="inlineStr">
        <is>
          <t>El Trapial</t>
        </is>
      </c>
      <c r="B543" t="inlineStr">
        <is>
          <t>2010-01</t>
        </is>
      </c>
      <c r="C543" t="n">
        <v>198462.3</v>
      </c>
      <c r="D543" t="n">
        <v>1315140.7</v>
      </c>
      <c r="E543">
        <f>E542+C543</f>
        <v/>
      </c>
      <c r="F543">
        <f>IF(C543&gt;0,D543/C543,NA())</f>
        <v/>
      </c>
    </row>
    <row r="544">
      <c r="A544" t="inlineStr">
        <is>
          <t>El Trapial</t>
        </is>
      </c>
      <c r="B544" t="inlineStr">
        <is>
          <t>2010-02</t>
        </is>
      </c>
      <c r="C544" t="n">
        <v>179803.1</v>
      </c>
      <c r="D544" t="n">
        <v>1196509.9</v>
      </c>
      <c r="E544">
        <f>E543+C544</f>
        <v/>
      </c>
      <c r="F544">
        <f>IF(C544&gt;0,D544/C544,NA())</f>
        <v/>
      </c>
    </row>
    <row r="545">
      <c r="A545" t="inlineStr">
        <is>
          <t>El Trapial</t>
        </is>
      </c>
      <c r="B545" t="inlineStr">
        <is>
          <t>2010-03</t>
        </is>
      </c>
      <c r="C545" t="n">
        <v>199393.2</v>
      </c>
      <c r="D545" t="n">
        <v>1339651.2</v>
      </c>
      <c r="E545">
        <f>E544+C545</f>
        <v/>
      </c>
      <c r="F545">
        <f>IF(C545&gt;0,D545/C545,NA())</f>
        <v/>
      </c>
    </row>
    <row r="546">
      <c r="A546" t="inlineStr">
        <is>
          <t>El Trapial</t>
        </is>
      </c>
      <c r="B546" t="inlineStr">
        <is>
          <t>2010-04</t>
        </is>
      </c>
      <c r="C546" t="n">
        <v>192181</v>
      </c>
      <c r="D546" t="n">
        <v>1285863.6</v>
      </c>
      <c r="E546">
        <f>E545+C546</f>
        <v/>
      </c>
      <c r="F546">
        <f>IF(C546&gt;0,D546/C546,NA())</f>
        <v/>
      </c>
    </row>
    <row r="547">
      <c r="A547" t="inlineStr">
        <is>
          <t>El Trapial</t>
        </is>
      </c>
      <c r="B547" t="inlineStr">
        <is>
          <t>2010-05</t>
        </is>
      </c>
      <c r="C547" t="n">
        <v>195930</v>
      </c>
      <c r="D547" t="n">
        <v>1315150.5</v>
      </c>
      <c r="E547">
        <f>E546+C547</f>
        <v/>
      </c>
      <c r="F547">
        <f>IF(C547&gt;0,D547/C547,NA())</f>
        <v/>
      </c>
    </row>
    <row r="548">
      <c r="A548" t="inlineStr">
        <is>
          <t>El Trapial</t>
        </is>
      </c>
      <c r="B548" t="inlineStr">
        <is>
          <t>2010-06</t>
        </is>
      </c>
      <c r="C548" t="n">
        <v>186430</v>
      </c>
      <c r="D548" t="n">
        <v>1292750.3</v>
      </c>
      <c r="E548">
        <f>E547+C548</f>
        <v/>
      </c>
      <c r="F548">
        <f>IF(C548&gt;0,D548/C548,NA())</f>
        <v/>
      </c>
    </row>
    <row r="549">
      <c r="A549" t="inlineStr">
        <is>
          <t>El Trapial</t>
        </is>
      </c>
      <c r="B549" t="inlineStr">
        <is>
          <t>2010-07</t>
        </is>
      </c>
      <c r="C549" t="n">
        <v>190023</v>
      </c>
      <c r="D549" t="n">
        <v>1347043</v>
      </c>
      <c r="E549">
        <f>E548+C549</f>
        <v/>
      </c>
      <c r="F549">
        <f>IF(C549&gt;0,D549/C549,NA())</f>
        <v/>
      </c>
    </row>
    <row r="550">
      <c r="A550" t="inlineStr">
        <is>
          <t>El Trapial</t>
        </is>
      </c>
      <c r="B550" t="inlineStr">
        <is>
          <t>2010-08</t>
        </is>
      </c>
      <c r="C550" t="n">
        <v>187856</v>
      </c>
      <c r="D550" t="n">
        <v>1335962.4</v>
      </c>
      <c r="E550">
        <f>E549+C550</f>
        <v/>
      </c>
      <c r="F550">
        <f>IF(C550&gt;0,D550/C550,NA())</f>
        <v/>
      </c>
    </row>
    <row r="551">
      <c r="A551" t="inlineStr">
        <is>
          <t>El Trapial</t>
        </is>
      </c>
      <c r="B551" t="inlineStr">
        <is>
          <t>2010-09</t>
        </is>
      </c>
      <c r="C551" t="n">
        <v>180388.9</v>
      </c>
      <c r="D551" t="n">
        <v>1299448</v>
      </c>
      <c r="E551">
        <f>E550+C551</f>
        <v/>
      </c>
      <c r="F551">
        <f>IF(C551&gt;0,D551/C551,NA())</f>
        <v/>
      </c>
    </row>
    <row r="552">
      <c r="A552" t="inlineStr">
        <is>
          <t>El Trapial</t>
        </is>
      </c>
      <c r="B552" t="inlineStr">
        <is>
          <t>2010-10</t>
        </is>
      </c>
      <c r="C552" t="n">
        <v>186284.9</v>
      </c>
      <c r="D552" t="n">
        <v>1334259.3</v>
      </c>
      <c r="E552">
        <f>E551+C552</f>
        <v/>
      </c>
      <c r="F552">
        <f>IF(C552&gt;0,D552/C552,NA())</f>
        <v/>
      </c>
    </row>
    <row r="553">
      <c r="A553" t="inlineStr">
        <is>
          <t>El Trapial</t>
        </is>
      </c>
      <c r="B553" t="inlineStr">
        <is>
          <t>2010-11</t>
        </is>
      </c>
      <c r="C553" t="n">
        <v>178984</v>
      </c>
      <c r="D553" t="n">
        <v>1284445.1</v>
      </c>
      <c r="E553">
        <f>E552+C553</f>
        <v/>
      </c>
      <c r="F553">
        <f>IF(C553&gt;0,D553/C553,NA())</f>
        <v/>
      </c>
    </row>
    <row r="554">
      <c r="A554" t="inlineStr">
        <is>
          <t>El Trapial</t>
        </is>
      </c>
      <c r="B554" t="inlineStr">
        <is>
          <t>2010-12</t>
        </is>
      </c>
      <c r="C554" t="n">
        <v>182113.8</v>
      </c>
      <c r="D554" t="n">
        <v>1319563.5</v>
      </c>
      <c r="E554">
        <f>E553+C554</f>
        <v/>
      </c>
      <c r="F554">
        <f>IF(C554&gt;0,D554/C554,NA())</f>
        <v/>
      </c>
    </row>
    <row r="555">
      <c r="A555" t="inlineStr">
        <is>
          <t>El Trapial</t>
        </is>
      </c>
      <c r="B555" t="inlineStr">
        <is>
          <t>2011-01</t>
        </is>
      </c>
      <c r="C555" t="n">
        <v>181208</v>
      </c>
      <c r="D555" t="n">
        <v>1309597.9</v>
      </c>
      <c r="E555">
        <f>E554+C555</f>
        <v/>
      </c>
      <c r="F555">
        <f>IF(C555&gt;0,D555/C555,NA())</f>
        <v/>
      </c>
    </row>
    <row r="556">
      <c r="A556" t="inlineStr">
        <is>
          <t>El Trapial</t>
        </is>
      </c>
      <c r="B556" t="inlineStr">
        <is>
          <t>2011-02</t>
        </is>
      </c>
      <c r="C556" t="n">
        <v>161762.5</v>
      </c>
      <c r="D556" t="n">
        <v>1184422</v>
      </c>
      <c r="E556">
        <f>E555+C556</f>
        <v/>
      </c>
      <c r="F556">
        <f>IF(C556&gt;0,D556/C556,NA())</f>
        <v/>
      </c>
    </row>
    <row r="557">
      <c r="A557" t="inlineStr">
        <is>
          <t>El Trapial</t>
        </is>
      </c>
      <c r="B557" t="inlineStr">
        <is>
          <t>2011-03</t>
        </is>
      </c>
      <c r="C557" t="n">
        <v>175859</v>
      </c>
      <c r="D557" t="n">
        <v>1309664.4</v>
      </c>
      <c r="E557">
        <f>E556+C557</f>
        <v/>
      </c>
      <c r="F557">
        <f>IF(C557&gt;0,D557/C557,NA())</f>
        <v/>
      </c>
    </row>
    <row r="558">
      <c r="A558" t="inlineStr">
        <is>
          <t>El Trapial</t>
        </is>
      </c>
      <c r="B558" t="inlineStr">
        <is>
          <t>2011-04</t>
        </is>
      </c>
      <c r="C558" t="n">
        <v>165853</v>
      </c>
      <c r="D558" t="n">
        <v>1263286.8</v>
      </c>
      <c r="E558">
        <f>E557+C558</f>
        <v/>
      </c>
      <c r="F558">
        <f>IF(C558&gt;0,D558/C558,NA())</f>
        <v/>
      </c>
    </row>
    <row r="559">
      <c r="A559" t="inlineStr">
        <is>
          <t>El Trapial</t>
        </is>
      </c>
      <c r="B559" t="inlineStr">
        <is>
          <t>2011-05</t>
        </is>
      </c>
      <c r="C559" t="n">
        <v>167138.7</v>
      </c>
      <c r="D559" t="n">
        <v>1331226.9</v>
      </c>
      <c r="E559">
        <f>E558+C559</f>
        <v/>
      </c>
      <c r="F559">
        <f>IF(C559&gt;0,D559/C559,NA())</f>
        <v/>
      </c>
    </row>
    <row r="560">
      <c r="A560" t="inlineStr">
        <is>
          <t>El Trapial</t>
        </is>
      </c>
      <c r="B560" t="inlineStr">
        <is>
          <t>2011-06</t>
        </is>
      </c>
      <c r="C560" t="n">
        <v>155799.5</v>
      </c>
      <c r="D560" t="n">
        <v>1287042</v>
      </c>
      <c r="E560">
        <f>E559+C560</f>
        <v/>
      </c>
      <c r="F560">
        <f>IF(C560&gt;0,D560/C560,NA())</f>
        <v/>
      </c>
    </row>
    <row r="561">
      <c r="A561" t="inlineStr">
        <is>
          <t>El Trapial</t>
        </is>
      </c>
      <c r="B561" t="inlineStr">
        <is>
          <t>2011-07</t>
        </is>
      </c>
      <c r="C561" t="n">
        <v>153054</v>
      </c>
      <c r="D561" t="n">
        <v>1347884.7</v>
      </c>
      <c r="E561">
        <f>E560+C561</f>
        <v/>
      </c>
      <c r="F561">
        <f>IF(C561&gt;0,D561/C561,NA())</f>
        <v/>
      </c>
    </row>
    <row r="562">
      <c r="A562" t="inlineStr">
        <is>
          <t>El Trapial</t>
        </is>
      </c>
      <c r="B562" t="inlineStr">
        <is>
          <t>2011-08</t>
        </is>
      </c>
      <c r="C562" t="n">
        <v>153248</v>
      </c>
      <c r="D562" t="n">
        <v>1333343</v>
      </c>
      <c r="E562">
        <f>E561+C562</f>
        <v/>
      </c>
      <c r="F562">
        <f>IF(C562&gt;0,D562/C562,NA())</f>
        <v/>
      </c>
    </row>
    <row r="563">
      <c r="A563" t="inlineStr">
        <is>
          <t>El Trapial</t>
        </is>
      </c>
      <c r="B563" t="inlineStr">
        <is>
          <t>2011-09</t>
        </is>
      </c>
      <c r="C563" t="n">
        <v>149266</v>
      </c>
      <c r="D563" t="n">
        <v>1275529.5</v>
      </c>
      <c r="E563">
        <f>E562+C563</f>
        <v/>
      </c>
      <c r="F563">
        <f>IF(C563&gt;0,D563/C563,NA())</f>
        <v/>
      </c>
    </row>
    <row r="564">
      <c r="A564" t="inlineStr">
        <is>
          <t>El Trapial</t>
        </is>
      </c>
      <c r="B564" t="inlineStr">
        <is>
          <t>2011-10</t>
        </is>
      </c>
      <c r="C564" t="n">
        <v>153059.6</v>
      </c>
      <c r="D564" t="n">
        <v>1260348.9</v>
      </c>
      <c r="E564">
        <f>E563+C564</f>
        <v/>
      </c>
      <c r="F564">
        <f>IF(C564&gt;0,D564/C564,NA())</f>
        <v/>
      </c>
    </row>
    <row r="565">
      <c r="A565" t="inlineStr">
        <is>
          <t>El Trapial</t>
        </is>
      </c>
      <c r="B565" t="inlineStr">
        <is>
          <t>2011-11</t>
        </is>
      </c>
      <c r="C565" t="n">
        <v>143994.8</v>
      </c>
      <c r="D565" t="n">
        <v>1196817.4</v>
      </c>
      <c r="E565">
        <f>E564+C565</f>
        <v/>
      </c>
      <c r="F565">
        <f>IF(C565&gt;0,D565/C565,NA())</f>
        <v/>
      </c>
    </row>
    <row r="566">
      <c r="A566" t="inlineStr">
        <is>
          <t>El Trapial</t>
        </is>
      </c>
      <c r="B566" t="inlineStr">
        <is>
          <t>2011-12</t>
        </is>
      </c>
      <c r="C566" t="n">
        <v>143356.1</v>
      </c>
      <c r="D566" t="n">
        <v>1246896.9</v>
      </c>
      <c r="E566">
        <f>E565+C566</f>
        <v/>
      </c>
      <c r="F566">
        <f>IF(C566&gt;0,D566/C566,NA())</f>
        <v/>
      </c>
    </row>
    <row r="567">
      <c r="A567" t="inlineStr">
        <is>
          <t>El Trapial</t>
        </is>
      </c>
      <c r="B567" t="inlineStr">
        <is>
          <t>2012-01</t>
        </is>
      </c>
      <c r="C567" t="n">
        <v>139617.2</v>
      </c>
      <c r="D567" t="n">
        <v>1204678</v>
      </c>
      <c r="E567">
        <f>E566+C567</f>
        <v/>
      </c>
      <c r="F567">
        <f>IF(C567&gt;0,D567/C567,NA())</f>
        <v/>
      </c>
    </row>
    <row r="568">
      <c r="A568" t="inlineStr">
        <is>
          <t>El Trapial</t>
        </is>
      </c>
      <c r="B568" t="inlineStr">
        <is>
          <t>2012-02</t>
        </is>
      </c>
      <c r="C568" t="n">
        <v>131207.1</v>
      </c>
      <c r="D568" t="n">
        <v>1120537.6</v>
      </c>
      <c r="E568">
        <f>E567+C568</f>
        <v/>
      </c>
      <c r="F568">
        <f>IF(C568&gt;0,D568/C568,NA())</f>
        <v/>
      </c>
    </row>
    <row r="569">
      <c r="A569" t="inlineStr">
        <is>
          <t>El Trapial</t>
        </is>
      </c>
      <c r="B569" t="inlineStr">
        <is>
          <t>2012-03</t>
        </is>
      </c>
      <c r="C569" t="n">
        <v>135702.9</v>
      </c>
      <c r="D569" t="n">
        <v>1213184.6</v>
      </c>
      <c r="E569">
        <f>E568+C569</f>
        <v/>
      </c>
      <c r="F569">
        <f>IF(C569&gt;0,D569/C569,NA())</f>
        <v/>
      </c>
    </row>
    <row r="570">
      <c r="A570" t="inlineStr">
        <is>
          <t>El Trapial</t>
        </is>
      </c>
      <c r="B570" t="inlineStr">
        <is>
          <t>2012-04</t>
        </is>
      </c>
      <c r="C570" t="n">
        <v>124815</v>
      </c>
      <c r="D570" t="n">
        <v>1177811.1</v>
      </c>
      <c r="E570">
        <f>E569+C570</f>
        <v/>
      </c>
      <c r="F570">
        <f>IF(C570&gt;0,D570/C570,NA())</f>
        <v/>
      </c>
    </row>
    <row r="571">
      <c r="A571" t="inlineStr">
        <is>
          <t>El Trapial</t>
        </is>
      </c>
      <c r="B571" t="inlineStr">
        <is>
          <t>2012-05</t>
        </is>
      </c>
      <c r="C571" t="n">
        <v>130220.2</v>
      </c>
      <c r="D571" t="n">
        <v>1241255.4</v>
      </c>
      <c r="E571">
        <f>E570+C571</f>
        <v/>
      </c>
      <c r="F571">
        <f>IF(C571&gt;0,D571/C571,NA())</f>
        <v/>
      </c>
    </row>
    <row r="572">
      <c r="A572" t="inlineStr">
        <is>
          <t>El Trapial</t>
        </is>
      </c>
      <c r="B572" t="inlineStr">
        <is>
          <t>2012-06</t>
        </is>
      </c>
      <c r="C572" t="n">
        <v>124825</v>
      </c>
      <c r="D572" t="n">
        <v>1219710.4</v>
      </c>
      <c r="E572">
        <f>E571+C572</f>
        <v/>
      </c>
      <c r="F572">
        <f>IF(C572&gt;0,D572/C572,NA())</f>
        <v/>
      </c>
    </row>
    <row r="573">
      <c r="A573" t="inlineStr">
        <is>
          <t>El Trapial</t>
        </is>
      </c>
      <c r="B573" t="inlineStr">
        <is>
          <t>2012-07</t>
        </is>
      </c>
      <c r="C573" t="n">
        <v>127113</v>
      </c>
      <c r="D573" t="n">
        <v>1284998.5</v>
      </c>
      <c r="E573">
        <f>E572+C573</f>
        <v/>
      </c>
      <c r="F573">
        <f>IF(C573&gt;0,D573/C573,NA())</f>
        <v/>
      </c>
    </row>
    <row r="574">
      <c r="A574" t="inlineStr">
        <is>
          <t>El Trapial</t>
        </is>
      </c>
      <c r="B574" t="inlineStr">
        <is>
          <t>2012-08</t>
        </is>
      </c>
      <c r="C574" t="n">
        <v>124956.4</v>
      </c>
      <c r="D574" t="n">
        <v>1309285.7</v>
      </c>
      <c r="E574">
        <f>E573+C574</f>
        <v/>
      </c>
      <c r="F574">
        <f>IF(C574&gt;0,D574/C574,NA())</f>
        <v/>
      </c>
    </row>
    <row r="575">
      <c r="A575" t="inlineStr">
        <is>
          <t>El Trapial</t>
        </is>
      </c>
      <c r="B575" t="inlineStr">
        <is>
          <t>2012-09</t>
        </is>
      </c>
      <c r="C575" t="n">
        <v>118919.7</v>
      </c>
      <c r="D575" t="n">
        <v>1268727.3</v>
      </c>
      <c r="E575">
        <f>E574+C575</f>
        <v/>
      </c>
      <c r="F575">
        <f>IF(C575&gt;0,D575/C575,NA())</f>
        <v/>
      </c>
    </row>
    <row r="576">
      <c r="A576" t="inlineStr">
        <is>
          <t>El Trapial</t>
        </is>
      </c>
      <c r="B576" t="inlineStr">
        <is>
          <t>2012-10</t>
        </is>
      </c>
      <c r="C576" t="n">
        <v>118816.3</v>
      </c>
      <c r="D576" t="n">
        <v>1353787.7</v>
      </c>
      <c r="E576">
        <f>E575+C576</f>
        <v/>
      </c>
      <c r="F576">
        <f>IF(C576&gt;0,D576/C576,NA())</f>
        <v/>
      </c>
    </row>
    <row r="577">
      <c r="A577" t="inlineStr">
        <is>
          <t>El Trapial</t>
        </is>
      </c>
      <c r="B577" t="inlineStr">
        <is>
          <t>2012-11</t>
        </is>
      </c>
      <c r="C577" t="n">
        <v>99610.7</v>
      </c>
      <c r="D577" t="n">
        <v>1206086.9</v>
      </c>
      <c r="E577">
        <f>E576+C577</f>
        <v/>
      </c>
      <c r="F577">
        <f>IF(C577&gt;0,D577/C577,NA())</f>
        <v/>
      </c>
    </row>
    <row r="578">
      <c r="A578" t="inlineStr">
        <is>
          <t>El Trapial</t>
        </is>
      </c>
      <c r="B578" t="inlineStr">
        <is>
          <t>2012-12</t>
        </is>
      </c>
      <c r="C578" t="n">
        <v>114572</v>
      </c>
      <c r="D578" t="n">
        <v>1275279.7</v>
      </c>
      <c r="E578">
        <f>E577+C578</f>
        <v/>
      </c>
      <c r="F578">
        <f>IF(C578&gt;0,D578/C578,NA())</f>
        <v/>
      </c>
    </row>
    <row r="579">
      <c r="A579" t="inlineStr">
        <is>
          <t>El Trapial</t>
        </is>
      </c>
      <c r="B579" t="inlineStr">
        <is>
          <t>2013-01</t>
        </is>
      </c>
      <c r="C579" t="n">
        <v>106646.6</v>
      </c>
      <c r="D579" t="n">
        <v>1248971.5</v>
      </c>
      <c r="E579">
        <f>E578+C579</f>
        <v/>
      </c>
      <c r="F579">
        <f>IF(C579&gt;0,D579/C579,NA())</f>
        <v/>
      </c>
    </row>
    <row r="580">
      <c r="A580" t="inlineStr">
        <is>
          <t>El Trapial</t>
        </is>
      </c>
      <c r="B580" t="inlineStr">
        <is>
          <t>2013-02</t>
        </is>
      </c>
      <c r="C580" t="n">
        <v>96802.5</v>
      </c>
      <c r="D580" t="n">
        <v>1168297.8</v>
      </c>
      <c r="E580">
        <f>E579+C580</f>
        <v/>
      </c>
      <c r="F580">
        <f>IF(C580&gt;0,D580/C580,NA())</f>
        <v/>
      </c>
    </row>
    <row r="581">
      <c r="A581" t="inlineStr">
        <is>
          <t>El Trapial</t>
        </is>
      </c>
      <c r="B581" t="inlineStr">
        <is>
          <t>2013-03</t>
        </is>
      </c>
      <c r="C581" t="n">
        <v>106045.7</v>
      </c>
      <c r="D581" t="n">
        <v>1273250.9</v>
      </c>
      <c r="E581">
        <f>E580+C581</f>
        <v/>
      </c>
      <c r="F581">
        <f>IF(C581&gt;0,D581/C581,NA())</f>
        <v/>
      </c>
    </row>
    <row r="582">
      <c r="A582" t="inlineStr">
        <is>
          <t>El Trapial</t>
        </is>
      </c>
      <c r="B582" t="inlineStr">
        <is>
          <t>2013-04</t>
        </is>
      </c>
      <c r="C582" t="n">
        <v>98680.8</v>
      </c>
      <c r="D582" t="n">
        <v>1237954.7</v>
      </c>
      <c r="E582">
        <f>E581+C582</f>
        <v/>
      </c>
      <c r="F582">
        <f>IF(C582&gt;0,D582/C582,NA())</f>
        <v/>
      </c>
    </row>
    <row r="583">
      <c r="A583" t="inlineStr">
        <is>
          <t>El Trapial</t>
        </is>
      </c>
      <c r="B583" t="inlineStr">
        <is>
          <t>2013-05</t>
        </is>
      </c>
      <c r="C583" t="n">
        <v>103417.6</v>
      </c>
      <c r="D583" t="n">
        <v>1310129.6</v>
      </c>
      <c r="E583">
        <f>E582+C583</f>
        <v/>
      </c>
      <c r="F583">
        <f>IF(C583&gt;0,D583/C583,NA())</f>
        <v/>
      </c>
    </row>
    <row r="584">
      <c r="A584" t="inlineStr">
        <is>
          <t>El Trapial</t>
        </is>
      </c>
      <c r="B584" t="inlineStr">
        <is>
          <t>2013-06</t>
        </is>
      </c>
      <c r="C584" t="n">
        <v>98367.60000000001</v>
      </c>
      <c r="D584" t="n">
        <v>1263843.2</v>
      </c>
      <c r="E584">
        <f>E583+C584</f>
        <v/>
      </c>
      <c r="F584">
        <f>IF(C584&gt;0,D584/C584,NA())</f>
        <v/>
      </c>
    </row>
    <row r="585">
      <c r="A585" t="inlineStr">
        <is>
          <t>El Trapial</t>
        </is>
      </c>
      <c r="B585" t="inlineStr">
        <is>
          <t>2013-07</t>
        </is>
      </c>
      <c r="C585" t="n">
        <v>100290.3</v>
      </c>
      <c r="D585" t="n">
        <v>1353832.4</v>
      </c>
      <c r="E585">
        <f>E584+C585</f>
        <v/>
      </c>
      <c r="F585">
        <f>IF(C585&gt;0,D585/C585,NA())</f>
        <v/>
      </c>
    </row>
    <row r="586">
      <c r="A586" t="inlineStr">
        <is>
          <t>El Trapial</t>
        </is>
      </c>
      <c r="B586" t="inlineStr">
        <is>
          <t>2013-08</t>
        </is>
      </c>
      <c r="C586" t="n">
        <v>97641.8</v>
      </c>
      <c r="D586" t="n">
        <v>1341774.5</v>
      </c>
      <c r="E586">
        <f>E585+C586</f>
        <v/>
      </c>
      <c r="F586">
        <f>IF(C586&gt;0,D586/C586,NA())</f>
        <v/>
      </c>
    </row>
    <row r="587">
      <c r="A587" t="inlineStr">
        <is>
          <t>El Trapial</t>
        </is>
      </c>
      <c r="B587" t="inlineStr">
        <is>
          <t>2013-09</t>
        </is>
      </c>
      <c r="C587" t="n">
        <v>93136.3</v>
      </c>
      <c r="D587" t="n">
        <v>1299211.8</v>
      </c>
      <c r="E587">
        <f>E586+C587</f>
        <v/>
      </c>
      <c r="F587">
        <f>IF(C587&gt;0,D587/C587,NA())</f>
        <v/>
      </c>
    </row>
    <row r="588">
      <c r="A588" t="inlineStr">
        <is>
          <t>El Trapial</t>
        </is>
      </c>
      <c r="B588" t="inlineStr">
        <is>
          <t>2013-10</t>
        </is>
      </c>
      <c r="C588" t="n">
        <v>94531.60000000001</v>
      </c>
      <c r="D588" t="n">
        <v>1354948.4</v>
      </c>
      <c r="E588">
        <f>E587+C588</f>
        <v/>
      </c>
      <c r="F588">
        <f>IF(C588&gt;0,D588/C588,NA())</f>
        <v/>
      </c>
    </row>
    <row r="589">
      <c r="A589" t="inlineStr">
        <is>
          <t>El Trapial</t>
        </is>
      </c>
      <c r="B589" t="inlineStr">
        <is>
          <t>2013-11</t>
        </is>
      </c>
      <c r="C589" t="n">
        <v>90349.2</v>
      </c>
      <c r="D589" t="n">
        <v>1338130.4</v>
      </c>
      <c r="E589">
        <f>E588+C589</f>
        <v/>
      </c>
      <c r="F589">
        <f>IF(C589&gt;0,D589/C589,NA())</f>
        <v/>
      </c>
    </row>
    <row r="590">
      <c r="A590" t="inlineStr">
        <is>
          <t>El Trapial</t>
        </is>
      </c>
      <c r="B590" t="inlineStr">
        <is>
          <t>2013-12</t>
        </is>
      </c>
      <c r="C590" t="n">
        <v>90300</v>
      </c>
      <c r="D590" t="n">
        <v>1414752.5</v>
      </c>
      <c r="E590">
        <f>E589+C590</f>
        <v/>
      </c>
      <c r="F590">
        <f>IF(C590&gt;0,D590/C590,NA())</f>
        <v/>
      </c>
    </row>
    <row r="591">
      <c r="A591" t="inlineStr">
        <is>
          <t>El Trapial</t>
        </is>
      </c>
      <c r="B591" t="inlineStr">
        <is>
          <t>2014-01</t>
        </is>
      </c>
      <c r="C591" t="n">
        <v>86296.3</v>
      </c>
      <c r="D591" t="n">
        <v>1417837.5</v>
      </c>
      <c r="E591">
        <f>E590+C591</f>
        <v/>
      </c>
      <c r="F591">
        <f>IF(C591&gt;0,D591/C591,NA())</f>
        <v/>
      </c>
    </row>
    <row r="592">
      <c r="A592" t="inlineStr">
        <is>
          <t>El Trapial</t>
        </is>
      </c>
      <c r="B592" t="inlineStr">
        <is>
          <t>2014-02</t>
        </is>
      </c>
      <c r="C592" t="n">
        <v>73747.5</v>
      </c>
      <c r="D592" t="n">
        <v>1292177.2</v>
      </c>
      <c r="E592">
        <f>E591+C592</f>
        <v/>
      </c>
      <c r="F592">
        <f>IF(C592&gt;0,D592/C592,NA())</f>
        <v/>
      </c>
    </row>
    <row r="593">
      <c r="A593" t="inlineStr">
        <is>
          <t>El Trapial</t>
        </is>
      </c>
      <c r="B593" t="inlineStr">
        <is>
          <t>2014-03</t>
        </is>
      </c>
      <c r="C593" t="n">
        <v>79926.7</v>
      </c>
      <c r="D593" t="n">
        <v>1435532.7</v>
      </c>
      <c r="E593">
        <f>E592+C593</f>
        <v/>
      </c>
      <c r="F593">
        <f>IF(C593&gt;0,D593/C593,NA())</f>
        <v/>
      </c>
    </row>
    <row r="594">
      <c r="A594" t="inlineStr">
        <is>
          <t>El Trapial</t>
        </is>
      </c>
      <c r="B594" t="inlineStr">
        <is>
          <t>2014-04</t>
        </is>
      </c>
      <c r="C594" t="n">
        <v>72156.2</v>
      </c>
      <c r="D594" t="n">
        <v>1361320.3</v>
      </c>
      <c r="E594">
        <f>E593+C594</f>
        <v/>
      </c>
      <c r="F594">
        <f>IF(C594&gt;0,D594/C594,NA())</f>
        <v/>
      </c>
    </row>
    <row r="595">
      <c r="A595" t="inlineStr">
        <is>
          <t>El Trapial</t>
        </is>
      </c>
      <c r="B595" t="inlineStr">
        <is>
          <t>2014-05</t>
        </is>
      </c>
      <c r="C595" t="n">
        <v>73019.89999999999</v>
      </c>
      <c r="D595" t="n">
        <v>1420337.5</v>
      </c>
      <c r="E595">
        <f>E594+C595</f>
        <v/>
      </c>
      <c r="F595">
        <f>IF(C595&gt;0,D595/C595,NA())</f>
        <v/>
      </c>
    </row>
    <row r="596">
      <c r="A596" t="inlineStr">
        <is>
          <t>El Trapial</t>
        </is>
      </c>
      <c r="B596" t="inlineStr">
        <is>
          <t>2014-06</t>
        </is>
      </c>
      <c r="C596" t="n">
        <v>70116</v>
      </c>
      <c r="D596" t="n">
        <v>1383073.2</v>
      </c>
      <c r="E596">
        <f>E595+C596</f>
        <v/>
      </c>
      <c r="F596">
        <f>IF(C596&gt;0,D596/C596,NA())</f>
        <v/>
      </c>
    </row>
    <row r="597">
      <c r="A597" t="inlineStr">
        <is>
          <t>El Trapial</t>
        </is>
      </c>
      <c r="B597" t="inlineStr">
        <is>
          <t>2014-07</t>
        </is>
      </c>
      <c r="C597" t="n">
        <v>66192.3</v>
      </c>
      <c r="D597" t="n">
        <v>1391624.9</v>
      </c>
      <c r="E597">
        <f>E596+C597</f>
        <v/>
      </c>
      <c r="F597">
        <f>IF(C597&gt;0,D597/C597,NA())</f>
        <v/>
      </c>
    </row>
    <row r="598">
      <c r="A598" t="inlineStr">
        <is>
          <t>El Trapial</t>
        </is>
      </c>
      <c r="B598" t="inlineStr">
        <is>
          <t>2014-08</t>
        </is>
      </c>
      <c r="C598" t="n">
        <v>68998.89999999999</v>
      </c>
      <c r="D598" t="n">
        <v>1447420.7</v>
      </c>
      <c r="E598">
        <f>E597+C598</f>
        <v/>
      </c>
      <c r="F598">
        <f>IF(C598&gt;0,D598/C598,NA())</f>
        <v/>
      </c>
    </row>
    <row r="599">
      <c r="A599" t="inlineStr">
        <is>
          <t>El Trapial</t>
        </is>
      </c>
      <c r="B599" t="inlineStr">
        <is>
          <t>2014-09</t>
        </is>
      </c>
      <c r="C599" t="n">
        <v>67264.8</v>
      </c>
      <c r="D599" t="n">
        <v>1422995.8</v>
      </c>
      <c r="E599">
        <f>E598+C599</f>
        <v/>
      </c>
      <c r="F599">
        <f>IF(C599&gt;0,D599/C599,NA())</f>
        <v/>
      </c>
    </row>
    <row r="600">
      <c r="A600" t="inlineStr">
        <is>
          <t>El Trapial</t>
        </is>
      </c>
      <c r="B600" t="inlineStr">
        <is>
          <t>2014-10</t>
        </is>
      </c>
      <c r="C600" t="n">
        <v>67663.89999999999</v>
      </c>
      <c r="D600" t="n">
        <v>1494485.7</v>
      </c>
      <c r="E600">
        <f>E599+C600</f>
        <v/>
      </c>
      <c r="F600">
        <f>IF(C600&gt;0,D600/C600,NA())</f>
        <v/>
      </c>
    </row>
    <row r="601">
      <c r="A601" t="inlineStr">
        <is>
          <t>El Trapial</t>
        </is>
      </c>
      <c r="B601" t="inlineStr">
        <is>
          <t>2014-11</t>
        </is>
      </c>
      <c r="C601" t="n">
        <v>63949.7</v>
      </c>
      <c r="D601" t="n">
        <v>1462798.2</v>
      </c>
      <c r="E601">
        <f>E600+C601</f>
        <v/>
      </c>
      <c r="F601">
        <f>IF(C601&gt;0,D601/C601,NA())</f>
        <v/>
      </c>
    </row>
    <row r="602">
      <c r="A602" t="inlineStr">
        <is>
          <t>El Trapial</t>
        </is>
      </c>
      <c r="B602" t="inlineStr">
        <is>
          <t>2014-12</t>
        </is>
      </c>
      <c r="C602" t="n">
        <v>66127</v>
      </c>
      <c r="D602" t="n">
        <v>1510398.2</v>
      </c>
      <c r="E602">
        <f>E601+C602</f>
        <v/>
      </c>
      <c r="F602">
        <f>IF(C602&gt;0,D602/C602,NA())</f>
        <v/>
      </c>
    </row>
    <row r="603">
      <c r="A603" t="inlineStr">
        <is>
          <t>El Trapial</t>
        </is>
      </c>
      <c r="B603" t="inlineStr">
        <is>
          <t>2015-01</t>
        </is>
      </c>
      <c r="C603" t="n">
        <v>65297.1</v>
      </c>
      <c r="D603" t="n">
        <v>1504092.1</v>
      </c>
      <c r="E603">
        <f>E602+C603</f>
        <v/>
      </c>
      <c r="F603">
        <f>IF(C603&gt;0,D603/C603,NA())</f>
        <v/>
      </c>
    </row>
    <row r="604">
      <c r="A604" t="inlineStr">
        <is>
          <t>El Trapial</t>
        </is>
      </c>
      <c r="B604" t="inlineStr">
        <is>
          <t>2015-02</t>
        </is>
      </c>
      <c r="C604" t="n">
        <v>57143.5</v>
      </c>
      <c r="D604" t="n">
        <v>1337559.7</v>
      </c>
      <c r="E604">
        <f>E603+C604</f>
        <v/>
      </c>
      <c r="F604">
        <f>IF(C604&gt;0,D604/C604,NA())</f>
        <v/>
      </c>
    </row>
    <row r="605">
      <c r="A605" t="inlineStr">
        <is>
          <t>El Trapial</t>
        </is>
      </c>
      <c r="B605" t="inlineStr">
        <is>
          <t>2015-03</t>
        </is>
      </c>
      <c r="C605" t="n">
        <v>63587.5</v>
      </c>
      <c r="D605" t="n">
        <v>1490289</v>
      </c>
      <c r="E605">
        <f>E604+C605</f>
        <v/>
      </c>
      <c r="F605">
        <f>IF(C605&gt;0,D605/C605,NA())</f>
        <v/>
      </c>
    </row>
    <row r="606">
      <c r="A606" t="inlineStr">
        <is>
          <t>El Trapial</t>
        </is>
      </c>
      <c r="B606" t="inlineStr">
        <is>
          <t>2015-04</t>
        </is>
      </c>
      <c r="C606" t="n">
        <v>60080.4</v>
      </c>
      <c r="D606" t="n">
        <v>1438749.4</v>
      </c>
      <c r="E606">
        <f>E605+C606</f>
        <v/>
      </c>
      <c r="F606">
        <f>IF(C606&gt;0,D606/C606,NA())</f>
        <v/>
      </c>
    </row>
    <row r="607">
      <c r="A607" t="inlineStr">
        <is>
          <t>El Trapial</t>
        </is>
      </c>
      <c r="B607" t="inlineStr">
        <is>
          <t>2015-05</t>
        </is>
      </c>
      <c r="C607" t="n">
        <v>61611.9</v>
      </c>
      <c r="D607" t="n">
        <v>1489634.6</v>
      </c>
      <c r="E607">
        <f>E606+C607</f>
        <v/>
      </c>
      <c r="F607">
        <f>IF(C607&gt;0,D607/C607,NA())</f>
        <v/>
      </c>
    </row>
    <row r="608">
      <c r="A608" t="inlineStr">
        <is>
          <t>El Trapial</t>
        </is>
      </c>
      <c r="B608" t="inlineStr">
        <is>
          <t>2015-06</t>
        </is>
      </c>
      <c r="C608" t="n">
        <v>58313.8</v>
      </c>
      <c r="D608" t="n">
        <v>1447512.2</v>
      </c>
      <c r="E608">
        <f>E607+C608</f>
        <v/>
      </c>
      <c r="F608">
        <f>IF(C608&gt;0,D608/C608,NA())</f>
        <v/>
      </c>
    </row>
    <row r="609">
      <c r="A609" t="inlineStr">
        <is>
          <t>El Trapial</t>
        </is>
      </c>
      <c r="B609" t="inlineStr">
        <is>
          <t>2015-07</t>
        </is>
      </c>
      <c r="C609" t="n">
        <v>58125.3</v>
      </c>
      <c r="D609" t="n">
        <v>1517094.5</v>
      </c>
      <c r="E609">
        <f>E608+C609</f>
        <v/>
      </c>
      <c r="F609">
        <f>IF(C609&gt;0,D609/C609,NA())</f>
        <v/>
      </c>
    </row>
    <row r="610">
      <c r="A610" t="inlineStr">
        <is>
          <t>El Trapial</t>
        </is>
      </c>
      <c r="B610" t="inlineStr">
        <is>
          <t>2015-08</t>
        </is>
      </c>
      <c r="C610" t="n">
        <v>58319.9</v>
      </c>
      <c r="D610" t="n">
        <v>1518572.6</v>
      </c>
      <c r="E610">
        <f>E609+C610</f>
        <v/>
      </c>
      <c r="F610">
        <f>IF(C610&gt;0,D610/C610,NA())</f>
        <v/>
      </c>
    </row>
    <row r="611">
      <c r="A611" t="inlineStr">
        <is>
          <t>El Trapial</t>
        </is>
      </c>
      <c r="B611" t="inlineStr">
        <is>
          <t>2015-09</t>
        </is>
      </c>
      <c r="C611" t="n">
        <v>55016.9</v>
      </c>
      <c r="D611" t="n">
        <v>1481345</v>
      </c>
      <c r="E611">
        <f>E610+C611</f>
        <v/>
      </c>
      <c r="F611">
        <f>IF(C611&gt;0,D611/C611,NA())</f>
        <v/>
      </c>
    </row>
    <row r="612">
      <c r="A612" t="inlineStr">
        <is>
          <t>El Trapial</t>
        </is>
      </c>
      <c r="B612" t="inlineStr">
        <is>
          <t>2015-10</t>
        </is>
      </c>
      <c r="C612" t="n">
        <v>56209.5</v>
      </c>
      <c r="D612" t="n">
        <v>1512802.5</v>
      </c>
      <c r="E612">
        <f>E611+C612</f>
        <v/>
      </c>
      <c r="F612">
        <f>IF(C612&gt;0,D612/C612,NA())</f>
        <v/>
      </c>
    </row>
    <row r="613">
      <c r="A613" t="inlineStr">
        <is>
          <t>El Trapial</t>
        </is>
      </c>
      <c r="B613" t="inlineStr">
        <is>
          <t>2015-11</t>
        </is>
      </c>
      <c r="C613" t="n">
        <v>52873.3</v>
      </c>
      <c r="D613" t="n">
        <v>1449634.5</v>
      </c>
      <c r="E613">
        <f>E612+C613</f>
        <v/>
      </c>
      <c r="F613">
        <f>IF(C613&gt;0,D613/C613,NA())</f>
        <v/>
      </c>
    </row>
    <row r="614">
      <c r="A614" t="inlineStr">
        <is>
          <t>El Trapial</t>
        </is>
      </c>
      <c r="B614" t="inlineStr">
        <is>
          <t>2015-12</t>
        </is>
      </c>
      <c r="C614" t="n">
        <v>53184.6</v>
      </c>
      <c r="D614" t="n">
        <v>1497871.7</v>
      </c>
      <c r="E614">
        <f>E613+C614</f>
        <v/>
      </c>
      <c r="F614">
        <f>IF(C614&gt;0,D614/C614,NA())</f>
        <v/>
      </c>
    </row>
    <row r="615">
      <c r="A615" t="inlineStr">
        <is>
          <t>El Trapial</t>
        </is>
      </c>
      <c r="B615" t="inlineStr">
        <is>
          <t>2016-01</t>
        </is>
      </c>
      <c r="C615" t="n">
        <v>52007.3</v>
      </c>
      <c r="D615" t="n">
        <v>1460407.6</v>
      </c>
      <c r="E615">
        <f>E614+C615</f>
        <v/>
      </c>
      <c r="F615">
        <f>IF(C615&gt;0,D615/C615,NA())</f>
        <v/>
      </c>
    </row>
    <row r="616">
      <c r="A616" t="inlineStr">
        <is>
          <t>El Trapial</t>
        </is>
      </c>
      <c r="B616" t="inlineStr">
        <is>
          <t>2016-02</t>
        </is>
      </c>
      <c r="C616" t="n">
        <v>47561.9</v>
      </c>
      <c r="D616" t="n">
        <v>1376252.9</v>
      </c>
      <c r="E616">
        <f>E615+C616</f>
        <v/>
      </c>
      <c r="F616">
        <f>IF(C616&gt;0,D616/C616,NA())</f>
        <v/>
      </c>
    </row>
    <row r="617">
      <c r="A617" t="inlineStr">
        <is>
          <t>El Trapial</t>
        </is>
      </c>
      <c r="B617" t="inlineStr">
        <is>
          <t>2016-03</t>
        </is>
      </c>
      <c r="C617" t="n">
        <v>48937.8</v>
      </c>
      <c r="D617" t="n">
        <v>1424280</v>
      </c>
      <c r="E617">
        <f>E616+C617</f>
        <v/>
      </c>
      <c r="F617">
        <f>IF(C617&gt;0,D617/C617,NA())</f>
        <v/>
      </c>
    </row>
    <row r="618">
      <c r="A618" t="inlineStr">
        <is>
          <t>El Trapial</t>
        </is>
      </c>
      <c r="B618" t="inlineStr">
        <is>
          <t>2016-04</t>
        </is>
      </c>
      <c r="C618" t="n">
        <v>44490.6</v>
      </c>
      <c r="D618" t="n">
        <v>1310860</v>
      </c>
      <c r="E618">
        <f>E617+C618</f>
        <v/>
      </c>
      <c r="F618">
        <f>IF(C618&gt;0,D618/C618,NA())</f>
        <v/>
      </c>
    </row>
    <row r="619">
      <c r="A619" t="inlineStr">
        <is>
          <t>El Trapial</t>
        </is>
      </c>
      <c r="B619" t="inlineStr">
        <is>
          <t>2016-05</t>
        </is>
      </c>
      <c r="C619" t="n">
        <v>43070.1</v>
      </c>
      <c r="D619" t="n">
        <v>1314988.9</v>
      </c>
      <c r="E619">
        <f>E618+C619</f>
        <v/>
      </c>
      <c r="F619">
        <f>IF(C619&gt;0,D619/C619,NA())</f>
        <v/>
      </c>
    </row>
    <row r="620">
      <c r="A620" t="inlineStr">
        <is>
          <t>El Trapial</t>
        </is>
      </c>
      <c r="B620" t="inlineStr">
        <is>
          <t>2016-06</t>
        </is>
      </c>
      <c r="C620" t="n">
        <v>37991.5</v>
      </c>
      <c r="D620" t="n">
        <v>1195502.3</v>
      </c>
      <c r="E620">
        <f>E619+C620</f>
        <v/>
      </c>
      <c r="F620">
        <f>IF(C620&gt;0,D620/C620,NA())</f>
        <v/>
      </c>
    </row>
    <row r="621">
      <c r="A621" t="inlineStr">
        <is>
          <t>El Trapial</t>
        </is>
      </c>
      <c r="B621" t="inlineStr">
        <is>
          <t>2016-07</t>
        </is>
      </c>
      <c r="C621" t="n">
        <v>37468.7</v>
      </c>
      <c r="D621" t="n">
        <v>1231960</v>
      </c>
      <c r="E621">
        <f>E620+C621</f>
        <v/>
      </c>
      <c r="F621">
        <f>IF(C621&gt;0,D621/C621,NA())</f>
        <v/>
      </c>
    </row>
    <row r="622">
      <c r="A622" t="inlineStr">
        <is>
          <t>El Trapial</t>
        </is>
      </c>
      <c r="B622" t="inlineStr">
        <is>
          <t>2016-08</t>
        </is>
      </c>
      <c r="C622" t="n">
        <v>37325.8</v>
      </c>
      <c r="D622" t="n">
        <v>1213479.7</v>
      </c>
      <c r="E622">
        <f>E621+C622</f>
        <v/>
      </c>
      <c r="F622">
        <f>IF(C622&gt;0,D622/C622,NA())</f>
        <v/>
      </c>
    </row>
    <row r="623">
      <c r="A623" t="inlineStr">
        <is>
          <t>El Trapial</t>
        </is>
      </c>
      <c r="B623" t="inlineStr">
        <is>
          <t>2016-09</t>
        </is>
      </c>
      <c r="C623" t="n">
        <v>36120.4</v>
      </c>
      <c r="D623" t="n">
        <v>1204199</v>
      </c>
      <c r="E623">
        <f>E622+C623</f>
        <v/>
      </c>
      <c r="F623">
        <f>IF(C623&gt;0,D623/C623,NA())</f>
        <v/>
      </c>
    </row>
    <row r="624">
      <c r="A624" t="inlineStr">
        <is>
          <t>El Trapial</t>
        </is>
      </c>
      <c r="B624" t="inlineStr">
        <is>
          <t>2016-10</t>
        </is>
      </c>
      <c r="C624" t="n">
        <v>37908.8</v>
      </c>
      <c r="D624" t="n">
        <v>1256376</v>
      </c>
      <c r="E624">
        <f>E623+C624</f>
        <v/>
      </c>
      <c r="F624">
        <f>IF(C624&gt;0,D624/C624,NA())</f>
        <v/>
      </c>
    </row>
    <row r="625">
      <c r="A625" t="inlineStr">
        <is>
          <t>El Trapial</t>
        </is>
      </c>
      <c r="B625" t="inlineStr">
        <is>
          <t>2016-11</t>
        </is>
      </c>
      <c r="C625" t="n">
        <v>36354.8</v>
      </c>
      <c r="D625" t="n">
        <v>1207842.8</v>
      </c>
      <c r="E625">
        <f>E624+C625</f>
        <v/>
      </c>
      <c r="F625">
        <f>IF(C625&gt;0,D625/C625,NA())</f>
        <v/>
      </c>
    </row>
    <row r="626">
      <c r="A626" t="inlineStr">
        <is>
          <t>El Trapial</t>
        </is>
      </c>
      <c r="B626" t="inlineStr">
        <is>
          <t>2016-12</t>
        </is>
      </c>
      <c r="C626" t="n">
        <v>36627.6</v>
      </c>
      <c r="D626" t="n">
        <v>1239698.2</v>
      </c>
      <c r="E626">
        <f>E625+C626</f>
        <v/>
      </c>
      <c r="F626">
        <f>IF(C626&gt;0,D626/C626,NA())</f>
        <v/>
      </c>
    </row>
    <row r="627">
      <c r="A627" t="inlineStr">
        <is>
          <t>El Trapial</t>
        </is>
      </c>
      <c r="B627" t="inlineStr">
        <is>
          <t>2017-01</t>
        </is>
      </c>
      <c r="C627" t="n">
        <v>35635.4</v>
      </c>
      <c r="D627" t="n">
        <v>1219934.1</v>
      </c>
      <c r="E627">
        <f>E626+C627</f>
        <v/>
      </c>
      <c r="F627">
        <f>IF(C627&gt;0,D627/C627,NA())</f>
        <v/>
      </c>
    </row>
    <row r="628">
      <c r="A628" t="inlineStr">
        <is>
          <t>El Trapial</t>
        </is>
      </c>
      <c r="B628" t="inlineStr">
        <is>
          <t>2017-02</t>
        </is>
      </c>
      <c r="C628" t="n">
        <v>31594.9</v>
      </c>
      <c r="D628" t="n">
        <v>1103574.9</v>
      </c>
      <c r="E628">
        <f>E627+C628</f>
        <v/>
      </c>
      <c r="F628">
        <f>IF(C628&gt;0,D628/C628,NA())</f>
        <v/>
      </c>
    </row>
    <row r="629">
      <c r="A629" t="inlineStr">
        <is>
          <t>El Trapial</t>
        </is>
      </c>
      <c r="B629" t="inlineStr">
        <is>
          <t>2017-03</t>
        </is>
      </c>
      <c r="C629" t="n">
        <v>34278</v>
      </c>
      <c r="D629" t="n">
        <v>1207693.7</v>
      </c>
      <c r="E629">
        <f>E628+C629</f>
        <v/>
      </c>
      <c r="F629">
        <f>IF(C629&gt;0,D629/C629,NA())</f>
        <v/>
      </c>
    </row>
    <row r="630">
      <c r="A630" t="inlineStr">
        <is>
          <t>El Trapial</t>
        </is>
      </c>
      <c r="B630" t="inlineStr">
        <is>
          <t>2017-04</t>
        </is>
      </c>
      <c r="C630" t="n">
        <v>32669.4</v>
      </c>
      <c r="D630" t="n">
        <v>1165047.5</v>
      </c>
      <c r="E630">
        <f>E629+C630</f>
        <v/>
      </c>
      <c r="F630">
        <f>IF(C630&gt;0,D630/C630,NA())</f>
        <v/>
      </c>
    </row>
    <row r="631">
      <c r="A631" t="inlineStr">
        <is>
          <t>El Trapial</t>
        </is>
      </c>
      <c r="B631" t="inlineStr">
        <is>
          <t>2017-05</t>
        </is>
      </c>
      <c r="C631" t="n">
        <v>33353.2</v>
      </c>
      <c r="D631" t="n">
        <v>1205958.3</v>
      </c>
      <c r="E631">
        <f>E630+C631</f>
        <v/>
      </c>
      <c r="F631">
        <f>IF(C631&gt;0,D631/C631,NA())</f>
        <v/>
      </c>
    </row>
    <row r="632">
      <c r="A632" t="inlineStr">
        <is>
          <t>El Trapial</t>
        </is>
      </c>
      <c r="B632" t="inlineStr">
        <is>
          <t>2017-06</t>
        </is>
      </c>
      <c r="C632" t="n">
        <v>32038.2</v>
      </c>
      <c r="D632" t="n">
        <v>1175135.7</v>
      </c>
      <c r="E632">
        <f>E631+C632</f>
        <v/>
      </c>
      <c r="F632">
        <f>IF(C632&gt;0,D632/C632,NA())</f>
        <v/>
      </c>
    </row>
    <row r="633">
      <c r="A633" t="inlineStr">
        <is>
          <t>El Trapial</t>
        </is>
      </c>
      <c r="B633" t="inlineStr">
        <is>
          <t>2017-07</t>
        </is>
      </c>
      <c r="C633" t="n">
        <v>32041.9</v>
      </c>
      <c r="D633" t="n">
        <v>1163118.5</v>
      </c>
      <c r="E633">
        <f>E632+C633</f>
        <v/>
      </c>
      <c r="F633">
        <f>IF(C633&gt;0,D633/C633,NA())</f>
        <v/>
      </c>
    </row>
    <row r="634">
      <c r="A634" t="inlineStr">
        <is>
          <t>El Trapial</t>
        </is>
      </c>
      <c r="B634" t="inlineStr">
        <is>
          <t>2017-08</t>
        </is>
      </c>
      <c r="C634" t="n">
        <v>31802.5</v>
      </c>
      <c r="D634" t="n">
        <v>1157221.5</v>
      </c>
      <c r="E634">
        <f>E633+C634</f>
        <v/>
      </c>
      <c r="F634">
        <f>IF(C634&gt;0,D634/C634,NA())</f>
        <v/>
      </c>
    </row>
    <row r="635">
      <c r="A635" t="inlineStr">
        <is>
          <t>El Trapial</t>
        </is>
      </c>
      <c r="B635" t="inlineStr">
        <is>
          <t>2017-09</t>
        </is>
      </c>
      <c r="C635" t="n">
        <v>31669.8</v>
      </c>
      <c r="D635" t="n">
        <v>1121267.9</v>
      </c>
      <c r="E635">
        <f>E634+C635</f>
        <v/>
      </c>
      <c r="F635">
        <f>IF(C635&gt;0,D635/C635,NA())</f>
        <v/>
      </c>
    </row>
    <row r="636">
      <c r="A636" t="inlineStr">
        <is>
          <t>El Trapial</t>
        </is>
      </c>
      <c r="B636" t="inlineStr">
        <is>
          <t>2017-10</t>
        </is>
      </c>
      <c r="C636" t="n">
        <v>32653.3</v>
      </c>
      <c r="D636" t="n">
        <v>1170562.6</v>
      </c>
      <c r="E636">
        <f>E635+C636</f>
        <v/>
      </c>
      <c r="F636">
        <f>IF(C636&gt;0,D636/C636,NA())</f>
        <v/>
      </c>
    </row>
    <row r="637">
      <c r="A637" t="inlineStr">
        <is>
          <t>El Trapial</t>
        </is>
      </c>
      <c r="B637" t="inlineStr">
        <is>
          <t>2017-11</t>
        </is>
      </c>
      <c r="C637" t="n">
        <v>30538.2</v>
      </c>
      <c r="D637" t="n">
        <v>1131254.9</v>
      </c>
      <c r="E637">
        <f>E636+C637</f>
        <v/>
      </c>
      <c r="F637">
        <f>IF(C637&gt;0,D637/C637,NA())</f>
        <v/>
      </c>
    </row>
    <row r="638">
      <c r="A638" t="inlineStr">
        <is>
          <t>El Trapial</t>
        </is>
      </c>
      <c r="B638" t="inlineStr">
        <is>
          <t>2017-12</t>
        </is>
      </c>
      <c r="C638" t="n">
        <v>31267.3</v>
      </c>
      <c r="D638" t="n">
        <v>1161053.8</v>
      </c>
      <c r="E638">
        <f>E637+C638</f>
        <v/>
      </c>
      <c r="F638">
        <f>IF(C638&gt;0,D638/C638,NA())</f>
        <v/>
      </c>
    </row>
    <row r="639">
      <c r="A639" t="inlineStr">
        <is>
          <t>El Trapial</t>
        </is>
      </c>
      <c r="B639" t="inlineStr">
        <is>
          <t>2018-01</t>
        </is>
      </c>
      <c r="C639" t="n">
        <v>30596.4</v>
      </c>
      <c r="D639" t="n">
        <v>1147703.8</v>
      </c>
      <c r="E639">
        <f>E638+C639</f>
        <v/>
      </c>
      <c r="F639">
        <f>IF(C639&gt;0,D639/C639,NA())</f>
        <v/>
      </c>
    </row>
    <row r="640">
      <c r="A640" t="inlineStr">
        <is>
          <t>El Trapial</t>
        </is>
      </c>
      <c r="B640" t="inlineStr">
        <is>
          <t>2018-02</t>
        </is>
      </c>
      <c r="C640" t="n">
        <v>26820.5</v>
      </c>
      <c r="D640" t="n">
        <v>1033769.3</v>
      </c>
      <c r="E640">
        <f>E639+C640</f>
        <v/>
      </c>
      <c r="F640">
        <f>IF(C640&gt;0,D640/C640,NA())</f>
        <v/>
      </c>
    </row>
    <row r="641">
      <c r="A641" t="inlineStr">
        <is>
          <t>El Trapial</t>
        </is>
      </c>
      <c r="B641" t="inlineStr">
        <is>
          <t>2018-03</t>
        </is>
      </c>
      <c r="C641" t="n">
        <v>30777</v>
      </c>
      <c r="D641" t="n">
        <v>1138612.7</v>
      </c>
      <c r="E641">
        <f>E640+C641</f>
        <v/>
      </c>
      <c r="F641">
        <f>IF(C641&gt;0,D641/C641,NA())</f>
        <v/>
      </c>
    </row>
    <row r="642">
      <c r="A642" t="inlineStr">
        <is>
          <t>El Trapial</t>
        </is>
      </c>
      <c r="B642" t="inlineStr">
        <is>
          <t>2018-04</t>
        </is>
      </c>
      <c r="C642" t="n">
        <v>29398</v>
      </c>
      <c r="D642" t="n">
        <v>1095998.3</v>
      </c>
      <c r="E642">
        <f>E641+C642</f>
        <v/>
      </c>
      <c r="F642">
        <f>IF(C642&gt;0,D642/C642,NA())</f>
        <v/>
      </c>
    </row>
    <row r="643">
      <c r="A643" t="inlineStr">
        <is>
          <t>El Trapial</t>
        </is>
      </c>
      <c r="B643" t="inlineStr">
        <is>
          <t>2018-05</t>
        </is>
      </c>
      <c r="C643" t="n">
        <v>29621.5</v>
      </c>
      <c r="D643" t="n">
        <v>1111531.3</v>
      </c>
      <c r="E643">
        <f>E642+C643</f>
        <v/>
      </c>
      <c r="F643">
        <f>IF(C643&gt;0,D643/C643,NA())</f>
        <v/>
      </c>
    </row>
    <row r="644">
      <c r="A644" t="inlineStr">
        <is>
          <t>El Trapial</t>
        </is>
      </c>
      <c r="B644" t="inlineStr">
        <is>
          <t>2018-06</t>
        </is>
      </c>
      <c r="C644" t="n">
        <v>28385.4</v>
      </c>
      <c r="D644" t="n">
        <v>1086940.3</v>
      </c>
      <c r="E644">
        <f>E643+C644</f>
        <v/>
      </c>
      <c r="F644">
        <f>IF(C644&gt;0,D644/C644,NA())</f>
        <v/>
      </c>
    </row>
    <row r="645">
      <c r="A645" t="inlineStr">
        <is>
          <t>El Trapial</t>
        </is>
      </c>
      <c r="B645" t="inlineStr">
        <is>
          <t>2018-07</t>
        </is>
      </c>
      <c r="C645" t="n">
        <v>28986.9</v>
      </c>
      <c r="D645" t="n">
        <v>1122980.1</v>
      </c>
      <c r="E645">
        <f>E644+C645</f>
        <v/>
      </c>
      <c r="F645">
        <f>IF(C645&gt;0,D645/C645,NA())</f>
        <v/>
      </c>
    </row>
    <row r="646">
      <c r="A646" t="inlineStr">
        <is>
          <t>El Trapial</t>
        </is>
      </c>
      <c r="B646" t="inlineStr">
        <is>
          <t>2018-08</t>
        </is>
      </c>
      <c r="C646" t="n">
        <v>29285.5</v>
      </c>
      <c r="D646" t="n">
        <v>1117939.8</v>
      </c>
      <c r="E646">
        <f>E645+C646</f>
        <v/>
      </c>
      <c r="F646">
        <f>IF(C646&gt;0,D646/C646,NA())</f>
        <v/>
      </c>
    </row>
    <row r="647">
      <c r="A647" t="inlineStr">
        <is>
          <t>El Trapial</t>
        </is>
      </c>
      <c r="B647" t="inlineStr">
        <is>
          <t>2018-09</t>
        </is>
      </c>
      <c r="C647" t="n">
        <v>27592.7</v>
      </c>
      <c r="D647" t="n">
        <v>1077326.6</v>
      </c>
      <c r="E647">
        <f>E646+C647</f>
        <v/>
      </c>
      <c r="F647">
        <f>IF(C647&gt;0,D647/C647,NA())</f>
        <v/>
      </c>
    </row>
    <row r="648">
      <c r="A648" t="inlineStr">
        <is>
          <t>El Trapial</t>
        </is>
      </c>
      <c r="B648" t="inlineStr">
        <is>
          <t>2018-10</t>
        </is>
      </c>
      <c r="C648" t="n">
        <v>27285.1</v>
      </c>
      <c r="D648" t="n">
        <v>1099187.4</v>
      </c>
      <c r="E648">
        <f>E647+C648</f>
        <v/>
      </c>
      <c r="F648">
        <f>IF(C648&gt;0,D648/C648,NA())</f>
        <v/>
      </c>
    </row>
    <row r="649">
      <c r="A649" t="inlineStr">
        <is>
          <t>El Trapial</t>
        </is>
      </c>
      <c r="B649" t="inlineStr">
        <is>
          <t>2018-11</t>
        </is>
      </c>
      <c r="C649" t="n">
        <v>25915.3</v>
      </c>
      <c r="D649" t="n">
        <v>1061145.6</v>
      </c>
      <c r="E649">
        <f>E648+C649</f>
        <v/>
      </c>
      <c r="F649">
        <f>IF(C649&gt;0,D649/C649,NA())</f>
        <v/>
      </c>
    </row>
    <row r="650">
      <c r="A650" t="inlineStr">
        <is>
          <t>El Trapial</t>
        </is>
      </c>
      <c r="B650" t="inlineStr">
        <is>
          <t>2018-12</t>
        </is>
      </c>
      <c r="C650" t="n">
        <v>27004.2</v>
      </c>
      <c r="D650" t="n">
        <v>1093860.9</v>
      </c>
      <c r="E650">
        <f>E649+C650</f>
        <v/>
      </c>
      <c r="F650">
        <f>IF(C650&gt;0,D650/C650,NA())</f>
        <v/>
      </c>
    </row>
    <row r="651">
      <c r="A651" t="inlineStr">
        <is>
          <t>El Trapial</t>
        </is>
      </c>
      <c r="B651" t="inlineStr">
        <is>
          <t>2019-01</t>
        </is>
      </c>
      <c r="C651" t="n">
        <v>26474.1</v>
      </c>
      <c r="D651" t="n">
        <v>1082490.6</v>
      </c>
      <c r="E651">
        <f>E650+C651</f>
        <v/>
      </c>
      <c r="F651">
        <f>IF(C651&gt;0,D651/C651,NA())</f>
        <v/>
      </c>
    </row>
    <row r="652">
      <c r="A652" t="inlineStr">
        <is>
          <t>El Trapial</t>
        </is>
      </c>
      <c r="B652" t="inlineStr">
        <is>
          <t>2019-02</t>
        </is>
      </c>
      <c r="C652" t="n">
        <v>23186.9</v>
      </c>
      <c r="D652" t="n">
        <v>974996</v>
      </c>
      <c r="E652">
        <f>E651+C652</f>
        <v/>
      </c>
      <c r="F652">
        <f>IF(C652&gt;0,D652/C652,NA())</f>
        <v/>
      </c>
    </row>
    <row r="653">
      <c r="A653" t="inlineStr">
        <is>
          <t>El Trapial</t>
        </is>
      </c>
      <c r="B653" t="inlineStr">
        <is>
          <t>2019-03</t>
        </is>
      </c>
      <c r="C653" t="n">
        <v>26027.2</v>
      </c>
      <c r="D653" t="n">
        <v>1074736</v>
      </c>
      <c r="E653">
        <f>E652+C653</f>
        <v/>
      </c>
      <c r="F653">
        <f>IF(C653&gt;0,D653/C653,NA())</f>
        <v/>
      </c>
    </row>
    <row r="654">
      <c r="A654" t="inlineStr">
        <is>
          <t>El Trapial</t>
        </is>
      </c>
      <c r="B654" t="inlineStr">
        <is>
          <t>2019-04</t>
        </is>
      </c>
      <c r="C654" t="n">
        <v>25529.8</v>
      </c>
      <c r="D654" t="n">
        <v>1034014.7</v>
      </c>
      <c r="E654">
        <f>E653+C654</f>
        <v/>
      </c>
      <c r="F654">
        <f>IF(C654&gt;0,D654/C654,NA())</f>
        <v/>
      </c>
    </row>
    <row r="655">
      <c r="A655" t="inlineStr">
        <is>
          <t>El Trapial</t>
        </is>
      </c>
      <c r="B655" t="inlineStr">
        <is>
          <t>2019-05</t>
        </is>
      </c>
      <c r="C655" t="n">
        <v>26246.3</v>
      </c>
      <c r="D655" t="n">
        <v>1076708.5</v>
      </c>
      <c r="E655">
        <f>E654+C655</f>
        <v/>
      </c>
      <c r="F655">
        <f>IF(C655&gt;0,D655/C655,NA())</f>
        <v/>
      </c>
    </row>
    <row r="656">
      <c r="A656" t="inlineStr">
        <is>
          <t>El Trapial</t>
        </is>
      </c>
      <c r="B656" t="inlineStr">
        <is>
          <t>2019-06</t>
        </is>
      </c>
      <c r="C656" t="n">
        <v>23994.8</v>
      </c>
      <c r="D656" t="n">
        <v>992181</v>
      </c>
      <c r="E656">
        <f>E655+C656</f>
        <v/>
      </c>
      <c r="F656">
        <f>IF(C656&gt;0,D656/C656,NA())</f>
        <v/>
      </c>
    </row>
    <row r="657">
      <c r="A657" t="inlineStr">
        <is>
          <t>El Trapial</t>
        </is>
      </c>
      <c r="B657" t="inlineStr">
        <is>
          <t>2019-07</t>
        </is>
      </c>
      <c r="C657" t="n">
        <v>26329.3</v>
      </c>
      <c r="D657" t="n">
        <v>1071089.4</v>
      </c>
      <c r="E657">
        <f>E656+C657</f>
        <v/>
      </c>
      <c r="F657">
        <f>IF(C657&gt;0,D657/C657,NA())</f>
        <v/>
      </c>
    </row>
    <row r="658">
      <c r="A658" t="inlineStr">
        <is>
          <t>El Trapial</t>
        </is>
      </c>
      <c r="B658" t="inlineStr">
        <is>
          <t>2019-08</t>
        </is>
      </c>
      <c r="C658" t="n">
        <v>26490</v>
      </c>
      <c r="D658" t="n">
        <v>1073362.4</v>
      </c>
      <c r="E658">
        <f>E657+C658</f>
        <v/>
      </c>
      <c r="F658">
        <f>IF(C658&gt;0,D658/C658,NA())</f>
        <v/>
      </c>
    </row>
    <row r="659">
      <c r="A659" t="inlineStr">
        <is>
          <t>El Trapial</t>
        </is>
      </c>
      <c r="B659" t="inlineStr">
        <is>
          <t>2019-09</t>
        </is>
      </c>
      <c r="C659" t="n">
        <v>25222.2</v>
      </c>
      <c r="D659" t="n">
        <v>1032350.6</v>
      </c>
      <c r="E659">
        <f>E658+C659</f>
        <v/>
      </c>
      <c r="F659">
        <f>IF(C659&gt;0,D659/C659,NA())</f>
        <v/>
      </c>
    </row>
    <row r="660">
      <c r="A660" t="inlineStr">
        <is>
          <t>El Trapial</t>
        </is>
      </c>
      <c r="B660" t="inlineStr">
        <is>
          <t>2019-10</t>
        </is>
      </c>
      <c r="C660" t="n">
        <v>26168</v>
      </c>
      <c r="D660" t="n">
        <v>1066888.2</v>
      </c>
      <c r="E660">
        <f>E659+C660</f>
        <v/>
      </c>
      <c r="F660">
        <f>IF(C660&gt;0,D660/C660,NA())</f>
        <v/>
      </c>
    </row>
    <row r="661">
      <c r="A661" t="inlineStr">
        <is>
          <t>El Trapial</t>
        </is>
      </c>
      <c r="B661" t="inlineStr">
        <is>
          <t>2019-11</t>
        </is>
      </c>
      <c r="C661" t="n">
        <v>25665.6</v>
      </c>
      <c r="D661" t="n">
        <v>1017383</v>
      </c>
      <c r="E661">
        <f>E660+C661</f>
        <v/>
      </c>
      <c r="F661">
        <f>IF(C661&gt;0,D661/C661,NA())</f>
        <v/>
      </c>
    </row>
    <row r="662">
      <c r="A662" t="inlineStr">
        <is>
          <t>El Trapial</t>
        </is>
      </c>
      <c r="B662" t="inlineStr">
        <is>
          <t>2019-12</t>
        </is>
      </c>
      <c r="C662" t="n">
        <v>25460.2</v>
      </c>
      <c r="D662" t="n">
        <v>1043825.6</v>
      </c>
      <c r="E662">
        <f>E661+C662</f>
        <v/>
      </c>
      <c r="F662">
        <f>IF(C662&gt;0,D662/C662,NA())</f>
        <v/>
      </c>
    </row>
    <row r="663">
      <c r="A663" t="inlineStr">
        <is>
          <t>El Trapial</t>
        </is>
      </c>
      <c r="B663" t="inlineStr">
        <is>
          <t>2020-01</t>
        </is>
      </c>
      <c r="C663" t="n">
        <v>25318.9</v>
      </c>
      <c r="D663" t="n">
        <v>1047045.2</v>
      </c>
      <c r="E663">
        <f>E662+C663</f>
        <v/>
      </c>
      <c r="F663">
        <f>IF(C663&gt;0,D663/C663,NA())</f>
        <v/>
      </c>
    </row>
    <row r="664">
      <c r="A664" t="inlineStr">
        <is>
          <t>El Trapial</t>
        </is>
      </c>
      <c r="B664" t="inlineStr">
        <is>
          <t>2020-02</t>
        </is>
      </c>
      <c r="C664" t="n">
        <v>23955.5</v>
      </c>
      <c r="D664" t="n">
        <v>968879.2</v>
      </c>
      <c r="E664">
        <f>E663+C664</f>
        <v/>
      </c>
      <c r="F664">
        <f>IF(C664&gt;0,D664/C664,NA())</f>
        <v/>
      </c>
    </row>
    <row r="665">
      <c r="A665" t="inlineStr">
        <is>
          <t>El Trapial</t>
        </is>
      </c>
      <c r="B665" t="inlineStr">
        <is>
          <t>2020-03</t>
        </is>
      </c>
      <c r="C665" t="n">
        <v>23544.6</v>
      </c>
      <c r="D665" t="n">
        <v>1005674.1</v>
      </c>
      <c r="E665">
        <f>E664+C665</f>
        <v/>
      </c>
      <c r="F665">
        <f>IF(C665&gt;0,D665/C665,NA())</f>
        <v/>
      </c>
    </row>
    <row r="666">
      <c r="A666" t="inlineStr">
        <is>
          <t>El Trapial</t>
        </is>
      </c>
      <c r="B666" t="inlineStr">
        <is>
          <t>2020-04</t>
        </is>
      </c>
      <c r="C666" t="n">
        <v>23555</v>
      </c>
      <c r="D666" t="n">
        <v>968745.3</v>
      </c>
      <c r="E666">
        <f>E665+C666</f>
        <v/>
      </c>
      <c r="F666">
        <f>IF(C666&gt;0,D666/C666,NA())</f>
        <v/>
      </c>
    </row>
    <row r="667">
      <c r="A667" t="inlineStr">
        <is>
          <t>El Trapial</t>
        </is>
      </c>
      <c r="B667" t="inlineStr">
        <is>
          <t>2020-05</t>
        </is>
      </c>
      <c r="C667" t="n">
        <v>24206.8</v>
      </c>
      <c r="D667" t="n">
        <v>957055.4</v>
      </c>
      <c r="E667">
        <f>E666+C667</f>
        <v/>
      </c>
      <c r="F667">
        <f>IF(C667&gt;0,D667/C667,NA())</f>
        <v/>
      </c>
    </row>
    <row r="668">
      <c r="A668" t="inlineStr">
        <is>
          <t>El Trapial</t>
        </is>
      </c>
      <c r="B668" t="inlineStr">
        <is>
          <t>2020-06</t>
        </is>
      </c>
      <c r="C668" t="n">
        <v>23158</v>
      </c>
      <c r="D668" t="n">
        <v>929043.3</v>
      </c>
      <c r="E668">
        <f>E667+C668</f>
        <v/>
      </c>
      <c r="F668">
        <f>IF(C668&gt;0,D668/C668,NA())</f>
        <v/>
      </c>
    </row>
    <row r="669">
      <c r="A669" t="inlineStr">
        <is>
          <t>El Trapial</t>
        </is>
      </c>
      <c r="B669" t="inlineStr">
        <is>
          <t>2020-07</t>
        </is>
      </c>
      <c r="C669" t="n">
        <v>22909.9</v>
      </c>
      <c r="D669" t="n">
        <v>958274.5</v>
      </c>
      <c r="E669">
        <f>E668+C669</f>
        <v/>
      </c>
      <c r="F669">
        <f>IF(C669&gt;0,D669/C669,NA())</f>
        <v/>
      </c>
    </row>
    <row r="670">
      <c r="A670" t="inlineStr">
        <is>
          <t>El Trapial</t>
        </is>
      </c>
      <c r="B670" t="inlineStr">
        <is>
          <t>2020-08</t>
        </is>
      </c>
      <c r="C670" t="n">
        <v>23246</v>
      </c>
      <c r="D670" t="n">
        <v>969027.7</v>
      </c>
      <c r="E670">
        <f>E669+C670</f>
        <v/>
      </c>
      <c r="F670">
        <f>IF(C670&gt;0,D670/C670,NA())</f>
        <v/>
      </c>
    </row>
    <row r="671">
      <c r="A671" t="inlineStr">
        <is>
          <t>El Trapial</t>
        </is>
      </c>
      <c r="B671" t="inlineStr">
        <is>
          <t>2020-09</t>
        </is>
      </c>
      <c r="C671" t="n">
        <v>22442</v>
      </c>
      <c r="D671" t="n">
        <v>942074.2</v>
      </c>
      <c r="E671">
        <f>E670+C671</f>
        <v/>
      </c>
      <c r="F671">
        <f>IF(C671&gt;0,D671/C671,NA())</f>
        <v/>
      </c>
    </row>
    <row r="672">
      <c r="A672" t="inlineStr">
        <is>
          <t>El Trapial</t>
        </is>
      </c>
      <c r="B672" t="inlineStr">
        <is>
          <t>2020-10</t>
        </is>
      </c>
      <c r="C672" t="n">
        <v>22847.9</v>
      </c>
      <c r="D672" t="n">
        <v>964913.5</v>
      </c>
      <c r="E672">
        <f>E671+C672</f>
        <v/>
      </c>
      <c r="F672">
        <f>IF(C672&gt;0,D672/C672,NA())</f>
        <v/>
      </c>
    </row>
    <row r="673">
      <c r="A673" t="inlineStr">
        <is>
          <t>El Trapial</t>
        </is>
      </c>
      <c r="B673" t="inlineStr">
        <is>
          <t>2020-11</t>
        </is>
      </c>
      <c r="C673" t="n">
        <v>21787</v>
      </c>
      <c r="D673" t="n">
        <v>922749.8</v>
      </c>
      <c r="E673">
        <f>E672+C673</f>
        <v/>
      </c>
      <c r="F673">
        <f>IF(C673&gt;0,D673/C673,NA())</f>
        <v/>
      </c>
    </row>
    <row r="674">
      <c r="A674" t="inlineStr">
        <is>
          <t>El Trapial</t>
        </is>
      </c>
      <c r="B674" t="inlineStr">
        <is>
          <t>2020-12</t>
        </is>
      </c>
      <c r="C674" t="n">
        <v>22019.2</v>
      </c>
      <c r="D674" t="n">
        <v>927154.6</v>
      </c>
      <c r="E674">
        <f>E673+C674</f>
        <v/>
      </c>
      <c r="F674">
        <f>IF(C674&gt;0,D674/C674,NA())</f>
        <v/>
      </c>
    </row>
    <row r="675">
      <c r="A675" t="inlineStr">
        <is>
          <t>El Trapial</t>
        </is>
      </c>
      <c r="B675" t="inlineStr">
        <is>
          <t>2021-01</t>
        </is>
      </c>
      <c r="C675" t="n">
        <v>21894.9</v>
      </c>
      <c r="D675" t="n">
        <v>904892.5</v>
      </c>
      <c r="E675">
        <f>E674+C675</f>
        <v/>
      </c>
      <c r="F675">
        <f>IF(C675&gt;0,D675/C675,NA())</f>
        <v/>
      </c>
    </row>
    <row r="676">
      <c r="A676" t="inlineStr">
        <is>
          <t>El Trapial</t>
        </is>
      </c>
      <c r="B676" t="inlineStr">
        <is>
          <t>2021-02</t>
        </is>
      </c>
      <c r="C676" t="n">
        <v>20612.6</v>
      </c>
      <c r="D676" t="n">
        <v>821398.8</v>
      </c>
      <c r="E676">
        <f>E675+C676</f>
        <v/>
      </c>
      <c r="F676">
        <f>IF(C676&gt;0,D676/C676,NA())</f>
        <v/>
      </c>
    </row>
    <row r="677">
      <c r="A677" t="inlineStr">
        <is>
          <t>El Trapial</t>
        </is>
      </c>
      <c r="B677" t="inlineStr">
        <is>
          <t>2021-03</t>
        </is>
      </c>
      <c r="C677" t="n">
        <v>23471</v>
      </c>
      <c r="D677" t="n">
        <v>932098.4</v>
      </c>
      <c r="E677">
        <f>E676+C677</f>
        <v/>
      </c>
      <c r="F677">
        <f>IF(C677&gt;0,D677/C677,NA())</f>
        <v/>
      </c>
    </row>
    <row r="678">
      <c r="A678" t="inlineStr">
        <is>
          <t>El Trapial</t>
        </is>
      </c>
      <c r="B678" t="inlineStr">
        <is>
          <t>2021-04</t>
        </is>
      </c>
      <c r="C678" t="n">
        <v>21677.4</v>
      </c>
      <c r="D678" t="n">
        <v>902854.4</v>
      </c>
      <c r="E678">
        <f>E677+C678</f>
        <v/>
      </c>
      <c r="F678">
        <f>IF(C678&gt;0,D678/C678,NA())</f>
        <v/>
      </c>
    </row>
    <row r="679">
      <c r="A679" t="inlineStr">
        <is>
          <t>El Trapial</t>
        </is>
      </c>
      <c r="B679" t="inlineStr">
        <is>
          <t>2021-05</t>
        </is>
      </c>
      <c r="C679" t="n">
        <v>21583.9</v>
      </c>
      <c r="D679" t="n">
        <v>934211.1</v>
      </c>
      <c r="E679">
        <f>E678+C679</f>
        <v/>
      </c>
      <c r="F679">
        <f>IF(C679&gt;0,D679/C679,NA())</f>
        <v/>
      </c>
    </row>
    <row r="680">
      <c r="A680" t="inlineStr">
        <is>
          <t>El Trapial</t>
        </is>
      </c>
      <c r="B680" t="inlineStr">
        <is>
          <t>2021-06</t>
        </is>
      </c>
      <c r="C680" t="n">
        <v>19798.8</v>
      </c>
      <c r="D680" t="n">
        <v>891501.6</v>
      </c>
      <c r="E680">
        <f>E679+C680</f>
        <v/>
      </c>
      <c r="F680">
        <f>IF(C680&gt;0,D680/C680,NA())</f>
        <v/>
      </c>
    </row>
    <row r="681">
      <c r="A681" t="inlineStr">
        <is>
          <t>El Trapial</t>
        </is>
      </c>
      <c r="B681" t="inlineStr">
        <is>
          <t>2021-07</t>
        </is>
      </c>
      <c r="C681" t="n">
        <v>20088</v>
      </c>
      <c r="D681" t="n">
        <v>914510.7</v>
      </c>
      <c r="E681">
        <f>E680+C681</f>
        <v/>
      </c>
      <c r="F681">
        <f>IF(C681&gt;0,D681/C681,NA())</f>
        <v/>
      </c>
    </row>
    <row r="682">
      <c r="A682" t="inlineStr">
        <is>
          <t>El Trapial</t>
        </is>
      </c>
      <c r="B682" t="inlineStr">
        <is>
          <t>2021-08</t>
        </is>
      </c>
      <c r="C682" t="n">
        <v>19507.8</v>
      </c>
      <c r="D682" t="n">
        <v>904136.1</v>
      </c>
      <c r="E682">
        <f>E681+C682</f>
        <v/>
      </c>
      <c r="F682">
        <f>IF(C682&gt;0,D682/C682,NA())</f>
        <v/>
      </c>
    </row>
    <row r="683">
      <c r="A683" t="inlineStr">
        <is>
          <t>El Trapial</t>
        </is>
      </c>
      <c r="B683" t="inlineStr">
        <is>
          <t>2021-09</t>
        </is>
      </c>
      <c r="C683" t="n">
        <v>19562</v>
      </c>
      <c r="D683" t="n">
        <v>875464</v>
      </c>
      <c r="E683">
        <f>E682+C683</f>
        <v/>
      </c>
      <c r="F683">
        <f>IF(C683&gt;0,D683/C683,NA())</f>
        <v/>
      </c>
    </row>
    <row r="684">
      <c r="A684" t="inlineStr">
        <is>
          <t>El Trapial</t>
        </is>
      </c>
      <c r="B684" t="inlineStr">
        <is>
          <t>2021-10</t>
        </is>
      </c>
      <c r="C684" t="n">
        <v>20478.6</v>
      </c>
      <c r="D684" t="n">
        <v>922654.9</v>
      </c>
      <c r="E684">
        <f>E683+C684</f>
        <v/>
      </c>
      <c r="F684">
        <f>IF(C684&gt;0,D684/C684,NA())</f>
        <v/>
      </c>
    </row>
    <row r="685">
      <c r="A685" t="inlineStr">
        <is>
          <t>El Trapial</t>
        </is>
      </c>
      <c r="B685" t="inlineStr">
        <is>
          <t>2021-11</t>
        </is>
      </c>
      <c r="C685" t="n">
        <v>19644</v>
      </c>
      <c r="D685" t="n">
        <v>883124.1</v>
      </c>
      <c r="E685">
        <f>E684+C685</f>
        <v/>
      </c>
      <c r="F685">
        <f>IF(C685&gt;0,D685/C685,NA())</f>
        <v/>
      </c>
    </row>
    <row r="686">
      <c r="A686" t="inlineStr">
        <is>
          <t>El Trapial</t>
        </is>
      </c>
      <c r="B686" t="inlineStr">
        <is>
          <t>2021-12</t>
        </is>
      </c>
      <c r="C686" t="n">
        <v>19312.1</v>
      </c>
      <c r="D686" t="n">
        <v>894947.2</v>
      </c>
      <c r="E686">
        <f>E685+C686</f>
        <v/>
      </c>
      <c r="F686">
        <f>IF(C686&gt;0,D686/C686,NA())</f>
        <v/>
      </c>
    </row>
    <row r="687">
      <c r="A687" t="inlineStr">
        <is>
          <t>El Trapial</t>
        </is>
      </c>
      <c r="B687" t="inlineStr">
        <is>
          <t>2022-01</t>
        </is>
      </c>
      <c r="C687" t="n">
        <v>18810.5</v>
      </c>
      <c r="D687" t="n">
        <v>873350.6</v>
      </c>
      <c r="E687">
        <f>E686+C687</f>
        <v/>
      </c>
      <c r="F687">
        <f>IF(C687&gt;0,D687/C687,NA())</f>
        <v/>
      </c>
    </row>
    <row r="688">
      <c r="A688" t="inlineStr">
        <is>
          <t>El Trapial</t>
        </is>
      </c>
      <c r="B688" t="inlineStr">
        <is>
          <t>2022-02</t>
        </is>
      </c>
      <c r="C688" t="n">
        <v>16531.5</v>
      </c>
      <c r="D688" t="n">
        <v>775349.5</v>
      </c>
      <c r="E688">
        <f>E687+C688</f>
        <v/>
      </c>
      <c r="F688">
        <f>IF(C688&gt;0,D688/C688,NA())</f>
        <v/>
      </c>
    </row>
    <row r="689">
      <c r="A689" t="inlineStr">
        <is>
          <t>El Trapial</t>
        </is>
      </c>
      <c r="B689" t="inlineStr">
        <is>
          <t>2022-03</t>
        </is>
      </c>
      <c r="C689" t="n">
        <v>17870</v>
      </c>
      <c r="D689" t="n">
        <v>848387.4</v>
      </c>
      <c r="E689">
        <f>E688+C689</f>
        <v/>
      </c>
      <c r="F689">
        <f>IF(C689&gt;0,D689/C689,NA())</f>
        <v/>
      </c>
    </row>
    <row r="690">
      <c r="A690" t="inlineStr">
        <is>
          <t>El Trapial</t>
        </is>
      </c>
      <c r="B690" t="inlineStr">
        <is>
          <t>2022-04</t>
        </is>
      </c>
      <c r="C690" t="n">
        <v>17130.7</v>
      </c>
      <c r="D690" t="n">
        <v>822154.6</v>
      </c>
      <c r="E690">
        <f>E689+C690</f>
        <v/>
      </c>
      <c r="F690">
        <f>IF(C690&gt;0,D690/C690,NA())</f>
        <v/>
      </c>
    </row>
    <row r="691">
      <c r="A691" t="inlineStr">
        <is>
          <t>El Trapial</t>
        </is>
      </c>
      <c r="B691" t="inlineStr">
        <is>
          <t>2022-05</t>
        </is>
      </c>
      <c r="C691" t="n">
        <v>17671</v>
      </c>
      <c r="D691" t="n">
        <v>865058.5</v>
      </c>
      <c r="E691">
        <f>E690+C691</f>
        <v/>
      </c>
      <c r="F691">
        <f>IF(C691&gt;0,D691/C691,NA())</f>
        <v/>
      </c>
    </row>
    <row r="692">
      <c r="A692" t="inlineStr">
        <is>
          <t>El Trapial</t>
        </is>
      </c>
      <c r="B692" t="inlineStr">
        <is>
          <t>2022-06</t>
        </is>
      </c>
      <c r="C692" t="n">
        <v>16923</v>
      </c>
      <c r="D692" t="n">
        <v>850106.4</v>
      </c>
      <c r="E692">
        <f>E691+C692</f>
        <v/>
      </c>
      <c r="F692">
        <f>IF(C692&gt;0,D692/C692,NA())</f>
        <v/>
      </c>
    </row>
    <row r="693">
      <c r="A693" t="inlineStr">
        <is>
          <t>El Trapial</t>
        </is>
      </c>
      <c r="B693" t="inlineStr">
        <is>
          <t>2022-07</t>
        </is>
      </c>
      <c r="C693" t="n">
        <v>17235</v>
      </c>
      <c r="D693" t="n">
        <v>866519.1</v>
      </c>
      <c r="E693">
        <f>E692+C693</f>
        <v/>
      </c>
      <c r="F693">
        <f>IF(C693&gt;0,D693/C693,NA())</f>
        <v/>
      </c>
    </row>
    <row r="694">
      <c r="A694" t="inlineStr">
        <is>
          <t>El Trapial</t>
        </is>
      </c>
      <c r="B694" t="inlineStr">
        <is>
          <t>2022-08</t>
        </is>
      </c>
      <c r="C694" t="n">
        <v>16429</v>
      </c>
      <c r="D694" t="n">
        <v>810258.8</v>
      </c>
      <c r="E694">
        <f>E693+C694</f>
        <v/>
      </c>
      <c r="F694">
        <f>IF(C694&gt;0,D694/C694,NA())</f>
        <v/>
      </c>
    </row>
    <row r="695">
      <c r="A695" t="inlineStr">
        <is>
          <t>El Trapial</t>
        </is>
      </c>
      <c r="B695" t="inlineStr">
        <is>
          <t>2022-09</t>
        </is>
      </c>
      <c r="C695" t="n">
        <v>16257.1</v>
      </c>
      <c r="D695" t="n">
        <v>825915.4</v>
      </c>
      <c r="E695">
        <f>E694+C695</f>
        <v/>
      </c>
      <c r="F695">
        <f>IF(C695&gt;0,D695/C695,NA())</f>
        <v/>
      </c>
    </row>
    <row r="696">
      <c r="A696" t="inlineStr">
        <is>
          <t>El Trapial</t>
        </is>
      </c>
      <c r="B696" t="inlineStr">
        <is>
          <t>2022-10</t>
        </is>
      </c>
      <c r="C696" t="n">
        <v>16687</v>
      </c>
      <c r="D696" t="n">
        <v>838772.7</v>
      </c>
      <c r="E696">
        <f>E695+C696</f>
        <v/>
      </c>
      <c r="F696">
        <f>IF(C696&gt;0,D696/C696,NA())</f>
        <v/>
      </c>
    </row>
    <row r="697">
      <c r="A697" t="inlineStr">
        <is>
          <t>El Trapial</t>
        </is>
      </c>
      <c r="B697" t="inlineStr">
        <is>
          <t>2022-11</t>
        </is>
      </c>
      <c r="C697" t="n">
        <v>16270</v>
      </c>
      <c r="D697" t="n">
        <v>781406.5</v>
      </c>
      <c r="E697">
        <f>E696+C697</f>
        <v/>
      </c>
      <c r="F697">
        <f>IF(C697&gt;0,D697/C697,NA())</f>
        <v/>
      </c>
    </row>
    <row r="698">
      <c r="A698" t="inlineStr">
        <is>
          <t>El Trapial</t>
        </is>
      </c>
      <c r="B698" t="inlineStr">
        <is>
          <t>2022-12</t>
        </is>
      </c>
      <c r="C698" t="n">
        <v>15532</v>
      </c>
      <c r="D698" t="n">
        <v>770002.5</v>
      </c>
      <c r="E698">
        <f>E697+C698</f>
        <v/>
      </c>
      <c r="F698">
        <f>IF(C698&gt;0,D698/C698,NA())</f>
        <v/>
      </c>
    </row>
    <row r="699">
      <c r="A699" t="inlineStr">
        <is>
          <t>El Trapial</t>
        </is>
      </c>
      <c r="B699" t="inlineStr">
        <is>
          <t>2023-01</t>
        </is>
      </c>
      <c r="C699" t="n">
        <v>13996</v>
      </c>
      <c r="D699" t="n">
        <v>728399.7</v>
      </c>
      <c r="E699">
        <f>E698+C699</f>
        <v/>
      </c>
      <c r="F699">
        <f>IF(C699&gt;0,D699/C699,NA())</f>
        <v/>
      </c>
    </row>
    <row r="700">
      <c r="A700" t="inlineStr">
        <is>
          <t>El Trapial</t>
        </is>
      </c>
      <c r="B700" t="inlineStr">
        <is>
          <t>2023-02</t>
        </is>
      </c>
      <c r="C700" t="n">
        <v>13713</v>
      </c>
      <c r="D700" t="n">
        <v>710217.2</v>
      </c>
      <c r="E700">
        <f>E699+C700</f>
        <v/>
      </c>
      <c r="F700">
        <f>IF(C700&gt;0,D700/C700,NA())</f>
        <v/>
      </c>
    </row>
    <row r="701">
      <c r="A701" t="inlineStr">
        <is>
          <t>El Trapial</t>
        </is>
      </c>
      <c r="B701" t="inlineStr">
        <is>
          <t>2023-03</t>
        </is>
      </c>
      <c r="C701" t="n">
        <v>15178.4</v>
      </c>
      <c r="D701" t="n">
        <v>779649.1</v>
      </c>
      <c r="E701">
        <f>E700+C701</f>
        <v/>
      </c>
      <c r="F701">
        <f>IF(C701&gt;0,D701/C701,NA())</f>
        <v/>
      </c>
    </row>
    <row r="702">
      <c r="A702" t="inlineStr">
        <is>
          <t>El Trapial</t>
        </is>
      </c>
      <c r="B702" t="inlineStr">
        <is>
          <t>2023-04</t>
        </is>
      </c>
      <c r="C702" t="n">
        <v>14700.4</v>
      </c>
      <c r="D702" t="n">
        <v>742372.9</v>
      </c>
      <c r="E702">
        <f>E701+C702</f>
        <v/>
      </c>
      <c r="F702">
        <f>IF(C702&gt;0,D702/C702,NA())</f>
        <v/>
      </c>
    </row>
    <row r="703">
      <c r="A703" t="inlineStr">
        <is>
          <t>El Trapial</t>
        </is>
      </c>
      <c r="B703" t="inlineStr">
        <is>
          <t>2023-05</t>
        </is>
      </c>
      <c r="C703" t="n">
        <v>13832.9</v>
      </c>
      <c r="D703" t="n">
        <v>744313.9</v>
      </c>
      <c r="E703">
        <f>E702+C703</f>
        <v/>
      </c>
      <c r="F703">
        <f>IF(C703&gt;0,D703/C703,NA())</f>
        <v/>
      </c>
    </row>
    <row r="704">
      <c r="A704" t="inlineStr">
        <is>
          <t>El Trapial</t>
        </is>
      </c>
      <c r="B704" t="inlineStr">
        <is>
          <t>2023-06</t>
        </is>
      </c>
      <c r="C704" t="n">
        <v>12117</v>
      </c>
      <c r="D704" t="n">
        <v>642580.6</v>
      </c>
      <c r="E704">
        <f>E703+C704</f>
        <v/>
      </c>
      <c r="F704">
        <f>IF(C704&gt;0,D704/C704,NA())</f>
        <v/>
      </c>
    </row>
    <row r="705">
      <c r="A705" t="inlineStr">
        <is>
          <t>El Trapial</t>
        </is>
      </c>
      <c r="B705" t="inlineStr">
        <is>
          <t>2023-07</t>
        </is>
      </c>
      <c r="C705" t="n">
        <v>12655</v>
      </c>
      <c r="D705" t="n">
        <v>595072.7</v>
      </c>
      <c r="E705">
        <f>E704+C705</f>
        <v/>
      </c>
      <c r="F705">
        <f>IF(C705&gt;0,D705/C705,NA())</f>
        <v/>
      </c>
    </row>
    <row r="706">
      <c r="A706" t="inlineStr">
        <is>
          <t>El Trapial</t>
        </is>
      </c>
      <c r="B706" t="inlineStr">
        <is>
          <t>2023-08</t>
        </is>
      </c>
      <c r="C706" t="n">
        <v>13592</v>
      </c>
      <c r="D706" t="n">
        <v>679796</v>
      </c>
      <c r="E706">
        <f>E705+C706</f>
        <v/>
      </c>
      <c r="F706">
        <f>IF(C706&gt;0,D706/C706,NA())</f>
        <v/>
      </c>
    </row>
    <row r="707">
      <c r="A707" t="inlineStr">
        <is>
          <t>El Trapial</t>
        </is>
      </c>
      <c r="B707" t="inlineStr">
        <is>
          <t>2023-09</t>
        </is>
      </c>
      <c r="C707" t="n">
        <v>12714</v>
      </c>
      <c r="D707" t="n">
        <v>614726.6</v>
      </c>
      <c r="E707">
        <f>E706+C707</f>
        <v/>
      </c>
      <c r="F707">
        <f>IF(C707&gt;0,D707/C707,NA())</f>
        <v/>
      </c>
    </row>
    <row r="708">
      <c r="A708" t="inlineStr">
        <is>
          <t>El Trapial</t>
        </is>
      </c>
      <c r="B708" t="inlineStr">
        <is>
          <t>2023-10</t>
        </is>
      </c>
      <c r="C708" t="n">
        <v>13817.3</v>
      </c>
      <c r="D708" t="n">
        <v>692571.1</v>
      </c>
      <c r="E708">
        <f>E707+C708</f>
        <v/>
      </c>
      <c r="F708">
        <f>IF(C708&gt;0,D708/C708,NA())</f>
        <v/>
      </c>
    </row>
    <row r="709">
      <c r="A709" t="inlineStr">
        <is>
          <t>El Trapial</t>
        </is>
      </c>
      <c r="B709" t="inlineStr">
        <is>
          <t>2023-11</t>
        </is>
      </c>
      <c r="C709" t="n">
        <v>13256</v>
      </c>
      <c r="D709" t="n">
        <v>670703.1</v>
      </c>
      <c r="E709">
        <f>E708+C709</f>
        <v/>
      </c>
      <c r="F709">
        <f>IF(C709&gt;0,D709/C709,NA())</f>
        <v/>
      </c>
    </row>
    <row r="710">
      <c r="A710" t="inlineStr">
        <is>
          <t>El Trapial</t>
        </is>
      </c>
      <c r="B710" t="inlineStr">
        <is>
          <t>2023-12</t>
        </is>
      </c>
      <c r="C710" t="n">
        <v>13753</v>
      </c>
      <c r="D710" t="n">
        <v>728740.9</v>
      </c>
      <c r="E710">
        <f>E709+C710</f>
        <v/>
      </c>
      <c r="F710">
        <f>IF(C710&gt;0,D710/C710,NA())</f>
        <v/>
      </c>
    </row>
    <row r="711">
      <c r="A711" t="inlineStr">
        <is>
          <t>El Trapial</t>
        </is>
      </c>
      <c r="B711" t="inlineStr">
        <is>
          <t>2024-01</t>
        </is>
      </c>
      <c r="C711" t="n">
        <v>12935.9</v>
      </c>
      <c r="D711" t="n">
        <v>697355.8</v>
      </c>
      <c r="E711">
        <f>E710+C711</f>
        <v/>
      </c>
      <c r="F711">
        <f>IF(C711&gt;0,D711/C711,NA())</f>
        <v/>
      </c>
    </row>
    <row r="712">
      <c r="A712" t="inlineStr">
        <is>
          <t>El Trapial</t>
        </is>
      </c>
      <c r="B712" t="inlineStr">
        <is>
          <t>2024-02</t>
        </is>
      </c>
      <c r="C712" t="n">
        <v>11778.4</v>
      </c>
      <c r="D712" t="n">
        <v>626072.7</v>
      </c>
      <c r="E712">
        <f>E711+C712</f>
        <v/>
      </c>
      <c r="F712">
        <f>IF(C712&gt;0,D712/C712,NA())</f>
        <v/>
      </c>
    </row>
    <row r="713">
      <c r="A713" t="inlineStr">
        <is>
          <t>El Trapial</t>
        </is>
      </c>
      <c r="B713" t="inlineStr">
        <is>
          <t>2024-03</t>
        </is>
      </c>
      <c r="C713" t="n">
        <v>12332.5</v>
      </c>
      <c r="D713" t="n">
        <v>682265.8</v>
      </c>
      <c r="E713">
        <f>E712+C713</f>
        <v/>
      </c>
      <c r="F713">
        <f>IF(C713&gt;0,D713/C713,NA())</f>
        <v/>
      </c>
    </row>
    <row r="714">
      <c r="A714" t="inlineStr">
        <is>
          <t>El Trapial</t>
        </is>
      </c>
      <c r="B714" t="inlineStr">
        <is>
          <t>2024-04</t>
        </is>
      </c>
      <c r="C714" t="n">
        <v>12169</v>
      </c>
      <c r="D714" t="n">
        <v>682108.2</v>
      </c>
      <c r="E714">
        <f>E713+C714</f>
        <v/>
      </c>
      <c r="F714">
        <f>IF(C714&gt;0,D714/C714,NA())</f>
        <v/>
      </c>
    </row>
    <row r="715">
      <c r="A715" t="inlineStr">
        <is>
          <t>El Trapial</t>
        </is>
      </c>
      <c r="B715" t="inlineStr">
        <is>
          <t>2024-05</t>
        </is>
      </c>
      <c r="C715" t="n">
        <v>12247</v>
      </c>
      <c r="D715" t="n">
        <v>681007.3</v>
      </c>
      <c r="E715">
        <f>E714+C715</f>
        <v/>
      </c>
      <c r="F715">
        <f>IF(C715&gt;0,D715/C715,NA())</f>
        <v/>
      </c>
    </row>
    <row r="716">
      <c r="A716" t="inlineStr">
        <is>
          <t>El Trapial</t>
        </is>
      </c>
      <c r="B716" t="inlineStr">
        <is>
          <t>2024-06</t>
        </is>
      </c>
      <c r="C716" t="n">
        <v>11615</v>
      </c>
      <c r="D716" t="n">
        <v>637669.7</v>
      </c>
      <c r="E716">
        <f>E715+C716</f>
        <v/>
      </c>
      <c r="F716">
        <f>IF(C716&gt;0,D716/C716,NA())</f>
        <v/>
      </c>
    </row>
    <row r="717">
      <c r="A717" t="inlineStr">
        <is>
          <t>El Trapial</t>
        </is>
      </c>
      <c r="B717" t="inlineStr">
        <is>
          <t>2024-07</t>
        </is>
      </c>
      <c r="C717" t="n">
        <v>12171</v>
      </c>
      <c r="D717" t="n">
        <v>598261.7</v>
      </c>
      <c r="E717">
        <f>E716+C717</f>
        <v/>
      </c>
      <c r="F717">
        <f>IF(C717&gt;0,D717/C717,NA())</f>
        <v/>
      </c>
    </row>
    <row r="718">
      <c r="A718" t="inlineStr">
        <is>
          <t>El Trapial</t>
        </is>
      </c>
      <c r="B718" t="inlineStr">
        <is>
          <t>2024-08</t>
        </is>
      </c>
      <c r="C718" t="n">
        <v>11546</v>
      </c>
      <c r="D718" t="n">
        <v>578090.4</v>
      </c>
      <c r="E718">
        <f>E717+C718</f>
        <v/>
      </c>
      <c r="F718">
        <f>IF(C718&gt;0,D718/C718,NA())</f>
        <v/>
      </c>
    </row>
    <row r="719">
      <c r="A719" t="inlineStr">
        <is>
          <t>El Trapial</t>
        </is>
      </c>
      <c r="B719" t="inlineStr">
        <is>
          <t>2024-09</t>
        </is>
      </c>
      <c r="C719" t="n">
        <v>10632.5</v>
      </c>
      <c r="D719" t="n">
        <v>558292.1</v>
      </c>
      <c r="E719">
        <f>E718+C719</f>
        <v/>
      </c>
      <c r="F719">
        <f>IF(C719&gt;0,D719/C719,NA())</f>
        <v/>
      </c>
    </row>
    <row r="720">
      <c r="A720" t="inlineStr">
        <is>
          <t>El Trapial</t>
        </is>
      </c>
      <c r="B720" t="inlineStr">
        <is>
          <t>2024-10</t>
        </is>
      </c>
      <c r="C720" t="n">
        <v>10980</v>
      </c>
      <c r="D720" t="n">
        <v>524666</v>
      </c>
      <c r="E720">
        <f>E719+C720</f>
        <v/>
      </c>
      <c r="F720">
        <f>IF(C720&gt;0,D720/C720,NA())</f>
        <v/>
      </c>
    </row>
    <row r="721">
      <c r="A721" t="inlineStr">
        <is>
          <t>El Trapial</t>
        </is>
      </c>
      <c r="B721" t="inlineStr">
        <is>
          <t>2024-11</t>
        </is>
      </c>
      <c r="C721" t="n">
        <v>9961.799999999999</v>
      </c>
      <c r="D721" t="n">
        <v>512642</v>
      </c>
      <c r="E721">
        <f>E720+C721</f>
        <v/>
      </c>
      <c r="F721">
        <f>IF(C721&gt;0,D721/C721,NA())</f>
        <v/>
      </c>
    </row>
    <row r="722">
      <c r="A722" t="inlineStr">
        <is>
          <t>El Trapial</t>
        </is>
      </c>
      <c r="B722" t="inlineStr">
        <is>
          <t>2024-12</t>
        </is>
      </c>
      <c r="C722" t="n">
        <v>8515</v>
      </c>
      <c r="D722" t="n">
        <v>480542.1</v>
      </c>
      <c r="E722">
        <f>E721+C722</f>
        <v/>
      </c>
      <c r="F722">
        <f>IF(C722&gt;0,D722/C722,NA())</f>
        <v/>
      </c>
    </row>
    <row r="723">
      <c r="A723" t="inlineStr">
        <is>
          <t>El Trapial</t>
        </is>
      </c>
      <c r="B723" t="inlineStr">
        <is>
          <t>2025-01</t>
        </is>
      </c>
      <c r="C723" t="n">
        <v>8858.1</v>
      </c>
      <c r="D723" t="n">
        <v>489826.9</v>
      </c>
      <c r="E723">
        <f>E722+C723</f>
        <v/>
      </c>
      <c r="F723">
        <f>IF(C723&gt;0,D723/C723,NA())</f>
        <v/>
      </c>
    </row>
    <row r="724">
      <c r="A724" t="inlineStr">
        <is>
          <t>El Trapial</t>
        </is>
      </c>
      <c r="B724" t="inlineStr">
        <is>
          <t>2025-02</t>
        </is>
      </c>
      <c r="C724" t="n">
        <v>7318.9</v>
      </c>
      <c r="D724" t="n">
        <v>432828.2</v>
      </c>
      <c r="E724">
        <f>E723+C724</f>
        <v/>
      </c>
      <c r="F724">
        <f>IF(C724&gt;0,D724/C724,NA())</f>
        <v/>
      </c>
    </row>
    <row r="725">
      <c r="A725" t="inlineStr">
        <is>
          <t>El Trapial</t>
        </is>
      </c>
      <c r="B725" t="inlineStr">
        <is>
          <t>2025-03</t>
        </is>
      </c>
      <c r="C725" t="n">
        <v>8063</v>
      </c>
      <c r="D725" t="n">
        <v>505144.8</v>
      </c>
      <c r="E725">
        <f>E724+C725</f>
        <v/>
      </c>
      <c r="F725">
        <f>IF(C725&gt;0,D725/C725,NA())</f>
        <v/>
      </c>
    </row>
    <row r="726">
      <c r="A726" t="inlineStr">
        <is>
          <t>El Trapial</t>
        </is>
      </c>
      <c r="B726" t="inlineStr">
        <is>
          <t>2025-04</t>
        </is>
      </c>
      <c r="C726" t="n">
        <v>7720.1</v>
      </c>
      <c r="D726" t="n">
        <v>447074.7</v>
      </c>
      <c r="E726">
        <f>E725+C726</f>
        <v/>
      </c>
      <c r="F726">
        <f>IF(C726&gt;0,D726/C726,NA())</f>
        <v/>
      </c>
    </row>
    <row r="727">
      <c r="A727" t="inlineStr">
        <is>
          <t>El Trapial</t>
        </is>
      </c>
      <c r="B727" t="inlineStr">
        <is>
          <t>2025-05</t>
        </is>
      </c>
      <c r="C727" t="n">
        <v>7561</v>
      </c>
      <c r="D727" t="n">
        <v>434781.8</v>
      </c>
      <c r="E727">
        <f>E726+C727</f>
        <v/>
      </c>
      <c r="F727">
        <f>IF(C727&gt;0,D727/C727,NA())</f>
        <v/>
      </c>
    </row>
    <row r="728">
      <c r="A728" t="inlineStr">
        <is>
          <t>El Trapial</t>
        </is>
      </c>
      <c r="B728" t="inlineStr">
        <is>
          <t>2025-06</t>
        </is>
      </c>
      <c r="C728" t="n">
        <v>7338</v>
      </c>
      <c r="D728" t="n">
        <v>411243.2</v>
      </c>
      <c r="E728">
        <f>E727+C728</f>
        <v/>
      </c>
      <c r="F728">
        <f>IF(C728&gt;0,D728/C728,NA())</f>
        <v/>
      </c>
    </row>
    <row r="729">
      <c r="A729" t="inlineStr">
        <is>
          <t>El Trapial</t>
        </is>
      </c>
      <c r="B729" t="inlineStr">
        <is>
          <t>2025-07</t>
        </is>
      </c>
      <c r="C729" t="n">
        <v>6322.1</v>
      </c>
      <c r="D729" t="n">
        <v>347916.2</v>
      </c>
      <c r="E729">
        <f>E728+C729</f>
        <v/>
      </c>
      <c r="F729">
        <f>IF(C729&gt;0,D729/C729,NA())</f>
        <v/>
      </c>
    </row>
    <row r="730">
      <c r="A730" t="inlineStr">
        <is>
          <t>El Trapial</t>
        </is>
      </c>
      <c r="B730" t="inlineStr">
        <is>
          <t>2025-08</t>
        </is>
      </c>
      <c r="C730" t="n">
        <v>5446.8</v>
      </c>
      <c r="D730" t="n">
        <v>338862.3</v>
      </c>
      <c r="E730">
        <f>E729+C730</f>
        <v/>
      </c>
      <c r="F730">
        <f>IF(C730&gt;0,D730/C730,NA())</f>
        <v/>
      </c>
    </row>
    <row r="731">
      <c r="A731" t="inlineStr">
        <is>
          <t>El Trapial</t>
        </is>
      </c>
      <c r="B731" t="inlineStr">
        <is>
          <t>2025-09</t>
        </is>
      </c>
      <c r="C731" t="n">
        <v>4960</v>
      </c>
      <c r="D731" t="n">
        <v>288578.7</v>
      </c>
      <c r="E731">
        <f>E730+C731</f>
        <v/>
      </c>
      <c r="F731">
        <f>IF(C731&gt;0,D731/C731,NA())</f>
        <v/>
      </c>
    </row>
    <row r="732">
      <c r="A732" t="inlineStr">
        <is>
          <t>El Trapial</t>
        </is>
      </c>
      <c r="B732" t="inlineStr">
        <is>
          <t>2025-10</t>
        </is>
      </c>
      <c r="C732" t="n">
        <v>4267</v>
      </c>
      <c r="D732" t="n">
        <v>276151.8</v>
      </c>
      <c r="E732">
        <f>E731+C732</f>
        <v/>
      </c>
      <c r="F732">
        <f>IF(C732&gt;0,D732/C732,NA())</f>
        <v/>
      </c>
    </row>
    <row r="733">
      <c r="A733" t="inlineStr">
        <is>
          <t>El Trapial</t>
        </is>
      </c>
      <c r="B733" t="inlineStr">
        <is>
          <t>2025-11</t>
        </is>
      </c>
      <c r="C733" t="n">
        <v>2172</v>
      </c>
      <c r="D733" t="n">
        <v>111223.2</v>
      </c>
      <c r="E733">
        <f>E732+C733</f>
        <v/>
      </c>
      <c r="F733">
        <f>IF(C733&gt;0,D733/C733,NA())</f>
        <v/>
      </c>
    </row>
    <row r="734">
      <c r="A734" t="inlineStr">
        <is>
          <t>El Trapial</t>
        </is>
      </c>
      <c r="B734" t="inlineStr">
        <is>
          <t>2025-12</t>
        </is>
      </c>
      <c r="C734" t="n">
        <v>1612</v>
      </c>
      <c r="D734" t="n">
        <v>94818.8</v>
      </c>
      <c r="E734">
        <f>E733+C734</f>
        <v/>
      </c>
      <c r="F734">
        <f>IF(C734&gt;0,D734/C734,NA())</f>
        <v/>
      </c>
    </row>
    <row r="735">
      <c r="A735" t="inlineStr">
        <is>
          <t>El Trapial</t>
        </is>
      </c>
      <c r="B735" t="inlineStr">
        <is>
          <t>2026-01</t>
        </is>
      </c>
      <c r="C735" t="n">
        <v>1428.1</v>
      </c>
      <c r="D735" t="n">
        <v>93148.7</v>
      </c>
      <c r="E735">
        <f>E734+C735</f>
        <v/>
      </c>
      <c r="F735">
        <f>IF(C735&gt;0,D735/C735,NA())</f>
        <v/>
      </c>
    </row>
    <row r="736">
      <c r="A736" t="inlineStr">
        <is>
          <t>El Trapial</t>
        </is>
      </c>
      <c r="B736" t="inlineStr">
        <is>
          <t>2026-02</t>
        </is>
      </c>
      <c r="C736" t="n">
        <v>1099</v>
      </c>
      <c r="D736" t="n">
        <v>81926.3</v>
      </c>
      <c r="E736">
        <f>E735+C736</f>
        <v/>
      </c>
      <c r="F736">
        <f>IF(C736&gt;0,D736/C736,NA())</f>
        <v/>
      </c>
    </row>
    <row r="737">
      <c r="A737" t="inlineStr">
        <is>
          <t>El Trapial</t>
        </is>
      </c>
      <c r="B737" t="inlineStr">
        <is>
          <t>2026-03</t>
        </is>
      </c>
      <c r="C737" t="n">
        <v>711</v>
      </c>
      <c r="D737" t="n">
        <v>61046.1</v>
      </c>
      <c r="E737">
        <f>E736+C737</f>
        <v/>
      </c>
      <c r="F737">
        <f>IF(C737&gt;0,D737/C737,NA())</f>
        <v/>
      </c>
    </row>
    <row r="738">
      <c r="A738" t="inlineStr">
        <is>
          <t>El Trapial</t>
        </is>
      </c>
      <c r="B738" t="inlineStr">
        <is>
          <t>2026-04</t>
        </is>
      </c>
      <c r="C738" t="n">
        <v>1016</v>
      </c>
      <c r="D738" t="n">
        <v>67389</v>
      </c>
      <c r="E738">
        <f>E737+C738</f>
        <v/>
      </c>
      <c r="F738">
        <f>IF(C738&gt;0,D738/C738,NA())</f>
        <v/>
      </c>
    </row>
    <row r="739">
      <c r="A739" t="inlineStr">
        <is>
          <t>El Trapial</t>
        </is>
      </c>
      <c r="B739" t="inlineStr">
        <is>
          <t>2026-05</t>
        </is>
      </c>
      <c r="C739" t="n">
        <v>688</v>
      </c>
      <c r="D739" t="n">
        <v>55431.8</v>
      </c>
      <c r="E739">
        <f>E738+C739</f>
        <v/>
      </c>
      <c r="F739">
        <f>IF(C739&gt;0,D739/C739,NA())</f>
        <v/>
      </c>
    </row>
    <row r="740">
      <c r="A740" t="inlineStr">
        <is>
          <t>El Trapial</t>
        </is>
      </c>
      <c r="B740" t="inlineStr">
        <is>
          <t>2026-06</t>
        </is>
      </c>
      <c r="C740" t="n">
        <v>266</v>
      </c>
      <c r="D740" t="n">
        <v>28042.3</v>
      </c>
      <c r="E740">
        <f>E739+C740</f>
        <v/>
      </c>
      <c r="F740">
        <f>IF(C740&gt;0,D740/C740,NA())</f>
        <v/>
      </c>
    </row>
    <row r="741">
      <c r="A741" t="inlineStr">
        <is>
          <t>El Trapial</t>
        </is>
      </c>
      <c r="B741" t="inlineStr">
        <is>
          <t>2026-07</t>
        </is>
      </c>
      <c r="C741" t="n">
        <v>123.9</v>
      </c>
      <c r="D741" t="n">
        <v>35473.8</v>
      </c>
      <c r="E741">
        <f>E740+C741</f>
        <v/>
      </c>
      <c r="F741">
        <f>IF(C741&gt;0,D741/C741,NA())</f>
        <v/>
      </c>
    </row>
    <row r="742">
      <c r="A742" t="inlineStr">
        <is>
          <t>Puesto Hernández</t>
        </is>
      </c>
      <c r="B742" t="inlineStr">
        <is>
          <t>2006-01</t>
        </is>
      </c>
      <c r="C742" t="n">
        <v>155797.6</v>
      </c>
      <c r="D742" t="n">
        <v>2422884.6</v>
      </c>
      <c r="E742">
        <f>C742</f>
        <v/>
      </c>
      <c r="F742">
        <f>IF(C742&gt;0,D742/C742,NA())</f>
        <v/>
      </c>
    </row>
    <row r="743">
      <c r="A743" t="inlineStr">
        <is>
          <t>Puesto Hernández</t>
        </is>
      </c>
      <c r="B743" t="inlineStr">
        <is>
          <t>2006-02</t>
        </is>
      </c>
      <c r="C743" t="n">
        <v>138286.7</v>
      </c>
      <c r="D743" t="n">
        <v>2158078.3</v>
      </c>
      <c r="E743">
        <f>E742+C743</f>
        <v/>
      </c>
      <c r="F743">
        <f>IF(C743&gt;0,D743/C743,NA())</f>
        <v/>
      </c>
    </row>
    <row r="744">
      <c r="A744" t="inlineStr">
        <is>
          <t>Puesto Hernández</t>
        </is>
      </c>
      <c r="B744" t="inlineStr">
        <is>
          <t>2006-03</t>
        </is>
      </c>
      <c r="C744" t="n">
        <v>143241</v>
      </c>
      <c r="D744" t="n">
        <v>2276244.6</v>
      </c>
      <c r="E744">
        <f>E743+C744</f>
        <v/>
      </c>
      <c r="F744">
        <f>IF(C744&gt;0,D744/C744,NA())</f>
        <v/>
      </c>
    </row>
    <row r="745">
      <c r="A745" t="inlineStr">
        <is>
          <t>Puesto Hernández</t>
        </is>
      </c>
      <c r="B745" t="inlineStr">
        <is>
          <t>2006-04</t>
        </is>
      </c>
      <c r="C745" t="n">
        <v>143292.5</v>
      </c>
      <c r="D745" t="n">
        <v>2296281.4</v>
      </c>
      <c r="E745">
        <f>E744+C745</f>
        <v/>
      </c>
      <c r="F745">
        <f>IF(C745&gt;0,D745/C745,NA())</f>
        <v/>
      </c>
    </row>
    <row r="746">
      <c r="A746" t="inlineStr">
        <is>
          <t>Puesto Hernández</t>
        </is>
      </c>
      <c r="B746" t="inlineStr">
        <is>
          <t>2006-05</t>
        </is>
      </c>
      <c r="C746" t="n">
        <v>148711.6</v>
      </c>
      <c r="D746" t="n">
        <v>2422787.7</v>
      </c>
      <c r="E746">
        <f>E745+C746</f>
        <v/>
      </c>
      <c r="F746">
        <f>IF(C746&gt;0,D746/C746,NA())</f>
        <v/>
      </c>
    </row>
    <row r="747">
      <c r="A747" t="inlineStr">
        <is>
          <t>Puesto Hernández</t>
        </is>
      </c>
      <c r="B747" t="inlineStr">
        <is>
          <t>2006-06</t>
        </is>
      </c>
      <c r="C747" t="n">
        <v>142865.4</v>
      </c>
      <c r="D747" t="n">
        <v>2325076.9</v>
      </c>
      <c r="E747">
        <f>E746+C747</f>
        <v/>
      </c>
      <c r="F747">
        <f>IF(C747&gt;0,D747/C747,NA())</f>
        <v/>
      </c>
    </row>
    <row r="748">
      <c r="A748" t="inlineStr">
        <is>
          <t>Puesto Hernández</t>
        </is>
      </c>
      <c r="B748" t="inlineStr">
        <is>
          <t>2006-07</t>
        </is>
      </c>
      <c r="C748" t="n">
        <v>142908.6</v>
      </c>
      <c r="D748" t="n">
        <v>2338381.5</v>
      </c>
      <c r="E748">
        <f>E747+C748</f>
        <v/>
      </c>
      <c r="F748">
        <f>IF(C748&gt;0,D748/C748,NA())</f>
        <v/>
      </c>
    </row>
    <row r="749">
      <c r="A749" t="inlineStr">
        <is>
          <t>Puesto Hernández</t>
        </is>
      </c>
      <c r="B749" t="inlineStr">
        <is>
          <t>2006-08</t>
        </is>
      </c>
      <c r="C749" t="n">
        <v>143116.1</v>
      </c>
      <c r="D749" t="n">
        <v>2422722.3</v>
      </c>
      <c r="E749">
        <f>E748+C749</f>
        <v/>
      </c>
      <c r="F749">
        <f>IF(C749&gt;0,D749/C749,NA())</f>
        <v/>
      </c>
    </row>
    <row r="750">
      <c r="A750" t="inlineStr">
        <is>
          <t>Puesto Hernández</t>
        </is>
      </c>
      <c r="B750" t="inlineStr">
        <is>
          <t>2006-09</t>
        </is>
      </c>
      <c r="C750" t="n">
        <v>139115.5</v>
      </c>
      <c r="D750" t="n">
        <v>2303795.6</v>
      </c>
      <c r="E750">
        <f>E749+C750</f>
        <v/>
      </c>
      <c r="F750">
        <f>IF(C750&gt;0,D750/C750,NA())</f>
        <v/>
      </c>
    </row>
    <row r="751">
      <c r="A751" t="inlineStr">
        <is>
          <t>Puesto Hernández</t>
        </is>
      </c>
      <c r="B751" t="inlineStr">
        <is>
          <t>2006-10</t>
        </is>
      </c>
      <c r="C751" t="n">
        <v>136790.3</v>
      </c>
      <c r="D751" t="n">
        <v>2414596.9</v>
      </c>
      <c r="E751">
        <f>E750+C751</f>
        <v/>
      </c>
      <c r="F751">
        <f>IF(C751&gt;0,D751/C751,NA())</f>
        <v/>
      </c>
    </row>
    <row r="752">
      <c r="A752" t="inlineStr">
        <is>
          <t>Puesto Hernández</t>
        </is>
      </c>
      <c r="B752" t="inlineStr">
        <is>
          <t>2006-11</t>
        </is>
      </c>
      <c r="C752" t="n">
        <v>124945</v>
      </c>
      <c r="D752" t="n">
        <v>2248085</v>
      </c>
      <c r="E752">
        <f>E751+C752</f>
        <v/>
      </c>
      <c r="F752">
        <f>IF(C752&gt;0,D752/C752,NA())</f>
        <v/>
      </c>
    </row>
    <row r="753">
      <c r="A753" t="inlineStr">
        <is>
          <t>Puesto Hernández</t>
        </is>
      </c>
      <c r="B753" t="inlineStr">
        <is>
          <t>2006-12</t>
        </is>
      </c>
      <c r="C753" t="n">
        <v>132017.9</v>
      </c>
      <c r="D753" t="n">
        <v>2356302.8</v>
      </c>
      <c r="E753">
        <f>E752+C753</f>
        <v/>
      </c>
      <c r="F753">
        <f>IF(C753&gt;0,D753/C753,NA())</f>
        <v/>
      </c>
    </row>
    <row r="754">
      <c r="A754" t="inlineStr">
        <is>
          <t>Puesto Hernández</t>
        </is>
      </c>
      <c r="B754" t="inlineStr">
        <is>
          <t>2007-01</t>
        </is>
      </c>
      <c r="C754" t="n">
        <v>128448</v>
      </c>
      <c r="D754" t="n">
        <v>2372969.6</v>
      </c>
      <c r="E754">
        <f>E753+C754</f>
        <v/>
      </c>
      <c r="F754">
        <f>IF(C754&gt;0,D754/C754,NA())</f>
        <v/>
      </c>
    </row>
    <row r="755">
      <c r="A755" t="inlineStr">
        <is>
          <t>Puesto Hernández</t>
        </is>
      </c>
      <c r="B755" t="inlineStr">
        <is>
          <t>2007-02</t>
        </is>
      </c>
      <c r="C755" t="n">
        <v>115506.9</v>
      </c>
      <c r="D755" t="n">
        <v>2128877.1</v>
      </c>
      <c r="E755">
        <f>E754+C755</f>
        <v/>
      </c>
      <c r="F755">
        <f>IF(C755&gt;0,D755/C755,NA())</f>
        <v/>
      </c>
    </row>
    <row r="756">
      <c r="A756" t="inlineStr">
        <is>
          <t>Puesto Hernández</t>
        </is>
      </c>
      <c r="B756" t="inlineStr">
        <is>
          <t>2007-03</t>
        </is>
      </c>
      <c r="C756" t="n">
        <v>126520.9</v>
      </c>
      <c r="D756" t="n">
        <v>2399758.6</v>
      </c>
      <c r="E756">
        <f>E755+C756</f>
        <v/>
      </c>
      <c r="F756">
        <f>IF(C756&gt;0,D756/C756,NA())</f>
        <v/>
      </c>
    </row>
    <row r="757">
      <c r="A757" t="inlineStr">
        <is>
          <t>Puesto Hernández</t>
        </is>
      </c>
      <c r="B757" t="inlineStr">
        <is>
          <t>2007-04</t>
        </is>
      </c>
      <c r="C757" t="n">
        <v>121466.6</v>
      </c>
      <c r="D757" t="n">
        <v>2334031</v>
      </c>
      <c r="E757">
        <f>E756+C757</f>
        <v/>
      </c>
      <c r="F757">
        <f>IF(C757&gt;0,D757/C757,NA())</f>
        <v/>
      </c>
    </row>
    <row r="758">
      <c r="A758" t="inlineStr">
        <is>
          <t>Puesto Hernández</t>
        </is>
      </c>
      <c r="B758" t="inlineStr">
        <is>
          <t>2007-05</t>
        </is>
      </c>
      <c r="C758" t="n">
        <v>123927.1</v>
      </c>
      <c r="D758" t="n">
        <v>2444045.3</v>
      </c>
      <c r="E758">
        <f>E757+C758</f>
        <v/>
      </c>
      <c r="F758">
        <f>IF(C758&gt;0,D758/C758,NA())</f>
        <v/>
      </c>
    </row>
    <row r="759">
      <c r="A759" t="inlineStr">
        <is>
          <t>Puesto Hernández</t>
        </is>
      </c>
      <c r="B759" t="inlineStr">
        <is>
          <t>2007-06</t>
        </is>
      </c>
      <c r="C759" t="n">
        <v>116992.4</v>
      </c>
      <c r="D759" t="n">
        <v>2329911</v>
      </c>
      <c r="E759">
        <f>E758+C759</f>
        <v/>
      </c>
      <c r="F759">
        <f>IF(C759&gt;0,D759/C759,NA())</f>
        <v/>
      </c>
    </row>
    <row r="760">
      <c r="A760" t="inlineStr">
        <is>
          <t>Puesto Hernández</t>
        </is>
      </c>
      <c r="B760" t="inlineStr">
        <is>
          <t>2007-07</t>
        </is>
      </c>
      <c r="C760" t="n">
        <v>118389.6</v>
      </c>
      <c r="D760" t="n">
        <v>2446147.1</v>
      </c>
      <c r="E760">
        <f>E759+C760</f>
        <v/>
      </c>
      <c r="F760">
        <f>IF(C760&gt;0,D760/C760,NA())</f>
        <v/>
      </c>
    </row>
    <row r="761">
      <c r="A761" t="inlineStr">
        <is>
          <t>Puesto Hernández</t>
        </is>
      </c>
      <c r="B761" t="inlineStr">
        <is>
          <t>2007-08</t>
        </is>
      </c>
      <c r="C761" t="n">
        <v>120590.6</v>
      </c>
      <c r="D761" t="n">
        <v>2432532.1</v>
      </c>
      <c r="E761">
        <f>E760+C761</f>
        <v/>
      </c>
      <c r="F761">
        <f>IF(C761&gt;0,D761/C761,NA())</f>
        <v/>
      </c>
    </row>
    <row r="762">
      <c r="A762" t="inlineStr">
        <is>
          <t>Puesto Hernández</t>
        </is>
      </c>
      <c r="B762" t="inlineStr">
        <is>
          <t>2007-09</t>
        </is>
      </c>
      <c r="C762" t="n">
        <v>117428.7</v>
      </c>
      <c r="D762" t="n">
        <v>2346924</v>
      </c>
      <c r="E762">
        <f>E761+C762</f>
        <v/>
      </c>
      <c r="F762">
        <f>IF(C762&gt;0,D762/C762,NA())</f>
        <v/>
      </c>
    </row>
    <row r="763">
      <c r="A763" t="inlineStr">
        <is>
          <t>Puesto Hernández</t>
        </is>
      </c>
      <c r="B763" t="inlineStr">
        <is>
          <t>2007-10</t>
        </is>
      </c>
      <c r="C763" t="n">
        <v>119444</v>
      </c>
      <c r="D763" t="n">
        <v>2424568</v>
      </c>
      <c r="E763">
        <f>E762+C763</f>
        <v/>
      </c>
      <c r="F763">
        <f>IF(C763&gt;0,D763/C763,NA())</f>
        <v/>
      </c>
    </row>
    <row r="764">
      <c r="A764" t="inlineStr">
        <is>
          <t>Puesto Hernández</t>
        </is>
      </c>
      <c r="B764" t="inlineStr">
        <is>
          <t>2007-11</t>
        </is>
      </c>
      <c r="C764" t="n">
        <v>114341.2</v>
      </c>
      <c r="D764" t="n">
        <v>2321170.6</v>
      </c>
      <c r="E764">
        <f>E763+C764</f>
        <v/>
      </c>
      <c r="F764">
        <f>IF(C764&gt;0,D764/C764,NA())</f>
        <v/>
      </c>
    </row>
    <row r="765">
      <c r="A765" t="inlineStr">
        <is>
          <t>Puesto Hernández</t>
        </is>
      </c>
      <c r="B765" t="inlineStr">
        <is>
          <t>2007-12</t>
        </is>
      </c>
      <c r="C765" t="n">
        <v>111975.3</v>
      </c>
      <c r="D765" t="n">
        <v>2331647.5</v>
      </c>
      <c r="E765">
        <f>E764+C765</f>
        <v/>
      </c>
      <c r="F765">
        <f>IF(C765&gt;0,D765/C765,NA())</f>
        <v/>
      </c>
    </row>
    <row r="766">
      <c r="A766" t="inlineStr">
        <is>
          <t>Puesto Hernández</t>
        </is>
      </c>
      <c r="B766" t="inlineStr">
        <is>
          <t>2008-01</t>
        </is>
      </c>
      <c r="C766" t="n">
        <v>114607.5</v>
      </c>
      <c r="D766" t="n">
        <v>2318271.3</v>
      </c>
      <c r="E766">
        <f>E765+C766</f>
        <v/>
      </c>
      <c r="F766">
        <f>IF(C766&gt;0,D766/C766,NA())</f>
        <v/>
      </c>
    </row>
    <row r="767">
      <c r="A767" t="inlineStr">
        <is>
          <t>Puesto Hernández</t>
        </is>
      </c>
      <c r="B767" t="inlineStr">
        <is>
          <t>2008-02</t>
        </is>
      </c>
      <c r="C767" t="n">
        <v>107095.7</v>
      </c>
      <c r="D767" t="n">
        <v>2098328.7</v>
      </c>
      <c r="E767">
        <f>E766+C767</f>
        <v/>
      </c>
      <c r="F767">
        <f>IF(C767&gt;0,D767/C767,NA())</f>
        <v/>
      </c>
    </row>
    <row r="768">
      <c r="A768" t="inlineStr">
        <is>
          <t>Puesto Hernández</t>
        </is>
      </c>
      <c r="B768" t="inlineStr">
        <is>
          <t>2008-03</t>
        </is>
      </c>
      <c r="C768" t="n">
        <v>112084.9</v>
      </c>
      <c r="D768" t="n">
        <v>2223766.2</v>
      </c>
      <c r="E768">
        <f>E767+C768</f>
        <v/>
      </c>
      <c r="F768">
        <f>IF(C768&gt;0,D768/C768,NA())</f>
        <v/>
      </c>
    </row>
    <row r="769">
      <c r="A769" t="inlineStr">
        <is>
          <t>Puesto Hernández</t>
        </is>
      </c>
      <c r="B769" t="inlineStr">
        <is>
          <t>2008-04</t>
        </is>
      </c>
      <c r="C769" t="n">
        <v>107137.9</v>
      </c>
      <c r="D769" t="n">
        <v>2129784.9</v>
      </c>
      <c r="E769">
        <f>E768+C769</f>
        <v/>
      </c>
      <c r="F769">
        <f>IF(C769&gt;0,D769/C769,NA())</f>
        <v/>
      </c>
    </row>
    <row r="770">
      <c r="A770" t="inlineStr">
        <is>
          <t>Puesto Hernández</t>
        </is>
      </c>
      <c r="B770" t="inlineStr">
        <is>
          <t>2008-05</t>
        </is>
      </c>
      <c r="C770" t="n">
        <v>108769.1</v>
      </c>
      <c r="D770" t="n">
        <v>2165042.5</v>
      </c>
      <c r="E770">
        <f>E769+C770</f>
        <v/>
      </c>
      <c r="F770">
        <f>IF(C770&gt;0,D770/C770,NA())</f>
        <v/>
      </c>
    </row>
    <row r="771">
      <c r="A771" t="inlineStr">
        <is>
          <t>Puesto Hernández</t>
        </is>
      </c>
      <c r="B771" t="inlineStr">
        <is>
          <t>2008-06</t>
        </is>
      </c>
      <c r="C771" t="n">
        <v>103899.2</v>
      </c>
      <c r="D771" t="n">
        <v>2146587.5</v>
      </c>
      <c r="E771">
        <f>E770+C771</f>
        <v/>
      </c>
      <c r="F771">
        <f>IF(C771&gt;0,D771/C771,NA())</f>
        <v/>
      </c>
    </row>
    <row r="772">
      <c r="A772" t="inlineStr">
        <is>
          <t>Puesto Hernández</t>
        </is>
      </c>
      <c r="B772" t="inlineStr">
        <is>
          <t>2008-07</t>
        </is>
      </c>
      <c r="C772" t="n">
        <v>106521.6</v>
      </c>
      <c r="D772" t="n">
        <v>2253273.2</v>
      </c>
      <c r="E772">
        <f>E771+C772</f>
        <v/>
      </c>
      <c r="F772">
        <f>IF(C772&gt;0,D772/C772,NA())</f>
        <v/>
      </c>
    </row>
    <row r="773">
      <c r="A773" t="inlineStr">
        <is>
          <t>Puesto Hernández</t>
        </is>
      </c>
      <c r="B773" t="inlineStr">
        <is>
          <t>2008-08</t>
        </is>
      </c>
      <c r="C773" t="n">
        <v>105181.6</v>
      </c>
      <c r="D773" t="n">
        <v>2314897.4</v>
      </c>
      <c r="E773">
        <f>E772+C773</f>
        <v/>
      </c>
      <c r="F773">
        <f>IF(C773&gt;0,D773/C773,NA())</f>
        <v/>
      </c>
    </row>
    <row r="774">
      <c r="A774" t="inlineStr">
        <is>
          <t>Puesto Hernández</t>
        </is>
      </c>
      <c r="B774" t="inlineStr">
        <is>
          <t>2008-09</t>
        </is>
      </c>
      <c r="C774" t="n">
        <v>99883.8</v>
      </c>
      <c r="D774" t="n">
        <v>2327287.4</v>
      </c>
      <c r="E774">
        <f>E773+C774</f>
        <v/>
      </c>
      <c r="F774">
        <f>IF(C774&gt;0,D774/C774,NA())</f>
        <v/>
      </c>
    </row>
    <row r="775">
      <c r="A775" t="inlineStr">
        <is>
          <t>Puesto Hernández</t>
        </is>
      </c>
      <c r="B775" t="inlineStr">
        <is>
          <t>2008-10</t>
        </is>
      </c>
      <c r="C775" t="n">
        <v>101888.7</v>
      </c>
      <c r="D775" t="n">
        <v>2341067.9</v>
      </c>
      <c r="E775">
        <f>E774+C775</f>
        <v/>
      </c>
      <c r="F775">
        <f>IF(C775&gt;0,D775/C775,NA())</f>
        <v/>
      </c>
    </row>
    <row r="776">
      <c r="A776" t="inlineStr">
        <is>
          <t>Puesto Hernández</t>
        </is>
      </c>
      <c r="B776" t="inlineStr">
        <is>
          <t>2008-11</t>
        </is>
      </c>
      <c r="C776" t="n">
        <v>99579</v>
      </c>
      <c r="D776" t="n">
        <v>2284192.5</v>
      </c>
      <c r="E776">
        <f>E775+C776</f>
        <v/>
      </c>
      <c r="F776">
        <f>IF(C776&gt;0,D776/C776,NA())</f>
        <v/>
      </c>
    </row>
    <row r="777">
      <c r="A777" t="inlineStr">
        <is>
          <t>Puesto Hernández</t>
        </is>
      </c>
      <c r="B777" t="inlineStr">
        <is>
          <t>2008-12</t>
        </is>
      </c>
      <c r="C777" t="n">
        <v>100793.4</v>
      </c>
      <c r="D777" t="n">
        <v>2363219</v>
      </c>
      <c r="E777">
        <f>E776+C777</f>
        <v/>
      </c>
      <c r="F777">
        <f>IF(C777&gt;0,D777/C777,NA())</f>
        <v/>
      </c>
    </row>
    <row r="778">
      <c r="A778" t="inlineStr">
        <is>
          <t>Puesto Hernández</t>
        </is>
      </c>
      <c r="B778" t="inlineStr">
        <is>
          <t>2009-01</t>
        </is>
      </c>
      <c r="C778" t="n">
        <v>97919.7</v>
      </c>
      <c r="D778" t="n">
        <v>2333942.7</v>
      </c>
      <c r="E778">
        <f>E777+C778</f>
        <v/>
      </c>
      <c r="F778">
        <f>IF(C778&gt;0,D778/C778,NA())</f>
        <v/>
      </c>
    </row>
    <row r="779">
      <c r="A779" t="inlineStr">
        <is>
          <t>Puesto Hernández</t>
        </is>
      </c>
      <c r="B779" t="inlineStr">
        <is>
          <t>2009-02</t>
        </is>
      </c>
      <c r="C779" t="n">
        <v>89337.39999999999</v>
      </c>
      <c r="D779" t="n">
        <v>2153008.8</v>
      </c>
      <c r="E779">
        <f>E778+C779</f>
        <v/>
      </c>
      <c r="F779">
        <f>IF(C779&gt;0,D779/C779,NA())</f>
        <v/>
      </c>
    </row>
    <row r="780">
      <c r="A780" t="inlineStr">
        <is>
          <t>Puesto Hernández</t>
        </is>
      </c>
      <c r="B780" t="inlineStr">
        <is>
          <t>2009-03</t>
        </is>
      </c>
      <c r="C780" t="n">
        <v>98344.89999999999</v>
      </c>
      <c r="D780" t="n">
        <v>2378098.2</v>
      </c>
      <c r="E780">
        <f>E779+C780</f>
        <v/>
      </c>
      <c r="F780">
        <f>IF(C780&gt;0,D780/C780,NA())</f>
        <v/>
      </c>
    </row>
    <row r="781">
      <c r="A781" t="inlineStr">
        <is>
          <t>Puesto Hernández</t>
        </is>
      </c>
      <c r="B781" t="inlineStr">
        <is>
          <t>2009-04</t>
        </is>
      </c>
      <c r="C781" t="n">
        <v>92140.89999999999</v>
      </c>
      <c r="D781" t="n">
        <v>2296641.8</v>
      </c>
      <c r="E781">
        <f>E780+C781</f>
        <v/>
      </c>
      <c r="F781">
        <f>IF(C781&gt;0,D781/C781,NA())</f>
        <v/>
      </c>
    </row>
    <row r="782">
      <c r="A782" t="inlineStr">
        <is>
          <t>Puesto Hernández</t>
        </is>
      </c>
      <c r="B782" t="inlineStr">
        <is>
          <t>2009-05</t>
        </is>
      </c>
      <c r="C782" t="n">
        <v>92598</v>
      </c>
      <c r="D782" t="n">
        <v>2363850.4</v>
      </c>
      <c r="E782">
        <f>E781+C782</f>
        <v/>
      </c>
      <c r="F782">
        <f>IF(C782&gt;0,D782/C782,NA())</f>
        <v/>
      </c>
    </row>
    <row r="783">
      <c r="A783" t="inlineStr">
        <is>
          <t>Puesto Hernández</t>
        </is>
      </c>
      <c r="B783" t="inlineStr">
        <is>
          <t>2009-06</t>
        </is>
      </c>
      <c r="C783" t="n">
        <v>89958</v>
      </c>
      <c r="D783" t="n">
        <v>2310331.3</v>
      </c>
      <c r="E783">
        <f>E782+C783</f>
        <v/>
      </c>
      <c r="F783">
        <f>IF(C783&gt;0,D783/C783,NA())</f>
        <v/>
      </c>
    </row>
    <row r="784">
      <c r="A784" t="inlineStr">
        <is>
          <t>Puesto Hernández</t>
        </is>
      </c>
      <c r="B784" t="inlineStr">
        <is>
          <t>2009-07</t>
        </is>
      </c>
      <c r="C784" t="n">
        <v>80963.8</v>
      </c>
      <c r="D784" t="n">
        <v>2180152.6</v>
      </c>
      <c r="E784">
        <f>E783+C784</f>
        <v/>
      </c>
      <c r="F784">
        <f>IF(C784&gt;0,D784/C784,NA())</f>
        <v/>
      </c>
    </row>
    <row r="785">
      <c r="A785" t="inlineStr">
        <is>
          <t>Puesto Hernández</t>
        </is>
      </c>
      <c r="B785" t="inlineStr">
        <is>
          <t>2009-08</t>
        </is>
      </c>
      <c r="C785" t="n">
        <v>91222.5</v>
      </c>
      <c r="D785" t="n">
        <v>2363673.3</v>
      </c>
      <c r="E785">
        <f>E784+C785</f>
        <v/>
      </c>
      <c r="F785">
        <f>IF(C785&gt;0,D785/C785,NA())</f>
        <v/>
      </c>
    </row>
    <row r="786">
      <c r="A786" t="inlineStr">
        <is>
          <t>Puesto Hernández</t>
        </is>
      </c>
      <c r="B786" t="inlineStr">
        <is>
          <t>2009-09</t>
        </is>
      </c>
      <c r="C786" t="n">
        <v>84269.10000000001</v>
      </c>
      <c r="D786" t="n">
        <v>2189719.1</v>
      </c>
      <c r="E786">
        <f>E785+C786</f>
        <v/>
      </c>
      <c r="F786">
        <f>IF(C786&gt;0,D786/C786,NA())</f>
        <v/>
      </c>
    </row>
    <row r="787">
      <c r="A787" t="inlineStr">
        <is>
          <t>Puesto Hernández</t>
        </is>
      </c>
      <c r="B787" t="inlineStr">
        <is>
          <t>2009-10</t>
        </is>
      </c>
      <c r="C787" t="n">
        <v>89506.89999999999</v>
      </c>
      <c r="D787" t="n">
        <v>2303000.6</v>
      </c>
      <c r="E787">
        <f>E786+C787</f>
        <v/>
      </c>
      <c r="F787">
        <f>IF(C787&gt;0,D787/C787,NA())</f>
        <v/>
      </c>
    </row>
    <row r="788">
      <c r="A788" t="inlineStr">
        <is>
          <t>Puesto Hernández</t>
        </is>
      </c>
      <c r="B788" t="inlineStr">
        <is>
          <t>2009-11</t>
        </is>
      </c>
      <c r="C788" t="n">
        <v>84218.89999999999</v>
      </c>
      <c r="D788" t="n">
        <v>2208565.3</v>
      </c>
      <c r="E788">
        <f>E787+C788</f>
        <v/>
      </c>
      <c r="F788">
        <f>IF(C788&gt;0,D788/C788,NA())</f>
        <v/>
      </c>
    </row>
    <row r="789">
      <c r="A789" t="inlineStr">
        <is>
          <t>Puesto Hernández</t>
        </is>
      </c>
      <c r="B789" t="inlineStr">
        <is>
          <t>2009-12</t>
        </is>
      </c>
      <c r="C789" t="n">
        <v>83572.89999999999</v>
      </c>
      <c r="D789" t="n">
        <v>2220433.7</v>
      </c>
      <c r="E789">
        <f>E788+C789</f>
        <v/>
      </c>
      <c r="F789">
        <f>IF(C789&gt;0,D789/C789,NA())</f>
        <v/>
      </c>
    </row>
    <row r="790">
      <c r="A790" t="inlineStr">
        <is>
          <t>Puesto Hernández</t>
        </is>
      </c>
      <c r="B790" t="inlineStr">
        <is>
          <t>2010-01</t>
        </is>
      </c>
      <c r="C790" t="n">
        <v>82761.5</v>
      </c>
      <c r="D790" t="n">
        <v>2239972.7</v>
      </c>
      <c r="E790">
        <f>E789+C790</f>
        <v/>
      </c>
      <c r="F790">
        <f>IF(C790&gt;0,D790/C790,NA())</f>
        <v/>
      </c>
    </row>
    <row r="791">
      <c r="A791" t="inlineStr">
        <is>
          <t>Puesto Hernández</t>
        </is>
      </c>
      <c r="B791" t="inlineStr">
        <is>
          <t>2010-02</t>
        </is>
      </c>
      <c r="C791" t="n">
        <v>74161.60000000001</v>
      </c>
      <c r="D791" t="n">
        <v>2059242</v>
      </c>
      <c r="E791">
        <f>E790+C791</f>
        <v/>
      </c>
      <c r="F791">
        <f>IF(C791&gt;0,D791/C791,NA())</f>
        <v/>
      </c>
    </row>
    <row r="792">
      <c r="A792" t="inlineStr">
        <is>
          <t>Puesto Hernández</t>
        </is>
      </c>
      <c r="B792" t="inlineStr">
        <is>
          <t>2010-03</t>
        </is>
      </c>
      <c r="C792" t="n">
        <v>80934.89999999999</v>
      </c>
      <c r="D792" t="n">
        <v>2221906.7</v>
      </c>
      <c r="E792">
        <f>E791+C792</f>
        <v/>
      </c>
      <c r="F792">
        <f>IF(C792&gt;0,D792/C792,NA())</f>
        <v/>
      </c>
    </row>
    <row r="793">
      <c r="A793" t="inlineStr">
        <is>
          <t>Puesto Hernández</t>
        </is>
      </c>
      <c r="B793" t="inlineStr">
        <is>
          <t>2010-04</t>
        </is>
      </c>
      <c r="C793" t="n">
        <v>77720.7</v>
      </c>
      <c r="D793" t="n">
        <v>2148193.2</v>
      </c>
      <c r="E793">
        <f>E792+C793</f>
        <v/>
      </c>
      <c r="F793">
        <f>IF(C793&gt;0,D793/C793,NA())</f>
        <v/>
      </c>
    </row>
    <row r="794">
      <c r="A794" t="inlineStr">
        <is>
          <t>Puesto Hernández</t>
        </is>
      </c>
      <c r="B794" t="inlineStr">
        <is>
          <t>2010-05</t>
        </is>
      </c>
      <c r="C794" t="n">
        <v>78648.8</v>
      </c>
      <c r="D794" t="n">
        <v>2183171.9</v>
      </c>
      <c r="E794">
        <f>E793+C794</f>
        <v/>
      </c>
      <c r="F794">
        <f>IF(C794&gt;0,D794/C794,NA())</f>
        <v/>
      </c>
    </row>
    <row r="795">
      <c r="A795" t="inlineStr">
        <is>
          <t>Puesto Hernández</t>
        </is>
      </c>
      <c r="B795" t="inlineStr">
        <is>
          <t>2010-06</t>
        </is>
      </c>
      <c r="C795" t="n">
        <v>74615.2</v>
      </c>
      <c r="D795" t="n">
        <v>2085506</v>
      </c>
      <c r="E795">
        <f>E794+C795</f>
        <v/>
      </c>
      <c r="F795">
        <f>IF(C795&gt;0,D795/C795,NA())</f>
        <v/>
      </c>
    </row>
    <row r="796">
      <c r="A796" t="inlineStr">
        <is>
          <t>Puesto Hernández</t>
        </is>
      </c>
      <c r="B796" t="inlineStr">
        <is>
          <t>2010-07</t>
        </is>
      </c>
      <c r="C796" t="n">
        <v>76332.39999999999</v>
      </c>
      <c r="D796" t="n">
        <v>2182842</v>
      </c>
      <c r="E796">
        <f>E795+C796</f>
        <v/>
      </c>
      <c r="F796">
        <f>IF(C796&gt;0,D796/C796,NA())</f>
        <v/>
      </c>
    </row>
    <row r="797">
      <c r="A797" t="inlineStr">
        <is>
          <t>Puesto Hernández</t>
        </is>
      </c>
      <c r="B797" t="inlineStr">
        <is>
          <t>2010-08</t>
        </is>
      </c>
      <c r="C797" t="n">
        <v>75392</v>
      </c>
      <c r="D797" t="n">
        <v>2150064.3</v>
      </c>
      <c r="E797">
        <f>E796+C797</f>
        <v/>
      </c>
      <c r="F797">
        <f>IF(C797&gt;0,D797/C797,NA())</f>
        <v/>
      </c>
    </row>
    <row r="798">
      <c r="A798" t="inlineStr">
        <is>
          <t>Puesto Hernández</t>
        </is>
      </c>
      <c r="B798" t="inlineStr">
        <is>
          <t>2010-09</t>
        </is>
      </c>
      <c r="C798" t="n">
        <v>73301.10000000001</v>
      </c>
      <c r="D798" t="n">
        <v>2060250.2</v>
      </c>
      <c r="E798">
        <f>E797+C798</f>
        <v/>
      </c>
      <c r="F798">
        <f>IF(C798&gt;0,D798/C798,NA())</f>
        <v/>
      </c>
    </row>
    <row r="799">
      <c r="A799" t="inlineStr">
        <is>
          <t>Puesto Hernández</t>
        </is>
      </c>
      <c r="B799" t="inlineStr">
        <is>
          <t>2010-10</t>
        </is>
      </c>
      <c r="C799" t="n">
        <v>74665.10000000001</v>
      </c>
      <c r="D799" t="n">
        <v>2129563.6</v>
      </c>
      <c r="E799">
        <f>E798+C799</f>
        <v/>
      </c>
      <c r="F799">
        <f>IF(C799&gt;0,D799/C799,NA())</f>
        <v/>
      </c>
    </row>
    <row r="800">
      <c r="A800" t="inlineStr">
        <is>
          <t>Puesto Hernández</t>
        </is>
      </c>
      <c r="B800" t="inlineStr">
        <is>
          <t>2010-11</t>
        </is>
      </c>
      <c r="C800" t="n">
        <v>72023.89999999999</v>
      </c>
      <c r="D800" t="n">
        <v>2072135</v>
      </c>
      <c r="E800">
        <f>E799+C800</f>
        <v/>
      </c>
      <c r="F800">
        <f>IF(C800&gt;0,D800/C800,NA())</f>
        <v/>
      </c>
    </row>
    <row r="801">
      <c r="A801" t="inlineStr">
        <is>
          <t>Puesto Hernández</t>
        </is>
      </c>
      <c r="B801" t="inlineStr">
        <is>
          <t>2010-12</t>
        </is>
      </c>
      <c r="C801" t="n">
        <v>73222.10000000001</v>
      </c>
      <c r="D801" t="n">
        <v>2126291.9</v>
      </c>
      <c r="E801">
        <f>E800+C801</f>
        <v/>
      </c>
      <c r="F801">
        <f>IF(C801&gt;0,D801/C801,NA())</f>
        <v/>
      </c>
    </row>
    <row r="802">
      <c r="A802" t="inlineStr">
        <is>
          <t>Puesto Hernández</t>
        </is>
      </c>
      <c r="B802" t="inlineStr">
        <is>
          <t>2011-01</t>
        </is>
      </c>
      <c r="C802" t="n">
        <v>70991.89999999999</v>
      </c>
      <c r="D802" t="n">
        <v>2076108.9</v>
      </c>
      <c r="E802">
        <f>E801+C802</f>
        <v/>
      </c>
      <c r="F802">
        <f>IF(C802&gt;0,D802/C802,NA())</f>
        <v/>
      </c>
    </row>
    <row r="803">
      <c r="A803" t="inlineStr">
        <is>
          <t>Puesto Hernández</t>
        </is>
      </c>
      <c r="B803" t="inlineStr">
        <is>
          <t>2011-02</t>
        </is>
      </c>
      <c r="C803" t="n">
        <v>61683.7</v>
      </c>
      <c r="D803" t="n">
        <v>1751457.7</v>
      </c>
      <c r="E803">
        <f>E802+C803</f>
        <v/>
      </c>
      <c r="F803">
        <f>IF(C803&gt;0,D803/C803,NA())</f>
        <v/>
      </c>
    </row>
    <row r="804">
      <c r="A804" t="inlineStr">
        <is>
          <t>Puesto Hernández</t>
        </is>
      </c>
      <c r="B804" t="inlineStr">
        <is>
          <t>2011-03</t>
        </is>
      </c>
      <c r="C804" t="n">
        <v>70544.5</v>
      </c>
      <c r="D804" t="n">
        <v>2061467</v>
      </c>
      <c r="E804">
        <f>E803+C804</f>
        <v/>
      </c>
      <c r="F804">
        <f>IF(C804&gt;0,D804/C804,NA())</f>
        <v/>
      </c>
    </row>
    <row r="805">
      <c r="A805" t="inlineStr">
        <is>
          <t>Puesto Hernández</t>
        </is>
      </c>
      <c r="B805" t="inlineStr">
        <is>
          <t>2011-04</t>
        </is>
      </c>
      <c r="C805" t="n">
        <v>66643.7</v>
      </c>
      <c r="D805" t="n">
        <v>1981000.9</v>
      </c>
      <c r="E805">
        <f>E804+C805</f>
        <v/>
      </c>
      <c r="F805">
        <f>IF(C805&gt;0,D805/C805,NA())</f>
        <v/>
      </c>
    </row>
    <row r="806">
      <c r="A806" t="inlineStr">
        <is>
          <t>Puesto Hernández</t>
        </is>
      </c>
      <c r="B806" t="inlineStr">
        <is>
          <t>2011-05</t>
        </is>
      </c>
      <c r="C806" t="n">
        <v>66837.5</v>
      </c>
      <c r="D806" t="n">
        <v>2035851.9</v>
      </c>
      <c r="E806">
        <f>E805+C806</f>
        <v/>
      </c>
      <c r="F806">
        <f>IF(C806&gt;0,D806/C806,NA())</f>
        <v/>
      </c>
    </row>
    <row r="807">
      <c r="A807" t="inlineStr">
        <is>
          <t>Puesto Hernández</t>
        </is>
      </c>
      <c r="B807" t="inlineStr">
        <is>
          <t>2011-06</t>
        </is>
      </c>
      <c r="C807" t="n">
        <v>64399.2</v>
      </c>
      <c r="D807" t="n">
        <v>1959779.2</v>
      </c>
      <c r="E807">
        <f>E806+C807</f>
        <v/>
      </c>
      <c r="F807">
        <f>IF(C807&gt;0,D807/C807,NA())</f>
        <v/>
      </c>
    </row>
    <row r="808">
      <c r="A808" t="inlineStr">
        <is>
          <t>Puesto Hernández</t>
        </is>
      </c>
      <c r="B808" t="inlineStr">
        <is>
          <t>2011-07</t>
        </is>
      </c>
      <c r="C808" t="n">
        <v>66434.10000000001</v>
      </c>
      <c r="D808" t="n">
        <v>2023888.5</v>
      </c>
      <c r="E808">
        <f>E807+C808</f>
        <v/>
      </c>
      <c r="F808">
        <f>IF(C808&gt;0,D808/C808,NA())</f>
        <v/>
      </c>
    </row>
    <row r="809">
      <c r="A809" t="inlineStr">
        <is>
          <t>Puesto Hernández</t>
        </is>
      </c>
      <c r="B809" t="inlineStr">
        <is>
          <t>2011-08</t>
        </is>
      </c>
      <c r="C809" t="n">
        <v>65506.7</v>
      </c>
      <c r="D809" t="n">
        <v>2047095.8</v>
      </c>
      <c r="E809">
        <f>E808+C809</f>
        <v/>
      </c>
      <c r="F809">
        <f>IF(C809&gt;0,D809/C809,NA())</f>
        <v/>
      </c>
    </row>
    <row r="810">
      <c r="A810" t="inlineStr">
        <is>
          <t>Puesto Hernández</t>
        </is>
      </c>
      <c r="B810" t="inlineStr">
        <is>
          <t>2011-09</t>
        </is>
      </c>
      <c r="C810" t="n">
        <v>63302.8</v>
      </c>
      <c r="D810" t="n">
        <v>1973330.2</v>
      </c>
      <c r="E810">
        <f>E809+C810</f>
        <v/>
      </c>
      <c r="F810">
        <f>IF(C810&gt;0,D810/C810,NA())</f>
        <v/>
      </c>
    </row>
    <row r="811">
      <c r="A811" t="inlineStr">
        <is>
          <t>Puesto Hernández</t>
        </is>
      </c>
      <c r="B811" t="inlineStr">
        <is>
          <t>2011-10</t>
        </is>
      </c>
      <c r="C811" t="n">
        <v>63851.2</v>
      </c>
      <c r="D811" t="n">
        <v>2030351.5</v>
      </c>
      <c r="E811">
        <f>E810+C811</f>
        <v/>
      </c>
      <c r="F811">
        <f>IF(C811&gt;0,D811/C811,NA())</f>
        <v/>
      </c>
    </row>
    <row r="812">
      <c r="A812" t="inlineStr">
        <is>
          <t>Puesto Hernández</t>
        </is>
      </c>
      <c r="B812" t="inlineStr">
        <is>
          <t>2011-11</t>
        </is>
      </c>
      <c r="C812" t="n">
        <v>62360.4</v>
      </c>
      <c r="D812" t="n">
        <v>1949358.1</v>
      </c>
      <c r="E812">
        <f>E811+C812</f>
        <v/>
      </c>
      <c r="F812">
        <f>IF(C812&gt;0,D812/C812,NA())</f>
        <v/>
      </c>
    </row>
    <row r="813">
      <c r="A813" t="inlineStr">
        <is>
          <t>Puesto Hernández</t>
        </is>
      </c>
      <c r="B813" t="inlineStr">
        <is>
          <t>2011-12</t>
        </is>
      </c>
      <c r="C813" t="n">
        <v>63709.3</v>
      </c>
      <c r="D813" t="n">
        <v>1970995.9</v>
      </c>
      <c r="E813">
        <f>E812+C813</f>
        <v/>
      </c>
      <c r="F813">
        <f>IF(C813&gt;0,D813/C813,NA())</f>
        <v/>
      </c>
    </row>
    <row r="814">
      <c r="A814" t="inlineStr">
        <is>
          <t>Puesto Hernández</t>
        </is>
      </c>
      <c r="B814" t="inlineStr">
        <is>
          <t>2012-01</t>
        </is>
      </c>
      <c r="C814" t="n">
        <v>61307.6</v>
      </c>
      <c r="D814" t="n">
        <v>1902585.1</v>
      </c>
      <c r="E814">
        <f>E813+C814</f>
        <v/>
      </c>
      <c r="F814">
        <f>IF(C814&gt;0,D814/C814,NA())</f>
        <v/>
      </c>
    </row>
    <row r="815">
      <c r="A815" t="inlineStr">
        <is>
          <t>Puesto Hernández</t>
        </is>
      </c>
      <c r="B815" t="inlineStr">
        <is>
          <t>2012-02</t>
        </is>
      </c>
      <c r="C815" t="n">
        <v>57351.8</v>
      </c>
      <c r="D815" t="n">
        <v>1795513.2</v>
      </c>
      <c r="E815">
        <f>E814+C815</f>
        <v/>
      </c>
      <c r="F815">
        <f>IF(C815&gt;0,D815/C815,NA())</f>
        <v/>
      </c>
    </row>
    <row r="816">
      <c r="A816" t="inlineStr">
        <is>
          <t>Puesto Hernández</t>
        </is>
      </c>
      <c r="B816" t="inlineStr">
        <is>
          <t>2012-03</t>
        </is>
      </c>
      <c r="C816" t="n">
        <v>60524.9</v>
      </c>
      <c r="D816" t="n">
        <v>1912536.9</v>
      </c>
      <c r="E816">
        <f>E815+C816</f>
        <v/>
      </c>
      <c r="F816">
        <f>IF(C816&gt;0,D816/C816,NA())</f>
        <v/>
      </c>
    </row>
    <row r="817">
      <c r="A817" t="inlineStr">
        <is>
          <t>Puesto Hernández</t>
        </is>
      </c>
      <c r="B817" t="inlineStr">
        <is>
          <t>2012-04</t>
        </is>
      </c>
      <c r="C817" t="n">
        <v>57755.5</v>
      </c>
      <c r="D817" t="n">
        <v>1807348.6</v>
      </c>
      <c r="E817">
        <f>E816+C817</f>
        <v/>
      </c>
      <c r="F817">
        <f>IF(C817&gt;0,D817/C817,NA())</f>
        <v/>
      </c>
    </row>
    <row r="818">
      <c r="A818" t="inlineStr">
        <is>
          <t>Puesto Hernández</t>
        </is>
      </c>
      <c r="B818" t="inlineStr">
        <is>
          <t>2012-05</t>
        </is>
      </c>
      <c r="C818" t="n">
        <v>60522.2</v>
      </c>
      <c r="D818" t="n">
        <v>1896755.8</v>
      </c>
      <c r="E818">
        <f>E817+C818</f>
        <v/>
      </c>
      <c r="F818">
        <f>IF(C818&gt;0,D818/C818,NA())</f>
        <v/>
      </c>
    </row>
    <row r="819">
      <c r="A819" t="inlineStr">
        <is>
          <t>Puesto Hernández</t>
        </is>
      </c>
      <c r="B819" t="inlineStr">
        <is>
          <t>2012-06</t>
        </is>
      </c>
      <c r="C819" t="n">
        <v>53033.9</v>
      </c>
      <c r="D819" t="n">
        <v>1696971.7</v>
      </c>
      <c r="E819">
        <f>E818+C819</f>
        <v/>
      </c>
      <c r="F819">
        <f>IF(C819&gt;0,D819/C819,NA())</f>
        <v/>
      </c>
    </row>
    <row r="820">
      <c r="A820" t="inlineStr">
        <is>
          <t>Puesto Hernández</t>
        </is>
      </c>
      <c r="B820" t="inlineStr">
        <is>
          <t>2012-07</t>
        </is>
      </c>
      <c r="C820" t="n">
        <v>60318.1</v>
      </c>
      <c r="D820" t="n">
        <v>1908839.1</v>
      </c>
      <c r="E820">
        <f>E819+C820</f>
        <v/>
      </c>
      <c r="F820">
        <f>IF(C820&gt;0,D820/C820,NA())</f>
        <v/>
      </c>
    </row>
    <row r="821">
      <c r="A821" t="inlineStr">
        <is>
          <t>Puesto Hernández</t>
        </is>
      </c>
      <c r="B821" t="inlineStr">
        <is>
          <t>2012-08</t>
        </is>
      </c>
      <c r="C821" t="n">
        <v>59767.9</v>
      </c>
      <c r="D821" t="n">
        <v>1897560.8</v>
      </c>
      <c r="E821">
        <f>E820+C821</f>
        <v/>
      </c>
      <c r="F821">
        <f>IF(C821&gt;0,D821/C821,NA())</f>
        <v/>
      </c>
    </row>
    <row r="822">
      <c r="A822" t="inlineStr">
        <is>
          <t>Puesto Hernández</t>
        </is>
      </c>
      <c r="B822" t="inlineStr">
        <is>
          <t>2012-09</t>
        </is>
      </c>
      <c r="C822" t="n">
        <v>56813.3</v>
      </c>
      <c r="D822" t="n">
        <v>1805999.5</v>
      </c>
      <c r="E822">
        <f>E821+C822</f>
        <v/>
      </c>
      <c r="F822">
        <f>IF(C822&gt;0,D822/C822,NA())</f>
        <v/>
      </c>
    </row>
    <row r="823">
      <c r="A823" t="inlineStr">
        <is>
          <t>Puesto Hernández</t>
        </is>
      </c>
      <c r="B823" t="inlineStr">
        <is>
          <t>2012-10</t>
        </is>
      </c>
      <c r="C823" t="n">
        <v>57432.8</v>
      </c>
      <c r="D823" t="n">
        <v>1834863.9</v>
      </c>
      <c r="E823">
        <f>E822+C823</f>
        <v/>
      </c>
      <c r="F823">
        <f>IF(C823&gt;0,D823/C823,NA())</f>
        <v/>
      </c>
    </row>
    <row r="824">
      <c r="A824" t="inlineStr">
        <is>
          <t>Puesto Hernández</t>
        </is>
      </c>
      <c r="B824" t="inlineStr">
        <is>
          <t>2012-11</t>
        </is>
      </c>
      <c r="C824" t="n">
        <v>51583.8</v>
      </c>
      <c r="D824" t="n">
        <v>1723910.9</v>
      </c>
      <c r="E824">
        <f>E823+C824</f>
        <v/>
      </c>
      <c r="F824">
        <f>IF(C824&gt;0,D824/C824,NA())</f>
        <v/>
      </c>
    </row>
    <row r="825">
      <c r="A825" t="inlineStr">
        <is>
          <t>Puesto Hernández</t>
        </is>
      </c>
      <c r="B825" t="inlineStr">
        <is>
          <t>2012-12</t>
        </is>
      </c>
      <c r="C825" t="n">
        <v>58010.5</v>
      </c>
      <c r="D825" t="n">
        <v>1865547.7</v>
      </c>
      <c r="E825">
        <f>E824+C825</f>
        <v/>
      </c>
      <c r="F825">
        <f>IF(C825&gt;0,D825/C825,NA())</f>
        <v/>
      </c>
    </row>
    <row r="826">
      <c r="A826" t="inlineStr">
        <is>
          <t>Puesto Hernández</t>
        </is>
      </c>
      <c r="B826" t="inlineStr">
        <is>
          <t>2013-01</t>
        </is>
      </c>
      <c r="C826" t="n">
        <v>54079.4</v>
      </c>
      <c r="D826" t="n">
        <v>1782404.5</v>
      </c>
      <c r="E826">
        <f>E825+C826</f>
        <v/>
      </c>
      <c r="F826">
        <f>IF(C826&gt;0,D826/C826,NA())</f>
        <v/>
      </c>
    </row>
    <row r="827">
      <c r="A827" t="inlineStr">
        <is>
          <t>Puesto Hernández</t>
        </is>
      </c>
      <c r="B827" t="inlineStr">
        <is>
          <t>2013-02</t>
        </is>
      </c>
      <c r="C827" t="n">
        <v>49138.6</v>
      </c>
      <c r="D827" t="n">
        <v>1638048</v>
      </c>
      <c r="E827">
        <f>E826+C827</f>
        <v/>
      </c>
      <c r="F827">
        <f>IF(C827&gt;0,D827/C827,NA())</f>
        <v/>
      </c>
    </row>
    <row r="828">
      <c r="A828" t="inlineStr">
        <is>
          <t>Puesto Hernández</t>
        </is>
      </c>
      <c r="B828" t="inlineStr">
        <is>
          <t>2013-03</t>
        </is>
      </c>
      <c r="C828" t="n">
        <v>54759.9</v>
      </c>
      <c r="D828" t="n">
        <v>1830784</v>
      </c>
      <c r="E828">
        <f>E827+C828</f>
        <v/>
      </c>
      <c r="F828">
        <f>IF(C828&gt;0,D828/C828,NA())</f>
        <v/>
      </c>
    </row>
    <row r="829">
      <c r="A829" t="inlineStr">
        <is>
          <t>Puesto Hernández</t>
        </is>
      </c>
      <c r="B829" t="inlineStr">
        <is>
          <t>2013-04</t>
        </is>
      </c>
      <c r="C829" t="n">
        <v>51367.8</v>
      </c>
      <c r="D829" t="n">
        <v>1745889.6</v>
      </c>
      <c r="E829">
        <f>E828+C829</f>
        <v/>
      </c>
      <c r="F829">
        <f>IF(C829&gt;0,D829/C829,NA())</f>
        <v/>
      </c>
    </row>
    <row r="830">
      <c r="A830" t="inlineStr">
        <is>
          <t>Puesto Hernández</t>
        </is>
      </c>
      <c r="B830" t="inlineStr">
        <is>
          <t>2013-05</t>
        </is>
      </c>
      <c r="C830" t="n">
        <v>53022.6</v>
      </c>
      <c r="D830" t="n">
        <v>1840013.5</v>
      </c>
      <c r="E830">
        <f>E829+C830</f>
        <v/>
      </c>
      <c r="F830">
        <f>IF(C830&gt;0,D830/C830,NA())</f>
        <v/>
      </c>
    </row>
    <row r="831">
      <c r="A831" t="inlineStr">
        <is>
          <t>Puesto Hernández</t>
        </is>
      </c>
      <c r="B831" t="inlineStr">
        <is>
          <t>2013-06</t>
        </is>
      </c>
      <c r="C831" t="n">
        <v>49606.4</v>
      </c>
      <c r="D831" t="n">
        <v>1768281.7</v>
      </c>
      <c r="E831">
        <f>E830+C831</f>
        <v/>
      </c>
      <c r="F831">
        <f>IF(C831&gt;0,D831/C831,NA())</f>
        <v/>
      </c>
    </row>
    <row r="832">
      <c r="A832" t="inlineStr">
        <is>
          <t>Puesto Hernández</t>
        </is>
      </c>
      <c r="B832" t="inlineStr">
        <is>
          <t>2013-07</t>
        </is>
      </c>
      <c r="C832" t="n">
        <v>51941.8</v>
      </c>
      <c r="D832" t="n">
        <v>1863685.4</v>
      </c>
      <c r="E832">
        <f>E831+C832</f>
        <v/>
      </c>
      <c r="F832">
        <f>IF(C832&gt;0,D832/C832,NA())</f>
        <v/>
      </c>
    </row>
    <row r="833">
      <c r="A833" t="inlineStr">
        <is>
          <t>Puesto Hernández</t>
        </is>
      </c>
      <c r="B833" t="inlineStr">
        <is>
          <t>2013-08</t>
        </is>
      </c>
      <c r="C833" t="n">
        <v>52522.1</v>
      </c>
      <c r="D833" t="n">
        <v>1874412.1</v>
      </c>
      <c r="E833">
        <f>E832+C833</f>
        <v/>
      </c>
      <c r="F833">
        <f>IF(C833&gt;0,D833/C833,NA())</f>
        <v/>
      </c>
    </row>
    <row r="834">
      <c r="A834" t="inlineStr">
        <is>
          <t>Puesto Hernández</t>
        </is>
      </c>
      <c r="B834" t="inlineStr">
        <is>
          <t>2013-09</t>
        </is>
      </c>
      <c r="C834" t="n">
        <v>49935.5</v>
      </c>
      <c r="D834" t="n">
        <v>1802963</v>
      </c>
      <c r="E834">
        <f>E833+C834</f>
        <v/>
      </c>
      <c r="F834">
        <f>IF(C834&gt;0,D834/C834,NA())</f>
        <v/>
      </c>
    </row>
    <row r="835">
      <c r="A835" t="inlineStr">
        <is>
          <t>Puesto Hernández</t>
        </is>
      </c>
      <c r="B835" t="inlineStr">
        <is>
          <t>2013-10</t>
        </is>
      </c>
      <c r="C835" t="n">
        <v>50843.5</v>
      </c>
      <c r="D835" t="n">
        <v>1873760</v>
      </c>
      <c r="E835">
        <f>E834+C835</f>
        <v/>
      </c>
      <c r="F835">
        <f>IF(C835&gt;0,D835/C835,NA())</f>
        <v/>
      </c>
    </row>
    <row r="836">
      <c r="A836" t="inlineStr">
        <is>
          <t>Puesto Hernández</t>
        </is>
      </c>
      <c r="B836" t="inlineStr">
        <is>
          <t>2013-11</t>
        </is>
      </c>
      <c r="C836" t="n">
        <v>48784.8</v>
      </c>
      <c r="D836" t="n">
        <v>1785808.6</v>
      </c>
      <c r="E836">
        <f>E835+C836</f>
        <v/>
      </c>
      <c r="F836">
        <f>IF(C836&gt;0,D836/C836,NA())</f>
        <v/>
      </c>
    </row>
    <row r="837">
      <c r="A837" t="inlineStr">
        <is>
          <t>Puesto Hernández</t>
        </is>
      </c>
      <c r="B837" t="inlineStr">
        <is>
          <t>2013-12</t>
        </is>
      </c>
      <c r="C837" t="n">
        <v>51108.3</v>
      </c>
      <c r="D837" t="n">
        <v>1898719.2</v>
      </c>
      <c r="E837">
        <f>E836+C837</f>
        <v/>
      </c>
      <c r="F837">
        <f>IF(C837&gt;0,D837/C837,NA())</f>
        <v/>
      </c>
    </row>
    <row r="838">
      <c r="A838" t="inlineStr">
        <is>
          <t>Puesto Hernández</t>
        </is>
      </c>
      <c r="B838" t="inlineStr">
        <is>
          <t>2014-01</t>
        </is>
      </c>
      <c r="C838" t="n">
        <v>50768.2</v>
      </c>
      <c r="D838" t="n">
        <v>1902020.8</v>
      </c>
      <c r="E838">
        <f>E837+C838</f>
        <v/>
      </c>
      <c r="F838">
        <f>IF(C838&gt;0,D838/C838,NA())</f>
        <v/>
      </c>
    </row>
    <row r="839">
      <c r="A839" t="inlineStr">
        <is>
          <t>Puesto Hernández</t>
        </is>
      </c>
      <c r="B839" t="inlineStr">
        <is>
          <t>2014-02</t>
        </is>
      </c>
      <c r="C839" t="n">
        <v>45986.6</v>
      </c>
      <c r="D839" t="n">
        <v>1740217.2</v>
      </c>
      <c r="E839">
        <f>E838+C839</f>
        <v/>
      </c>
      <c r="F839">
        <f>IF(C839&gt;0,D839/C839,NA())</f>
        <v/>
      </c>
    </row>
    <row r="840">
      <c r="A840" t="inlineStr">
        <is>
          <t>Puesto Hernández</t>
        </is>
      </c>
      <c r="B840" t="inlineStr">
        <is>
          <t>2014-03</t>
        </is>
      </c>
      <c r="C840" t="n">
        <v>50141.3</v>
      </c>
      <c r="D840" t="n">
        <v>1892954.5</v>
      </c>
      <c r="E840">
        <f>E839+C840</f>
        <v/>
      </c>
      <c r="F840">
        <f>IF(C840&gt;0,D840/C840,NA())</f>
        <v/>
      </c>
    </row>
    <row r="841">
      <c r="A841" t="inlineStr">
        <is>
          <t>Puesto Hernández</t>
        </is>
      </c>
      <c r="B841" t="inlineStr">
        <is>
          <t>2014-04</t>
        </is>
      </c>
      <c r="C841" t="n">
        <v>43900.6</v>
      </c>
      <c r="D841" t="n">
        <v>1724922.8</v>
      </c>
      <c r="E841">
        <f>E840+C841</f>
        <v/>
      </c>
      <c r="F841">
        <f>IF(C841&gt;0,D841/C841,NA())</f>
        <v/>
      </c>
    </row>
    <row r="842">
      <c r="A842" t="inlineStr">
        <is>
          <t>Puesto Hernández</t>
        </is>
      </c>
      <c r="B842" t="inlineStr">
        <is>
          <t>2014-05</t>
        </is>
      </c>
      <c r="C842" t="n">
        <v>49011.4</v>
      </c>
      <c r="D842" t="n">
        <v>1869881.1</v>
      </c>
      <c r="E842">
        <f>E841+C842</f>
        <v/>
      </c>
      <c r="F842">
        <f>IF(C842&gt;0,D842/C842,NA())</f>
        <v/>
      </c>
    </row>
    <row r="843">
      <c r="A843" t="inlineStr">
        <is>
          <t>Puesto Hernández</t>
        </is>
      </c>
      <c r="B843" t="inlineStr">
        <is>
          <t>2014-06</t>
        </is>
      </c>
      <c r="C843" t="n">
        <v>47291</v>
      </c>
      <c r="D843" t="n">
        <v>1829146.3</v>
      </c>
      <c r="E843">
        <f>E842+C843</f>
        <v/>
      </c>
      <c r="F843">
        <f>IF(C843&gt;0,D843/C843,NA())</f>
        <v/>
      </c>
    </row>
    <row r="844">
      <c r="A844" t="inlineStr">
        <is>
          <t>Puesto Hernández</t>
        </is>
      </c>
      <c r="B844" t="inlineStr">
        <is>
          <t>2014-07</t>
        </is>
      </c>
      <c r="C844" t="n">
        <v>47338.6</v>
      </c>
      <c r="D844" t="n">
        <v>1874767.2</v>
      </c>
      <c r="E844">
        <f>E843+C844</f>
        <v/>
      </c>
      <c r="F844">
        <f>IF(C844&gt;0,D844/C844,NA())</f>
        <v/>
      </c>
    </row>
    <row r="845">
      <c r="A845" t="inlineStr">
        <is>
          <t>Puesto Hernández</t>
        </is>
      </c>
      <c r="B845" t="inlineStr">
        <is>
          <t>2014-08</t>
        </is>
      </c>
      <c r="C845" t="n">
        <v>48745.7</v>
      </c>
      <c r="D845" t="n">
        <v>1940279.6</v>
      </c>
      <c r="E845">
        <f>E844+C845</f>
        <v/>
      </c>
      <c r="F845">
        <f>IF(C845&gt;0,D845/C845,NA())</f>
        <v/>
      </c>
    </row>
    <row r="846">
      <c r="A846" t="inlineStr">
        <is>
          <t>Puesto Hernández</t>
        </is>
      </c>
      <c r="B846" t="inlineStr">
        <is>
          <t>2014-09</t>
        </is>
      </c>
      <c r="C846" t="n">
        <v>47440.4</v>
      </c>
      <c r="D846" t="n">
        <v>1918253.4</v>
      </c>
      <c r="E846">
        <f>E845+C846</f>
        <v/>
      </c>
      <c r="F846">
        <f>IF(C846&gt;0,D846/C846,NA())</f>
        <v/>
      </c>
    </row>
    <row r="847">
      <c r="A847" t="inlineStr">
        <is>
          <t>Puesto Hernández</t>
        </is>
      </c>
      <c r="B847" t="inlineStr">
        <is>
          <t>2014-10</t>
        </is>
      </c>
      <c r="C847" t="n">
        <v>48966.6</v>
      </c>
      <c r="D847" t="n">
        <v>2002802</v>
      </c>
      <c r="E847">
        <f>E846+C847</f>
        <v/>
      </c>
      <c r="F847">
        <f>IF(C847&gt;0,D847/C847,NA())</f>
        <v/>
      </c>
    </row>
    <row r="848">
      <c r="A848" t="inlineStr">
        <is>
          <t>Puesto Hernández</t>
        </is>
      </c>
      <c r="B848" t="inlineStr">
        <is>
          <t>2014-11</t>
        </is>
      </c>
      <c r="C848" t="n">
        <v>46774.3</v>
      </c>
      <c r="D848" t="n">
        <v>1936775</v>
      </c>
      <c r="E848">
        <f>E847+C848</f>
        <v/>
      </c>
      <c r="F848">
        <f>IF(C848&gt;0,D848/C848,NA())</f>
        <v/>
      </c>
    </row>
    <row r="849">
      <c r="A849" t="inlineStr">
        <is>
          <t>Puesto Hernández</t>
        </is>
      </c>
      <c r="B849" t="inlineStr">
        <is>
          <t>2014-12</t>
        </is>
      </c>
      <c r="C849" t="n">
        <v>47735.5</v>
      </c>
      <c r="D849" t="n">
        <v>1998731.3</v>
      </c>
      <c r="E849">
        <f>E848+C849</f>
        <v/>
      </c>
      <c r="F849">
        <f>IF(C849&gt;0,D849/C849,NA())</f>
        <v/>
      </c>
    </row>
    <row r="850">
      <c r="A850" t="inlineStr">
        <is>
          <t>Puesto Hernández</t>
        </is>
      </c>
      <c r="B850" t="inlineStr">
        <is>
          <t>2015-01</t>
        </is>
      </c>
      <c r="C850" t="n">
        <v>47609.2</v>
      </c>
      <c r="D850" t="n">
        <v>2033417.2</v>
      </c>
      <c r="E850">
        <f>E849+C850</f>
        <v/>
      </c>
      <c r="F850">
        <f>IF(C850&gt;0,D850/C850,NA())</f>
        <v/>
      </c>
    </row>
    <row r="851">
      <c r="A851" t="inlineStr">
        <is>
          <t>Puesto Hernández</t>
        </is>
      </c>
      <c r="B851" t="inlineStr">
        <is>
          <t>2015-02</t>
        </is>
      </c>
      <c r="C851" t="n">
        <v>38518.5</v>
      </c>
      <c r="D851" t="n">
        <v>1701091.3</v>
      </c>
      <c r="E851">
        <f>E850+C851</f>
        <v/>
      </c>
      <c r="F851">
        <f>IF(C851&gt;0,D851/C851,NA())</f>
        <v/>
      </c>
    </row>
    <row r="852">
      <c r="A852" t="inlineStr">
        <is>
          <t>Puesto Hernández</t>
        </is>
      </c>
      <c r="B852" t="inlineStr">
        <is>
          <t>2015-03</t>
        </is>
      </c>
      <c r="C852" t="n">
        <v>46926.8</v>
      </c>
      <c r="D852" t="n">
        <v>2030576.9</v>
      </c>
      <c r="E852">
        <f>E851+C852</f>
        <v/>
      </c>
      <c r="F852">
        <f>IF(C852&gt;0,D852/C852,NA())</f>
        <v/>
      </c>
    </row>
    <row r="853">
      <c r="A853" t="inlineStr">
        <is>
          <t>Puesto Hernández</t>
        </is>
      </c>
      <c r="B853" t="inlineStr">
        <is>
          <t>2015-04</t>
        </is>
      </c>
      <c r="C853" t="n">
        <v>45112.7</v>
      </c>
      <c r="D853" t="n">
        <v>1974485.5</v>
      </c>
      <c r="E853">
        <f>E852+C853</f>
        <v/>
      </c>
      <c r="F853">
        <f>IF(C853&gt;0,D853/C853,NA())</f>
        <v/>
      </c>
    </row>
    <row r="854">
      <c r="A854" t="inlineStr">
        <is>
          <t>Puesto Hernández</t>
        </is>
      </c>
      <c r="B854" t="inlineStr">
        <is>
          <t>2015-05</t>
        </is>
      </c>
      <c r="C854" t="n">
        <v>46927.8</v>
      </c>
      <c r="D854" t="n">
        <v>2047809</v>
      </c>
      <c r="E854">
        <f>E853+C854</f>
        <v/>
      </c>
      <c r="F854">
        <f>IF(C854&gt;0,D854/C854,NA())</f>
        <v/>
      </c>
    </row>
    <row r="855">
      <c r="A855" t="inlineStr">
        <is>
          <t>Puesto Hernández</t>
        </is>
      </c>
      <c r="B855" t="inlineStr">
        <is>
          <t>2015-06</t>
        </is>
      </c>
      <c r="C855" t="n">
        <v>45111.9</v>
      </c>
      <c r="D855" t="n">
        <v>1945564.1</v>
      </c>
      <c r="E855">
        <f>E854+C855</f>
        <v/>
      </c>
      <c r="F855">
        <f>IF(C855&gt;0,D855/C855,NA())</f>
        <v/>
      </c>
    </row>
    <row r="856">
      <c r="A856" t="inlineStr">
        <is>
          <t>Puesto Hernández</t>
        </is>
      </c>
      <c r="B856" t="inlineStr">
        <is>
          <t>2015-07</t>
        </is>
      </c>
      <c r="C856" t="n">
        <v>46197.6</v>
      </c>
      <c r="D856" t="n">
        <v>2017343.9</v>
      </c>
      <c r="E856">
        <f>E855+C856</f>
        <v/>
      </c>
      <c r="F856">
        <f>IF(C856&gt;0,D856/C856,NA())</f>
        <v/>
      </c>
    </row>
    <row r="857">
      <c r="A857" t="inlineStr">
        <is>
          <t>Puesto Hernández</t>
        </is>
      </c>
      <c r="B857" t="inlineStr">
        <is>
          <t>2015-08</t>
        </is>
      </c>
      <c r="C857" t="n">
        <v>46115.7</v>
      </c>
      <c r="D857" t="n">
        <v>2035448.8</v>
      </c>
      <c r="E857">
        <f>E856+C857</f>
        <v/>
      </c>
      <c r="F857">
        <f>IF(C857&gt;0,D857/C857,NA())</f>
        <v/>
      </c>
    </row>
    <row r="858">
      <c r="A858" t="inlineStr">
        <is>
          <t>Puesto Hernández</t>
        </is>
      </c>
      <c r="B858" t="inlineStr">
        <is>
          <t>2015-09</t>
        </is>
      </c>
      <c r="C858" t="n">
        <v>44171.7</v>
      </c>
      <c r="D858" t="n">
        <v>1973126</v>
      </c>
      <c r="E858">
        <f>E857+C858</f>
        <v/>
      </c>
      <c r="F858">
        <f>IF(C858&gt;0,D858/C858,NA())</f>
        <v/>
      </c>
    </row>
    <row r="859">
      <c r="A859" t="inlineStr">
        <is>
          <t>Puesto Hernández</t>
        </is>
      </c>
      <c r="B859" t="inlineStr">
        <is>
          <t>2015-10</t>
        </is>
      </c>
      <c r="C859" t="n">
        <v>45579</v>
      </c>
      <c r="D859" t="n">
        <v>2030201.5</v>
      </c>
      <c r="E859">
        <f>E858+C859</f>
        <v/>
      </c>
      <c r="F859">
        <f>IF(C859&gt;0,D859/C859,NA())</f>
        <v/>
      </c>
    </row>
    <row r="860">
      <c r="A860" t="inlineStr">
        <is>
          <t>Puesto Hernández</t>
        </is>
      </c>
      <c r="B860" t="inlineStr">
        <is>
          <t>2015-11</t>
        </is>
      </c>
      <c r="C860" t="n">
        <v>43065.8</v>
      </c>
      <c r="D860" t="n">
        <v>1939366.6</v>
      </c>
      <c r="E860">
        <f>E859+C860</f>
        <v/>
      </c>
      <c r="F860">
        <f>IF(C860&gt;0,D860/C860,NA())</f>
        <v/>
      </c>
    </row>
    <row r="861">
      <c r="A861" t="inlineStr">
        <is>
          <t>Puesto Hernández</t>
        </is>
      </c>
      <c r="B861" t="inlineStr">
        <is>
          <t>2015-12</t>
        </is>
      </c>
      <c r="C861" t="n">
        <v>45178.6</v>
      </c>
      <c r="D861" t="n">
        <v>2017892.5</v>
      </c>
      <c r="E861">
        <f>E860+C861</f>
        <v/>
      </c>
      <c r="F861">
        <f>IF(C861&gt;0,D861/C861,NA())</f>
        <v/>
      </c>
    </row>
    <row r="862">
      <c r="A862" t="inlineStr">
        <is>
          <t>Puesto Hernández</t>
        </is>
      </c>
      <c r="B862" t="inlineStr">
        <is>
          <t>2016-01</t>
        </is>
      </c>
      <c r="C862" t="n">
        <v>44636.1</v>
      </c>
      <c r="D862" t="n">
        <v>2029044.4</v>
      </c>
      <c r="E862">
        <f>E861+C862</f>
        <v/>
      </c>
      <c r="F862">
        <f>IF(C862&gt;0,D862/C862,NA())</f>
        <v/>
      </c>
    </row>
    <row r="863">
      <c r="A863" t="inlineStr">
        <is>
          <t>Puesto Hernández</t>
        </is>
      </c>
      <c r="B863" t="inlineStr">
        <is>
          <t>2016-02</t>
        </is>
      </c>
      <c r="C863" t="n">
        <v>40796.6</v>
      </c>
      <c r="D863" t="n">
        <v>1889771.1</v>
      </c>
      <c r="E863">
        <f>E862+C863</f>
        <v/>
      </c>
      <c r="F863">
        <f>IF(C863&gt;0,D863/C863,NA())</f>
        <v/>
      </c>
    </row>
    <row r="864">
      <c r="A864" t="inlineStr">
        <is>
          <t>Puesto Hernández</t>
        </is>
      </c>
      <c r="B864" t="inlineStr">
        <is>
          <t>2016-03</t>
        </is>
      </c>
      <c r="C864" t="n">
        <v>43627</v>
      </c>
      <c r="D864" t="n">
        <v>2031671.9</v>
      </c>
      <c r="E864">
        <f>E863+C864</f>
        <v/>
      </c>
      <c r="F864">
        <f>IF(C864&gt;0,D864/C864,NA())</f>
        <v/>
      </c>
    </row>
    <row r="865">
      <c r="A865" t="inlineStr">
        <is>
          <t>Puesto Hernández</t>
        </is>
      </c>
      <c r="B865" t="inlineStr">
        <is>
          <t>2016-04</t>
        </is>
      </c>
      <c r="C865" t="n">
        <v>42360.7</v>
      </c>
      <c r="D865" t="n">
        <v>1978123.9</v>
      </c>
      <c r="E865">
        <f>E864+C865</f>
        <v/>
      </c>
      <c r="F865">
        <f>IF(C865&gt;0,D865/C865,NA())</f>
        <v/>
      </c>
    </row>
    <row r="866">
      <c r="A866" t="inlineStr">
        <is>
          <t>Puesto Hernández</t>
        </is>
      </c>
      <c r="B866" t="inlineStr">
        <is>
          <t>2016-05</t>
        </is>
      </c>
      <c r="C866" t="n">
        <v>43140.4</v>
      </c>
      <c r="D866" t="n">
        <v>2089747.1</v>
      </c>
      <c r="E866">
        <f>E865+C866</f>
        <v/>
      </c>
      <c r="F866">
        <f>IF(C866&gt;0,D866/C866,NA())</f>
        <v/>
      </c>
    </row>
    <row r="867">
      <c r="A867" t="inlineStr">
        <is>
          <t>Puesto Hernández</t>
        </is>
      </c>
      <c r="B867" t="inlineStr">
        <is>
          <t>2016-06</t>
        </is>
      </c>
      <c r="C867" t="n">
        <v>38435.1</v>
      </c>
      <c r="D867" t="n">
        <v>1892356.7</v>
      </c>
      <c r="E867">
        <f>E866+C867</f>
        <v/>
      </c>
      <c r="F867">
        <f>IF(C867&gt;0,D867/C867,NA())</f>
        <v/>
      </c>
    </row>
    <row r="868">
      <c r="A868" t="inlineStr">
        <is>
          <t>Puesto Hernández</t>
        </is>
      </c>
      <c r="B868" t="inlineStr">
        <is>
          <t>2016-07</t>
        </is>
      </c>
      <c r="C868" t="n">
        <v>42065</v>
      </c>
      <c r="D868" t="n">
        <v>2064344.2</v>
      </c>
      <c r="E868">
        <f>E867+C868</f>
        <v/>
      </c>
      <c r="F868">
        <f>IF(C868&gt;0,D868/C868,NA())</f>
        <v/>
      </c>
    </row>
    <row r="869">
      <c r="A869" t="inlineStr">
        <is>
          <t>Puesto Hernández</t>
        </is>
      </c>
      <c r="B869" t="inlineStr">
        <is>
          <t>2016-08</t>
        </is>
      </c>
      <c r="C869" t="n">
        <v>41831.1</v>
      </c>
      <c r="D869" t="n">
        <v>2030779.1</v>
      </c>
      <c r="E869">
        <f>E868+C869</f>
        <v/>
      </c>
      <c r="F869">
        <f>IF(C869&gt;0,D869/C869,NA())</f>
        <v/>
      </c>
    </row>
    <row r="870">
      <c r="A870" t="inlineStr">
        <is>
          <t>Puesto Hernández</t>
        </is>
      </c>
      <c r="B870" t="inlineStr">
        <is>
          <t>2016-09</t>
        </is>
      </c>
      <c r="C870" t="n">
        <v>39290.7</v>
      </c>
      <c r="D870" t="n">
        <v>1972960</v>
      </c>
      <c r="E870">
        <f>E869+C870</f>
        <v/>
      </c>
      <c r="F870">
        <f>IF(C870&gt;0,D870/C870,NA())</f>
        <v/>
      </c>
    </row>
    <row r="871">
      <c r="A871" t="inlineStr">
        <is>
          <t>Puesto Hernández</t>
        </is>
      </c>
      <c r="B871" t="inlineStr">
        <is>
          <t>2016-10</t>
        </is>
      </c>
      <c r="C871" t="n">
        <v>39647.2</v>
      </c>
      <c r="D871" t="n">
        <v>1960942.2</v>
      </c>
      <c r="E871">
        <f>E870+C871</f>
        <v/>
      </c>
      <c r="F871">
        <f>IF(C871&gt;0,D871/C871,NA())</f>
        <v/>
      </c>
    </row>
    <row r="872">
      <c r="A872" t="inlineStr">
        <is>
          <t>Puesto Hernández</t>
        </is>
      </c>
      <c r="B872" t="inlineStr">
        <is>
          <t>2016-11</t>
        </is>
      </c>
      <c r="C872" t="n">
        <v>37987.9</v>
      </c>
      <c r="D872" t="n">
        <v>1920265.8</v>
      </c>
      <c r="E872">
        <f>E871+C872</f>
        <v/>
      </c>
      <c r="F872">
        <f>IF(C872&gt;0,D872/C872,NA())</f>
        <v/>
      </c>
    </row>
    <row r="873">
      <c r="A873" t="inlineStr">
        <is>
          <t>Puesto Hernández</t>
        </is>
      </c>
      <c r="B873" t="inlineStr">
        <is>
          <t>2016-12</t>
        </is>
      </c>
      <c r="C873" t="n">
        <v>36492.4</v>
      </c>
      <c r="D873" t="n">
        <v>1914173.1</v>
      </c>
      <c r="E873">
        <f>E872+C873</f>
        <v/>
      </c>
      <c r="F873">
        <f>IF(C873&gt;0,D873/C873,NA())</f>
        <v/>
      </c>
    </row>
    <row r="874">
      <c r="A874" t="inlineStr">
        <is>
          <t>Puesto Hernández</t>
        </is>
      </c>
      <c r="B874" t="inlineStr">
        <is>
          <t>2017-01</t>
        </is>
      </c>
      <c r="C874" t="n">
        <v>39030.9</v>
      </c>
      <c r="D874" t="n">
        <v>1980643.2</v>
      </c>
      <c r="E874">
        <f>E873+C874</f>
        <v/>
      </c>
      <c r="F874">
        <f>IF(C874&gt;0,D874/C874,NA())</f>
        <v/>
      </c>
    </row>
    <row r="875">
      <c r="A875" t="inlineStr">
        <is>
          <t>Puesto Hernández</t>
        </is>
      </c>
      <c r="B875" t="inlineStr">
        <is>
          <t>2017-02</t>
        </is>
      </c>
      <c r="C875" t="n">
        <v>31416.5</v>
      </c>
      <c r="D875" t="n">
        <v>1634535.3</v>
      </c>
      <c r="E875">
        <f>E874+C875</f>
        <v/>
      </c>
      <c r="F875">
        <f>IF(C875&gt;0,D875/C875,NA())</f>
        <v/>
      </c>
    </row>
    <row r="876">
      <c r="A876" t="inlineStr">
        <is>
          <t>Puesto Hernández</t>
        </is>
      </c>
      <c r="B876" t="inlineStr">
        <is>
          <t>2017-03</t>
        </is>
      </c>
      <c r="C876" t="n">
        <v>38139.8</v>
      </c>
      <c r="D876" t="n">
        <v>1961451.1</v>
      </c>
      <c r="E876">
        <f>E875+C876</f>
        <v/>
      </c>
      <c r="F876">
        <f>IF(C876&gt;0,D876/C876,NA())</f>
        <v/>
      </c>
    </row>
    <row r="877">
      <c r="A877" t="inlineStr">
        <is>
          <t>Puesto Hernández</t>
        </is>
      </c>
      <c r="B877" t="inlineStr">
        <is>
          <t>2017-04</t>
        </is>
      </c>
      <c r="C877" t="n">
        <v>32243.2</v>
      </c>
      <c r="D877" t="n">
        <v>1671134.8</v>
      </c>
      <c r="E877">
        <f>E876+C877</f>
        <v/>
      </c>
      <c r="F877">
        <f>IF(C877&gt;0,D877/C877,NA())</f>
        <v/>
      </c>
    </row>
    <row r="878">
      <c r="A878" t="inlineStr">
        <is>
          <t>Puesto Hernández</t>
        </is>
      </c>
      <c r="B878" t="inlineStr">
        <is>
          <t>2017-05</t>
        </is>
      </c>
      <c r="C878" t="n">
        <v>33111.4</v>
      </c>
      <c r="D878" t="n">
        <v>1815053.3</v>
      </c>
      <c r="E878">
        <f>E877+C878</f>
        <v/>
      </c>
      <c r="F878">
        <f>IF(C878&gt;0,D878/C878,NA())</f>
        <v/>
      </c>
    </row>
    <row r="879">
      <c r="A879" t="inlineStr">
        <is>
          <t>Puesto Hernández</t>
        </is>
      </c>
      <c r="B879" t="inlineStr">
        <is>
          <t>2017-06</t>
        </is>
      </c>
      <c r="C879" t="n">
        <v>35658.7</v>
      </c>
      <c r="D879" t="n">
        <v>1870347.4</v>
      </c>
      <c r="E879">
        <f>E878+C879</f>
        <v/>
      </c>
      <c r="F879">
        <f>IF(C879&gt;0,D879/C879,NA())</f>
        <v/>
      </c>
    </row>
    <row r="880">
      <c r="A880" t="inlineStr">
        <is>
          <t>Puesto Hernández</t>
        </is>
      </c>
      <c r="B880" t="inlineStr">
        <is>
          <t>2017-07</t>
        </is>
      </c>
      <c r="C880" t="n">
        <v>37263.1</v>
      </c>
      <c r="D880" t="n">
        <v>1911267.2</v>
      </c>
      <c r="E880">
        <f>E879+C880</f>
        <v/>
      </c>
      <c r="F880">
        <f>IF(C880&gt;0,D880/C880,NA())</f>
        <v/>
      </c>
    </row>
    <row r="881">
      <c r="A881" t="inlineStr">
        <is>
          <t>Puesto Hernández</t>
        </is>
      </c>
      <c r="B881" t="inlineStr">
        <is>
          <t>2017-08</t>
        </is>
      </c>
      <c r="C881" t="n">
        <v>36553.9</v>
      </c>
      <c r="D881" t="n">
        <v>1881051</v>
      </c>
      <c r="E881">
        <f>E880+C881</f>
        <v/>
      </c>
      <c r="F881">
        <f>IF(C881&gt;0,D881/C881,NA())</f>
        <v/>
      </c>
    </row>
    <row r="882">
      <c r="A882" t="inlineStr">
        <is>
          <t>Puesto Hernández</t>
        </is>
      </c>
      <c r="B882" t="inlineStr">
        <is>
          <t>2017-09</t>
        </is>
      </c>
      <c r="C882" t="n">
        <v>35622.2</v>
      </c>
      <c r="D882" t="n">
        <v>1811727.7</v>
      </c>
      <c r="E882">
        <f>E881+C882</f>
        <v/>
      </c>
      <c r="F882">
        <f>IF(C882&gt;0,D882/C882,NA())</f>
        <v/>
      </c>
    </row>
    <row r="883">
      <c r="A883" t="inlineStr">
        <is>
          <t>Puesto Hernández</t>
        </is>
      </c>
      <c r="B883" t="inlineStr">
        <is>
          <t>2017-10</t>
        </is>
      </c>
      <c r="C883" t="n">
        <v>36935</v>
      </c>
      <c r="D883" t="n">
        <v>1887179.5</v>
      </c>
      <c r="E883">
        <f>E882+C883</f>
        <v/>
      </c>
      <c r="F883">
        <f>IF(C883&gt;0,D883/C883,NA())</f>
        <v/>
      </c>
    </row>
    <row r="884">
      <c r="A884" t="inlineStr">
        <is>
          <t>Puesto Hernández</t>
        </is>
      </c>
      <c r="B884" t="inlineStr">
        <is>
          <t>2017-11</t>
        </is>
      </c>
      <c r="C884" t="n">
        <v>35647.3</v>
      </c>
      <c r="D884" t="n">
        <v>1795544.6</v>
      </c>
      <c r="E884">
        <f>E883+C884</f>
        <v/>
      </c>
      <c r="F884">
        <f>IF(C884&gt;0,D884/C884,NA())</f>
        <v/>
      </c>
    </row>
    <row r="885">
      <c r="A885" t="inlineStr">
        <is>
          <t>Puesto Hernández</t>
        </is>
      </c>
      <c r="B885" t="inlineStr">
        <is>
          <t>2017-12</t>
        </is>
      </c>
      <c r="C885" t="n">
        <v>35552.2</v>
      </c>
      <c r="D885" t="n">
        <v>1819850.1</v>
      </c>
      <c r="E885">
        <f>E884+C885</f>
        <v/>
      </c>
      <c r="F885">
        <f>IF(C885&gt;0,D885/C885,NA())</f>
        <v/>
      </c>
    </row>
    <row r="886">
      <c r="A886" t="inlineStr">
        <is>
          <t>Puesto Hernández</t>
        </is>
      </c>
      <c r="B886" t="inlineStr">
        <is>
          <t>2018-01</t>
        </is>
      </c>
      <c r="C886" t="n">
        <v>35206.2</v>
      </c>
      <c r="D886" t="n">
        <v>1839557.1</v>
      </c>
      <c r="E886">
        <f>E885+C886</f>
        <v/>
      </c>
      <c r="F886">
        <f>IF(C886&gt;0,D886/C886,NA())</f>
        <v/>
      </c>
    </row>
    <row r="887">
      <c r="A887" t="inlineStr">
        <is>
          <t>Puesto Hernández</t>
        </is>
      </c>
      <c r="B887" t="inlineStr">
        <is>
          <t>2018-02</t>
        </is>
      </c>
      <c r="C887" t="n">
        <v>31663.1</v>
      </c>
      <c r="D887" t="n">
        <v>1649484.4</v>
      </c>
      <c r="E887">
        <f>E886+C887</f>
        <v/>
      </c>
      <c r="F887">
        <f>IF(C887&gt;0,D887/C887,NA())</f>
        <v/>
      </c>
    </row>
    <row r="888">
      <c r="A888" t="inlineStr">
        <is>
          <t>Puesto Hernández</t>
        </is>
      </c>
      <c r="B888" t="inlineStr">
        <is>
          <t>2018-03</t>
        </is>
      </c>
      <c r="C888" t="n">
        <v>34850.6</v>
      </c>
      <c r="D888" t="n">
        <v>1814847.5</v>
      </c>
      <c r="E888">
        <f>E887+C888</f>
        <v/>
      </c>
      <c r="F888">
        <f>IF(C888&gt;0,D888/C888,NA())</f>
        <v/>
      </c>
    </row>
    <row r="889">
      <c r="A889" t="inlineStr">
        <is>
          <t>Puesto Hernández</t>
        </is>
      </c>
      <c r="B889" t="inlineStr">
        <is>
          <t>2018-04</t>
        </is>
      </c>
      <c r="C889" t="n">
        <v>33281.1</v>
      </c>
      <c r="D889" t="n">
        <v>1758554.5</v>
      </c>
      <c r="E889">
        <f>E888+C889</f>
        <v/>
      </c>
      <c r="F889">
        <f>IF(C889&gt;0,D889/C889,NA())</f>
        <v/>
      </c>
    </row>
    <row r="890">
      <c r="A890" t="inlineStr">
        <is>
          <t>Puesto Hernández</t>
        </is>
      </c>
      <c r="B890" t="inlineStr">
        <is>
          <t>2018-05</t>
        </is>
      </c>
      <c r="C890" t="n">
        <v>34778.4</v>
      </c>
      <c r="D890" t="n">
        <v>1793566.6</v>
      </c>
      <c r="E890">
        <f>E889+C890</f>
        <v/>
      </c>
      <c r="F890">
        <f>IF(C890&gt;0,D890/C890,NA())</f>
        <v/>
      </c>
    </row>
    <row r="891">
      <c r="A891" t="inlineStr">
        <is>
          <t>Puesto Hernández</t>
        </is>
      </c>
      <c r="B891" t="inlineStr">
        <is>
          <t>2018-06</t>
        </is>
      </c>
      <c r="C891" t="n">
        <v>33222.6</v>
      </c>
      <c r="D891" t="n">
        <v>1723276.8</v>
      </c>
      <c r="E891">
        <f>E890+C891</f>
        <v/>
      </c>
      <c r="F891">
        <f>IF(C891&gt;0,D891/C891,NA())</f>
        <v/>
      </c>
    </row>
    <row r="892">
      <c r="A892" t="inlineStr">
        <is>
          <t>Puesto Hernández</t>
        </is>
      </c>
      <c r="B892" t="inlineStr">
        <is>
          <t>2018-07</t>
        </is>
      </c>
      <c r="C892" t="n">
        <v>33850.5</v>
      </c>
      <c r="D892" t="n">
        <v>1784801.8</v>
      </c>
      <c r="E892">
        <f>E891+C892</f>
        <v/>
      </c>
      <c r="F892">
        <f>IF(C892&gt;0,D892/C892,NA())</f>
        <v/>
      </c>
    </row>
    <row r="893">
      <c r="A893" t="inlineStr">
        <is>
          <t>Puesto Hernández</t>
        </is>
      </c>
      <c r="B893" t="inlineStr">
        <is>
          <t>2018-08</t>
        </is>
      </c>
      <c r="C893" t="n">
        <v>33017.2</v>
      </c>
      <c r="D893" t="n">
        <v>1716469.9</v>
      </c>
      <c r="E893">
        <f>E892+C893</f>
        <v/>
      </c>
      <c r="F893">
        <f>IF(C893&gt;0,D893/C893,NA())</f>
        <v/>
      </c>
    </row>
    <row r="894">
      <c r="A894" t="inlineStr">
        <is>
          <t>Puesto Hernández</t>
        </is>
      </c>
      <c r="B894" t="inlineStr">
        <is>
          <t>2018-09</t>
        </is>
      </c>
      <c r="C894" t="n">
        <v>32117.5</v>
      </c>
      <c r="D894" t="n">
        <v>1706803.5</v>
      </c>
      <c r="E894">
        <f>E893+C894</f>
        <v/>
      </c>
      <c r="F894">
        <f>IF(C894&gt;0,D894/C894,NA())</f>
        <v/>
      </c>
    </row>
    <row r="895">
      <c r="A895" t="inlineStr">
        <is>
          <t>Puesto Hernández</t>
        </is>
      </c>
      <c r="B895" t="inlineStr">
        <is>
          <t>2018-10</t>
        </is>
      </c>
      <c r="C895" t="n">
        <v>32926.2</v>
      </c>
      <c r="D895" t="n">
        <v>1741688.8</v>
      </c>
      <c r="E895">
        <f>E894+C895</f>
        <v/>
      </c>
      <c r="F895">
        <f>IF(C895&gt;0,D895/C895,NA())</f>
        <v/>
      </c>
    </row>
    <row r="896">
      <c r="A896" t="inlineStr">
        <is>
          <t>Puesto Hernández</t>
        </is>
      </c>
      <c r="B896" t="inlineStr">
        <is>
          <t>2018-11</t>
        </is>
      </c>
      <c r="C896" t="n">
        <v>30824.4</v>
      </c>
      <c r="D896" t="n">
        <v>1647450.8</v>
      </c>
      <c r="E896">
        <f>E895+C896</f>
        <v/>
      </c>
      <c r="F896">
        <f>IF(C896&gt;0,D896/C896,NA())</f>
        <v/>
      </c>
    </row>
    <row r="897">
      <c r="A897" t="inlineStr">
        <is>
          <t>Puesto Hernández</t>
        </is>
      </c>
      <c r="B897" t="inlineStr">
        <is>
          <t>2018-12</t>
        </is>
      </c>
      <c r="C897" t="n">
        <v>31569.1</v>
      </c>
      <c r="D897" t="n">
        <v>1721405.1</v>
      </c>
      <c r="E897">
        <f>E896+C897</f>
        <v/>
      </c>
      <c r="F897">
        <f>IF(C897&gt;0,D897/C897,NA())</f>
        <v/>
      </c>
    </row>
    <row r="898">
      <c r="A898" t="inlineStr">
        <is>
          <t>Puesto Hernández</t>
        </is>
      </c>
      <c r="B898" t="inlineStr">
        <is>
          <t>2019-01</t>
        </is>
      </c>
      <c r="C898" t="n">
        <v>32072.4</v>
      </c>
      <c r="D898" t="n">
        <v>1720248.5</v>
      </c>
      <c r="E898">
        <f>E897+C898</f>
        <v/>
      </c>
      <c r="F898">
        <f>IF(C898&gt;0,D898/C898,NA())</f>
        <v/>
      </c>
    </row>
    <row r="899">
      <c r="A899" t="inlineStr">
        <is>
          <t>Puesto Hernández</t>
        </is>
      </c>
      <c r="B899" t="inlineStr">
        <is>
          <t>2019-02</t>
        </is>
      </c>
      <c r="C899" t="n">
        <v>28352</v>
      </c>
      <c r="D899" t="n">
        <v>1550054.3</v>
      </c>
      <c r="E899">
        <f>E898+C899</f>
        <v/>
      </c>
      <c r="F899">
        <f>IF(C899&gt;0,D899/C899,NA())</f>
        <v/>
      </c>
    </row>
    <row r="900">
      <c r="A900" t="inlineStr">
        <is>
          <t>Puesto Hernández</t>
        </is>
      </c>
      <c r="B900" t="inlineStr">
        <is>
          <t>2019-03</t>
        </is>
      </c>
      <c r="C900" t="n">
        <v>31209.4</v>
      </c>
      <c r="D900" t="n">
        <v>1716805.7</v>
      </c>
      <c r="E900">
        <f>E899+C900</f>
        <v/>
      </c>
      <c r="F900">
        <f>IF(C900&gt;0,D900/C900,NA())</f>
        <v/>
      </c>
    </row>
    <row r="901">
      <c r="A901" t="inlineStr">
        <is>
          <t>Puesto Hernández</t>
        </is>
      </c>
      <c r="B901" t="inlineStr">
        <is>
          <t>2019-04</t>
        </is>
      </c>
      <c r="C901" t="n">
        <v>30065.8</v>
      </c>
      <c r="D901" t="n">
        <v>1655911.9</v>
      </c>
      <c r="E901">
        <f>E900+C901</f>
        <v/>
      </c>
      <c r="F901">
        <f>IF(C901&gt;0,D901/C901,NA())</f>
        <v/>
      </c>
    </row>
    <row r="902">
      <c r="A902" t="inlineStr">
        <is>
          <t>Puesto Hernández</t>
        </is>
      </c>
      <c r="B902" t="inlineStr">
        <is>
          <t>2019-05</t>
        </is>
      </c>
      <c r="C902" t="n">
        <v>30445.8</v>
      </c>
      <c r="D902" t="n">
        <v>1700942.3</v>
      </c>
      <c r="E902">
        <f>E901+C902</f>
        <v/>
      </c>
      <c r="F902">
        <f>IF(C902&gt;0,D902/C902,NA())</f>
        <v/>
      </c>
    </row>
    <row r="903">
      <c r="A903" t="inlineStr">
        <is>
          <t>Puesto Hernández</t>
        </is>
      </c>
      <c r="B903" t="inlineStr">
        <is>
          <t>2019-06</t>
        </is>
      </c>
      <c r="C903" t="n">
        <v>27068.7</v>
      </c>
      <c r="D903" t="n">
        <v>1560420.7</v>
      </c>
      <c r="E903">
        <f>E902+C903</f>
        <v/>
      </c>
      <c r="F903">
        <f>IF(C903&gt;0,D903/C903,NA())</f>
        <v/>
      </c>
    </row>
    <row r="904">
      <c r="A904" t="inlineStr">
        <is>
          <t>Puesto Hernández</t>
        </is>
      </c>
      <c r="B904" t="inlineStr">
        <is>
          <t>2019-07</t>
        </is>
      </c>
      <c r="C904" t="n">
        <v>28570.1</v>
      </c>
      <c r="D904" t="n">
        <v>1625505.6</v>
      </c>
      <c r="E904">
        <f>E903+C904</f>
        <v/>
      </c>
      <c r="F904">
        <f>IF(C904&gt;0,D904/C904,NA())</f>
        <v/>
      </c>
    </row>
    <row r="905">
      <c r="A905" t="inlineStr">
        <is>
          <t>Puesto Hernández</t>
        </is>
      </c>
      <c r="B905" t="inlineStr">
        <is>
          <t>2019-08</t>
        </is>
      </c>
      <c r="C905" t="n">
        <v>28671.2</v>
      </c>
      <c r="D905" t="n">
        <v>1632708.6</v>
      </c>
      <c r="E905">
        <f>E904+C905</f>
        <v/>
      </c>
      <c r="F905">
        <f>IF(C905&gt;0,D905/C905,NA())</f>
        <v/>
      </c>
    </row>
    <row r="906">
      <c r="A906" t="inlineStr">
        <is>
          <t>Puesto Hernández</t>
        </is>
      </c>
      <c r="B906" t="inlineStr">
        <is>
          <t>2019-09</t>
        </is>
      </c>
      <c r="C906" t="n">
        <v>27937.1</v>
      </c>
      <c r="D906" t="n">
        <v>1582690.1</v>
      </c>
      <c r="E906">
        <f>E905+C906</f>
        <v/>
      </c>
      <c r="F906">
        <f>IF(C906&gt;0,D906/C906,NA())</f>
        <v/>
      </c>
    </row>
    <row r="907">
      <c r="A907" t="inlineStr">
        <is>
          <t>Puesto Hernández</t>
        </is>
      </c>
      <c r="B907" t="inlineStr">
        <is>
          <t>2019-10</t>
        </is>
      </c>
      <c r="C907" t="n">
        <v>27729.3</v>
      </c>
      <c r="D907" t="n">
        <v>1595017.6</v>
      </c>
      <c r="E907">
        <f>E906+C907</f>
        <v/>
      </c>
      <c r="F907">
        <f>IF(C907&gt;0,D907/C907,NA())</f>
        <v/>
      </c>
    </row>
    <row r="908">
      <c r="A908" t="inlineStr">
        <is>
          <t>Puesto Hernández</t>
        </is>
      </c>
      <c r="B908" t="inlineStr">
        <is>
          <t>2019-11</t>
        </is>
      </c>
      <c r="C908" t="n">
        <v>26669</v>
      </c>
      <c r="D908" t="n">
        <v>1515217.3</v>
      </c>
      <c r="E908">
        <f>E907+C908</f>
        <v/>
      </c>
      <c r="F908">
        <f>IF(C908&gt;0,D908/C908,NA())</f>
        <v/>
      </c>
    </row>
    <row r="909">
      <c r="A909" t="inlineStr">
        <is>
          <t>Puesto Hernández</t>
        </is>
      </c>
      <c r="B909" t="inlineStr">
        <is>
          <t>2019-12</t>
        </is>
      </c>
      <c r="C909" t="n">
        <v>22852.4</v>
      </c>
      <c r="D909" t="n">
        <v>1381703.5</v>
      </c>
      <c r="E909">
        <f>E908+C909</f>
        <v/>
      </c>
      <c r="F909">
        <f>IF(C909&gt;0,D909/C909,NA())</f>
        <v/>
      </c>
    </row>
    <row r="910">
      <c r="A910" t="inlineStr">
        <is>
          <t>Puesto Hernández</t>
        </is>
      </c>
      <c r="B910" t="inlineStr">
        <is>
          <t>2020-01</t>
        </is>
      </c>
      <c r="C910" t="n">
        <v>25121.8</v>
      </c>
      <c r="D910" t="n">
        <v>1499847.4</v>
      </c>
      <c r="E910">
        <f>E909+C910</f>
        <v/>
      </c>
      <c r="F910">
        <f>IF(C910&gt;0,D910/C910,NA())</f>
        <v/>
      </c>
    </row>
    <row r="911">
      <c r="A911" t="inlineStr">
        <is>
          <t>Puesto Hernández</t>
        </is>
      </c>
      <c r="B911" t="inlineStr">
        <is>
          <t>2020-02</t>
        </is>
      </c>
      <c r="C911" t="n">
        <v>24207.4</v>
      </c>
      <c r="D911" t="n">
        <v>1435328.1</v>
      </c>
      <c r="E911">
        <f>E910+C911</f>
        <v/>
      </c>
      <c r="F911">
        <f>IF(C911&gt;0,D911/C911,NA())</f>
        <v/>
      </c>
    </row>
    <row r="912">
      <c r="A912" t="inlineStr">
        <is>
          <t>Puesto Hernández</t>
        </is>
      </c>
      <c r="B912" t="inlineStr">
        <is>
          <t>2020-03</t>
        </is>
      </c>
      <c r="C912" t="n">
        <v>25368.9</v>
      </c>
      <c r="D912" t="n">
        <v>1535876.6</v>
      </c>
      <c r="E912">
        <f>E911+C912</f>
        <v/>
      </c>
      <c r="F912">
        <f>IF(C912&gt;0,D912/C912,NA())</f>
        <v/>
      </c>
    </row>
    <row r="913">
      <c r="A913" t="inlineStr">
        <is>
          <t>Puesto Hernández</t>
        </is>
      </c>
      <c r="B913" t="inlineStr">
        <is>
          <t>2020-04</t>
        </is>
      </c>
      <c r="C913" t="n">
        <v>11791.6</v>
      </c>
      <c r="D913" t="n">
        <v>695068.3</v>
      </c>
      <c r="E913">
        <f>E912+C913</f>
        <v/>
      </c>
      <c r="F913">
        <f>IF(C913&gt;0,D913/C913,NA())</f>
        <v/>
      </c>
    </row>
    <row r="914">
      <c r="A914" t="inlineStr">
        <is>
          <t>Puesto Hernández</t>
        </is>
      </c>
      <c r="B914" t="inlineStr">
        <is>
          <t>2020-05</t>
        </is>
      </c>
      <c r="C914" t="n">
        <v>5797.3</v>
      </c>
      <c r="D914" t="n">
        <v>337265.5</v>
      </c>
      <c r="E914">
        <f>E913+C914</f>
        <v/>
      </c>
      <c r="F914">
        <f>IF(C914&gt;0,D914/C914,NA())</f>
        <v/>
      </c>
    </row>
    <row r="915">
      <c r="A915" t="inlineStr">
        <is>
          <t>Puesto Hernández</t>
        </is>
      </c>
      <c r="B915" t="inlineStr">
        <is>
          <t>2020-06</t>
        </is>
      </c>
      <c r="C915" t="n">
        <v>16328.9</v>
      </c>
      <c r="D915" t="n">
        <v>1185455.7</v>
      </c>
      <c r="E915">
        <f>E914+C915</f>
        <v/>
      </c>
      <c r="F915">
        <f>IF(C915&gt;0,D915/C915,NA())</f>
        <v/>
      </c>
    </row>
    <row r="916">
      <c r="A916" t="inlineStr">
        <is>
          <t>Puesto Hernández</t>
        </is>
      </c>
      <c r="B916" t="inlineStr">
        <is>
          <t>2020-07</t>
        </is>
      </c>
      <c r="C916" t="n">
        <v>20486.2</v>
      </c>
      <c r="D916" t="n">
        <v>1214119.3</v>
      </c>
      <c r="E916">
        <f>E915+C916</f>
        <v/>
      </c>
      <c r="F916">
        <f>IF(C916&gt;0,D916/C916,NA())</f>
        <v/>
      </c>
    </row>
    <row r="917">
      <c r="A917" t="inlineStr">
        <is>
          <t>Puesto Hernández</t>
        </is>
      </c>
      <c r="B917" t="inlineStr">
        <is>
          <t>2020-08</t>
        </is>
      </c>
      <c r="C917" t="n">
        <v>21395.7</v>
      </c>
      <c r="D917" t="n">
        <v>1190961.5</v>
      </c>
      <c r="E917">
        <f>E916+C917</f>
        <v/>
      </c>
      <c r="F917">
        <f>IF(C917&gt;0,D917/C917,NA())</f>
        <v/>
      </c>
    </row>
    <row r="918">
      <c r="A918" t="inlineStr">
        <is>
          <t>Puesto Hernández</t>
        </is>
      </c>
      <c r="B918" t="inlineStr">
        <is>
          <t>2020-09</t>
        </is>
      </c>
      <c r="C918" t="n">
        <v>19464.3</v>
      </c>
      <c r="D918" t="n">
        <v>1103040.9</v>
      </c>
      <c r="E918">
        <f>E917+C918</f>
        <v/>
      </c>
      <c r="F918">
        <f>IF(C918&gt;0,D918/C918,NA())</f>
        <v/>
      </c>
    </row>
    <row r="919">
      <c r="A919" t="inlineStr">
        <is>
          <t>Puesto Hernández</t>
        </is>
      </c>
      <c r="B919" t="inlineStr">
        <is>
          <t>2020-10</t>
        </is>
      </c>
      <c r="C919" t="n">
        <v>19809.2</v>
      </c>
      <c r="D919" t="n">
        <v>1074768.7</v>
      </c>
      <c r="E919">
        <f>E918+C919</f>
        <v/>
      </c>
      <c r="F919">
        <f>IF(C919&gt;0,D919/C919,NA())</f>
        <v/>
      </c>
    </row>
    <row r="920">
      <c r="A920" t="inlineStr">
        <is>
          <t>Puesto Hernández</t>
        </is>
      </c>
      <c r="B920" t="inlineStr">
        <is>
          <t>2020-11</t>
        </is>
      </c>
      <c r="C920" t="n">
        <v>18111.5</v>
      </c>
      <c r="D920" t="n">
        <v>999265.8</v>
      </c>
      <c r="E920">
        <f>E919+C920</f>
        <v/>
      </c>
      <c r="F920">
        <f>IF(C920&gt;0,D920/C920,NA())</f>
        <v/>
      </c>
    </row>
    <row r="921">
      <c r="A921" t="inlineStr">
        <is>
          <t>Puesto Hernández</t>
        </is>
      </c>
      <c r="B921" t="inlineStr">
        <is>
          <t>2020-12</t>
        </is>
      </c>
      <c r="C921" t="n">
        <v>18857.8</v>
      </c>
      <c r="D921" t="n">
        <v>1095275</v>
      </c>
      <c r="E921">
        <f>E920+C921</f>
        <v/>
      </c>
      <c r="F921">
        <f>IF(C921&gt;0,D921/C921,NA())</f>
        <v/>
      </c>
    </row>
    <row r="922">
      <c r="A922" t="inlineStr">
        <is>
          <t>Puesto Hernández</t>
        </is>
      </c>
      <c r="B922" t="inlineStr">
        <is>
          <t>2021-01</t>
        </is>
      </c>
      <c r="C922" t="n">
        <v>19623.2</v>
      </c>
      <c r="D922" t="n">
        <v>1127519.9</v>
      </c>
      <c r="E922">
        <f>E921+C922</f>
        <v/>
      </c>
      <c r="F922">
        <f>IF(C922&gt;0,D922/C922,NA())</f>
        <v/>
      </c>
    </row>
    <row r="923">
      <c r="A923" t="inlineStr">
        <is>
          <t>Puesto Hernández</t>
        </is>
      </c>
      <c r="B923" t="inlineStr">
        <is>
          <t>2021-02</t>
        </is>
      </c>
      <c r="C923" t="n">
        <v>17487.4</v>
      </c>
      <c r="D923" t="n">
        <v>1017535.2</v>
      </c>
      <c r="E923">
        <f>E922+C923</f>
        <v/>
      </c>
      <c r="F923">
        <f>IF(C923&gt;0,D923/C923,NA())</f>
        <v/>
      </c>
    </row>
    <row r="924">
      <c r="A924" t="inlineStr">
        <is>
          <t>Puesto Hernández</t>
        </is>
      </c>
      <c r="B924" t="inlineStr">
        <is>
          <t>2021-03</t>
        </is>
      </c>
      <c r="C924" t="n">
        <v>19665</v>
      </c>
      <c r="D924" t="n">
        <v>1170924.8</v>
      </c>
      <c r="E924">
        <f>E923+C924</f>
        <v/>
      </c>
      <c r="F924">
        <f>IF(C924&gt;0,D924/C924,NA())</f>
        <v/>
      </c>
    </row>
    <row r="925">
      <c r="A925" t="inlineStr">
        <is>
          <t>Puesto Hernández</t>
        </is>
      </c>
      <c r="B925" t="inlineStr">
        <is>
          <t>2021-04</t>
        </is>
      </c>
      <c r="C925" t="n">
        <v>17450.3</v>
      </c>
      <c r="D925" t="n">
        <v>1028295</v>
      </c>
      <c r="E925">
        <f>E924+C925</f>
        <v/>
      </c>
      <c r="F925">
        <f>IF(C925&gt;0,D925/C925,NA())</f>
        <v/>
      </c>
    </row>
    <row r="926">
      <c r="A926" t="inlineStr">
        <is>
          <t>Puesto Hernández</t>
        </is>
      </c>
      <c r="B926" t="inlineStr">
        <is>
          <t>2021-05</t>
        </is>
      </c>
      <c r="C926" t="n">
        <v>19316.8</v>
      </c>
      <c r="D926" t="n">
        <v>1154269.3</v>
      </c>
      <c r="E926">
        <f>E925+C926</f>
        <v/>
      </c>
      <c r="F926">
        <f>IF(C926&gt;0,D926/C926,NA())</f>
        <v/>
      </c>
    </row>
    <row r="927">
      <c r="A927" t="inlineStr">
        <is>
          <t>Puesto Hernández</t>
        </is>
      </c>
      <c r="B927" t="inlineStr">
        <is>
          <t>2021-06</t>
        </is>
      </c>
      <c r="C927" t="n">
        <v>18568.4</v>
      </c>
      <c r="D927" t="n">
        <v>1065200.2</v>
      </c>
      <c r="E927">
        <f>E926+C927</f>
        <v/>
      </c>
      <c r="F927">
        <f>IF(C927&gt;0,D927/C927,NA())</f>
        <v/>
      </c>
    </row>
    <row r="928">
      <c r="A928" t="inlineStr">
        <is>
          <t>Puesto Hernández</t>
        </is>
      </c>
      <c r="B928" t="inlineStr">
        <is>
          <t>2021-07</t>
        </is>
      </c>
      <c r="C928" t="n">
        <v>18962.8</v>
      </c>
      <c r="D928" t="n">
        <v>1099859.6</v>
      </c>
      <c r="E928">
        <f>E927+C928</f>
        <v/>
      </c>
      <c r="F928">
        <f>IF(C928&gt;0,D928/C928,NA())</f>
        <v/>
      </c>
    </row>
    <row r="929">
      <c r="A929" t="inlineStr">
        <is>
          <t>Puesto Hernández</t>
        </is>
      </c>
      <c r="B929" t="inlineStr">
        <is>
          <t>2021-08</t>
        </is>
      </c>
      <c r="C929" t="n">
        <v>18409</v>
      </c>
      <c r="D929" t="n">
        <v>1084966.1</v>
      </c>
      <c r="E929">
        <f>E928+C929</f>
        <v/>
      </c>
      <c r="F929">
        <f>IF(C929&gt;0,D929/C929,NA())</f>
        <v/>
      </c>
    </row>
    <row r="930">
      <c r="A930" t="inlineStr">
        <is>
          <t>Puesto Hernández</t>
        </is>
      </c>
      <c r="B930" t="inlineStr">
        <is>
          <t>2021-09</t>
        </is>
      </c>
      <c r="C930" t="n">
        <v>17206.5</v>
      </c>
      <c r="D930" t="n">
        <v>1035727.6</v>
      </c>
      <c r="E930">
        <f>E929+C930</f>
        <v/>
      </c>
      <c r="F930">
        <f>IF(C930&gt;0,D930/C930,NA())</f>
        <v/>
      </c>
    </row>
    <row r="931">
      <c r="A931" t="inlineStr">
        <is>
          <t>Puesto Hernández</t>
        </is>
      </c>
      <c r="B931" t="inlineStr">
        <is>
          <t>2021-10</t>
        </is>
      </c>
      <c r="C931" t="n">
        <v>18504.4</v>
      </c>
      <c r="D931" t="n">
        <v>1049208</v>
      </c>
      <c r="E931">
        <f>E930+C931</f>
        <v/>
      </c>
      <c r="F931">
        <f>IF(C931&gt;0,D931/C931,NA())</f>
        <v/>
      </c>
    </row>
    <row r="932">
      <c r="A932" t="inlineStr">
        <is>
          <t>Puesto Hernández</t>
        </is>
      </c>
      <c r="B932" t="inlineStr">
        <is>
          <t>2021-11</t>
        </is>
      </c>
      <c r="C932" t="n">
        <v>17417.7</v>
      </c>
      <c r="D932" t="n">
        <v>997720.6</v>
      </c>
      <c r="E932">
        <f>E931+C932</f>
        <v/>
      </c>
      <c r="F932">
        <f>IF(C932&gt;0,D932/C932,NA())</f>
        <v/>
      </c>
    </row>
    <row r="933">
      <c r="A933" t="inlineStr">
        <is>
          <t>Puesto Hernández</t>
        </is>
      </c>
      <c r="B933" t="inlineStr">
        <is>
          <t>2021-12</t>
        </is>
      </c>
      <c r="C933" t="n">
        <v>18144.2</v>
      </c>
      <c r="D933" t="n">
        <v>1020630</v>
      </c>
      <c r="E933">
        <f>E932+C933</f>
        <v/>
      </c>
      <c r="F933">
        <f>IF(C933&gt;0,D933/C933,NA())</f>
        <v/>
      </c>
    </row>
    <row r="934">
      <c r="A934" t="inlineStr">
        <is>
          <t>Puesto Hernández</t>
        </is>
      </c>
      <c r="B934" t="inlineStr">
        <is>
          <t>2022-01</t>
        </is>
      </c>
      <c r="C934" t="n">
        <v>17359.1</v>
      </c>
      <c r="D934" t="n">
        <v>1017720.5</v>
      </c>
      <c r="E934">
        <f>E933+C934</f>
        <v/>
      </c>
      <c r="F934">
        <f>IF(C934&gt;0,D934/C934,NA())</f>
        <v/>
      </c>
    </row>
    <row r="935">
      <c r="A935" t="inlineStr">
        <is>
          <t>Puesto Hernández</t>
        </is>
      </c>
      <c r="B935" t="inlineStr">
        <is>
          <t>2022-02</t>
        </is>
      </c>
      <c r="C935" t="n">
        <v>14948.7</v>
      </c>
      <c r="D935" t="n">
        <v>877302.4</v>
      </c>
      <c r="E935">
        <f>E934+C935</f>
        <v/>
      </c>
      <c r="F935">
        <f>IF(C935&gt;0,D935/C935,NA())</f>
        <v/>
      </c>
    </row>
    <row r="936">
      <c r="A936" t="inlineStr">
        <is>
          <t>Puesto Hernández</t>
        </is>
      </c>
      <c r="B936" t="inlineStr">
        <is>
          <t>2022-03</t>
        </is>
      </c>
      <c r="C936" t="n">
        <v>16899</v>
      </c>
      <c r="D936" t="n">
        <v>1013484</v>
      </c>
      <c r="E936">
        <f>E935+C936</f>
        <v/>
      </c>
      <c r="F936">
        <f>IF(C936&gt;0,D936/C936,NA())</f>
        <v/>
      </c>
    </row>
    <row r="937">
      <c r="A937" t="inlineStr">
        <is>
          <t>Puesto Hernández</t>
        </is>
      </c>
      <c r="B937" t="inlineStr">
        <is>
          <t>2022-04</t>
        </is>
      </c>
      <c r="C937" t="n">
        <v>14971.4</v>
      </c>
      <c r="D937" t="n">
        <v>904179.9</v>
      </c>
      <c r="E937">
        <f>E936+C937</f>
        <v/>
      </c>
      <c r="F937">
        <f>IF(C937&gt;0,D937/C937,NA())</f>
        <v/>
      </c>
    </row>
    <row r="938">
      <c r="A938" t="inlineStr">
        <is>
          <t>Puesto Hernández</t>
        </is>
      </c>
      <c r="B938" t="inlineStr">
        <is>
          <t>2022-05</t>
        </is>
      </c>
      <c r="C938" t="n">
        <v>14847.8</v>
      </c>
      <c r="D938" t="n">
        <v>935771.2</v>
      </c>
      <c r="E938">
        <f>E937+C938</f>
        <v/>
      </c>
      <c r="F938">
        <f>IF(C938&gt;0,D938/C938,NA())</f>
        <v/>
      </c>
    </row>
    <row r="939">
      <c r="A939" t="inlineStr">
        <is>
          <t>Puesto Hernández</t>
        </is>
      </c>
      <c r="B939" t="inlineStr">
        <is>
          <t>2022-06</t>
        </is>
      </c>
      <c r="C939" t="n">
        <v>14698.6</v>
      </c>
      <c r="D939" t="n">
        <v>923082.3</v>
      </c>
      <c r="E939">
        <f>E938+C939</f>
        <v/>
      </c>
      <c r="F939">
        <f>IF(C939&gt;0,D939/C939,NA())</f>
        <v/>
      </c>
    </row>
    <row r="940">
      <c r="A940" t="inlineStr">
        <is>
          <t>Puesto Hernández</t>
        </is>
      </c>
      <c r="B940" t="inlineStr">
        <is>
          <t>2022-07</t>
        </is>
      </c>
      <c r="C940" t="n">
        <v>16035.3</v>
      </c>
      <c r="D940" t="n">
        <v>983057.9</v>
      </c>
      <c r="E940">
        <f>E939+C940</f>
        <v/>
      </c>
      <c r="F940">
        <f>IF(C940&gt;0,D940/C940,NA())</f>
        <v/>
      </c>
    </row>
    <row r="941">
      <c r="A941" t="inlineStr">
        <is>
          <t>Puesto Hernández</t>
        </is>
      </c>
      <c r="B941" t="inlineStr">
        <is>
          <t>2022-08</t>
        </is>
      </c>
      <c r="C941" t="n">
        <v>15589</v>
      </c>
      <c r="D941" t="n">
        <v>987228.4</v>
      </c>
      <c r="E941">
        <f>E940+C941</f>
        <v/>
      </c>
      <c r="F941">
        <f>IF(C941&gt;0,D941/C941,NA())</f>
        <v/>
      </c>
    </row>
    <row r="942">
      <c r="A942" t="inlineStr">
        <is>
          <t>Puesto Hernández</t>
        </is>
      </c>
      <c r="B942" t="inlineStr">
        <is>
          <t>2022-09</t>
        </is>
      </c>
      <c r="C942" t="n">
        <v>14731.9</v>
      </c>
      <c r="D942" t="n">
        <v>923768.6</v>
      </c>
      <c r="E942">
        <f>E941+C942</f>
        <v/>
      </c>
      <c r="F942">
        <f>IF(C942&gt;0,D942/C942,NA())</f>
        <v/>
      </c>
    </row>
    <row r="943">
      <c r="A943" t="inlineStr">
        <is>
          <t>Puesto Hernández</t>
        </is>
      </c>
      <c r="B943" t="inlineStr">
        <is>
          <t>2022-10</t>
        </is>
      </c>
      <c r="C943" t="n">
        <v>16154.8</v>
      </c>
      <c r="D943" t="n">
        <v>984615.5</v>
      </c>
      <c r="E943">
        <f>E942+C943</f>
        <v/>
      </c>
      <c r="F943">
        <f>IF(C943&gt;0,D943/C943,NA())</f>
        <v/>
      </c>
    </row>
    <row r="944">
      <c r="A944" t="inlineStr">
        <is>
          <t>Puesto Hernández</t>
        </is>
      </c>
      <c r="B944" t="inlineStr">
        <is>
          <t>2022-11</t>
        </is>
      </c>
      <c r="C944" t="n">
        <v>15048.9</v>
      </c>
      <c r="D944" t="n">
        <v>925814.4</v>
      </c>
      <c r="E944">
        <f>E943+C944</f>
        <v/>
      </c>
      <c r="F944">
        <f>IF(C944&gt;0,D944/C944,NA())</f>
        <v/>
      </c>
    </row>
    <row r="945">
      <c r="A945" t="inlineStr">
        <is>
          <t>Puesto Hernández</t>
        </is>
      </c>
      <c r="B945" t="inlineStr">
        <is>
          <t>2022-12</t>
        </is>
      </c>
      <c r="C945" t="n">
        <v>15595.9</v>
      </c>
      <c r="D945" t="n">
        <v>927281.1</v>
      </c>
      <c r="E945">
        <f>E944+C945</f>
        <v/>
      </c>
      <c r="F945">
        <f>IF(C945&gt;0,D945/C945,NA())</f>
        <v/>
      </c>
    </row>
    <row r="946">
      <c r="A946" t="inlineStr">
        <is>
          <t>Puesto Hernández</t>
        </is>
      </c>
      <c r="B946" t="inlineStr">
        <is>
          <t>2023-01</t>
        </is>
      </c>
      <c r="C946" t="n">
        <v>14719.5</v>
      </c>
      <c r="D946" t="n">
        <v>928730.1</v>
      </c>
      <c r="E946">
        <f>E945+C946</f>
        <v/>
      </c>
      <c r="F946">
        <f>IF(C946&gt;0,D946/C946,NA())</f>
        <v/>
      </c>
    </row>
    <row r="947">
      <c r="A947" t="inlineStr">
        <is>
          <t>Puesto Hernández</t>
        </is>
      </c>
      <c r="B947" t="inlineStr">
        <is>
          <t>2023-02</t>
        </is>
      </c>
      <c r="C947" t="n">
        <v>13786.6</v>
      </c>
      <c r="D947" t="n">
        <v>861028.4</v>
      </c>
      <c r="E947">
        <f>E946+C947</f>
        <v/>
      </c>
      <c r="F947">
        <f>IF(C947&gt;0,D947/C947,NA())</f>
        <v/>
      </c>
    </row>
    <row r="948">
      <c r="A948" t="inlineStr">
        <is>
          <t>Puesto Hernández</t>
        </is>
      </c>
      <c r="B948" t="inlineStr">
        <is>
          <t>2023-03</t>
        </is>
      </c>
      <c r="C948" t="n">
        <v>14824.7</v>
      </c>
      <c r="D948" t="n">
        <v>927341.5</v>
      </c>
      <c r="E948">
        <f>E947+C948</f>
        <v/>
      </c>
      <c r="F948">
        <f>IF(C948&gt;0,D948/C948,NA())</f>
        <v/>
      </c>
    </row>
    <row r="949">
      <c r="A949" t="inlineStr">
        <is>
          <t>Puesto Hernández</t>
        </is>
      </c>
      <c r="B949" t="inlineStr">
        <is>
          <t>2023-04</t>
        </is>
      </c>
      <c r="C949" t="n">
        <v>14720.8</v>
      </c>
      <c r="D949" t="n">
        <v>971574.4</v>
      </c>
      <c r="E949">
        <f>E948+C949</f>
        <v/>
      </c>
      <c r="F949">
        <f>IF(C949&gt;0,D949/C949,NA())</f>
        <v/>
      </c>
    </row>
    <row r="950">
      <c r="A950" t="inlineStr">
        <is>
          <t>Puesto Hernández</t>
        </is>
      </c>
      <c r="B950" t="inlineStr">
        <is>
          <t>2023-05</t>
        </is>
      </c>
      <c r="C950" t="n">
        <v>14983.6</v>
      </c>
      <c r="D950" t="n">
        <v>982873.8</v>
      </c>
      <c r="E950">
        <f>E949+C950</f>
        <v/>
      </c>
      <c r="F950">
        <f>IF(C950&gt;0,D950/C950,NA())</f>
        <v/>
      </c>
    </row>
    <row r="951">
      <c r="A951" t="inlineStr">
        <is>
          <t>Puesto Hernández</t>
        </is>
      </c>
      <c r="B951" t="inlineStr">
        <is>
          <t>2023-06</t>
        </is>
      </c>
      <c r="C951" t="n">
        <v>13654.1</v>
      </c>
      <c r="D951" t="n">
        <v>944713.3</v>
      </c>
      <c r="E951">
        <f>E950+C951</f>
        <v/>
      </c>
      <c r="F951">
        <f>IF(C951&gt;0,D951/C951,NA())</f>
        <v/>
      </c>
    </row>
    <row r="952">
      <c r="A952" t="inlineStr">
        <is>
          <t>Puesto Hernández</t>
        </is>
      </c>
      <c r="B952" t="inlineStr">
        <is>
          <t>2023-07</t>
        </is>
      </c>
      <c r="C952" t="n">
        <v>14329.8</v>
      </c>
      <c r="D952" t="n">
        <v>973360.1</v>
      </c>
      <c r="E952">
        <f>E951+C952</f>
        <v/>
      </c>
      <c r="F952">
        <f>IF(C952&gt;0,D952/C952,NA())</f>
        <v/>
      </c>
    </row>
    <row r="953">
      <c r="A953" t="inlineStr">
        <is>
          <t>Puesto Hernández</t>
        </is>
      </c>
      <c r="B953" t="inlineStr">
        <is>
          <t>2023-08</t>
        </is>
      </c>
      <c r="C953" t="n">
        <v>14358</v>
      </c>
      <c r="D953" t="n">
        <v>938771.6</v>
      </c>
      <c r="E953">
        <f>E952+C953</f>
        <v/>
      </c>
      <c r="F953">
        <f>IF(C953&gt;0,D953/C953,NA())</f>
        <v/>
      </c>
    </row>
    <row r="954">
      <c r="A954" t="inlineStr">
        <is>
          <t>Puesto Hernández</t>
        </is>
      </c>
      <c r="B954" t="inlineStr">
        <is>
          <t>2023-09</t>
        </is>
      </c>
      <c r="C954" t="n">
        <v>13834.7</v>
      </c>
      <c r="D954" t="n">
        <v>904596.7</v>
      </c>
      <c r="E954">
        <f>E953+C954</f>
        <v/>
      </c>
      <c r="F954">
        <f>IF(C954&gt;0,D954/C954,NA())</f>
        <v/>
      </c>
    </row>
    <row r="955">
      <c r="A955" t="inlineStr">
        <is>
          <t>Puesto Hernández</t>
        </is>
      </c>
      <c r="B955" t="inlineStr">
        <is>
          <t>2023-10</t>
        </is>
      </c>
      <c r="C955" t="n">
        <v>13992.3</v>
      </c>
      <c r="D955" t="n">
        <v>920596.8</v>
      </c>
      <c r="E955">
        <f>E954+C955</f>
        <v/>
      </c>
      <c r="F955">
        <f>IF(C955&gt;0,D955/C955,NA())</f>
        <v/>
      </c>
    </row>
    <row r="956">
      <c r="A956" t="inlineStr">
        <is>
          <t>Puesto Hernández</t>
        </is>
      </c>
      <c r="B956" t="inlineStr">
        <is>
          <t>2023-11</t>
        </is>
      </c>
      <c r="C956" t="n">
        <v>13882.3</v>
      </c>
      <c r="D956" t="n">
        <v>900697.7</v>
      </c>
      <c r="E956">
        <f>E955+C956</f>
        <v/>
      </c>
      <c r="F956">
        <f>IF(C956&gt;0,D956/C956,NA())</f>
        <v/>
      </c>
    </row>
    <row r="957">
      <c r="A957" t="inlineStr">
        <is>
          <t>Puesto Hernández</t>
        </is>
      </c>
      <c r="B957" t="inlineStr">
        <is>
          <t>2023-12</t>
        </is>
      </c>
      <c r="C957" t="n">
        <v>14220</v>
      </c>
      <c r="D957" t="n">
        <v>941881.5</v>
      </c>
      <c r="E957">
        <f>E956+C957</f>
        <v/>
      </c>
      <c r="F957">
        <f>IF(C957&gt;0,D957/C957,NA())</f>
        <v/>
      </c>
    </row>
    <row r="958">
      <c r="A958" t="inlineStr">
        <is>
          <t>Puesto Hernández</t>
        </is>
      </c>
      <c r="B958" t="inlineStr">
        <is>
          <t>2024-01</t>
        </is>
      </c>
      <c r="C958" t="n">
        <v>14452.4</v>
      </c>
      <c r="D958" t="n">
        <v>947575.7</v>
      </c>
      <c r="E958">
        <f>E957+C958</f>
        <v/>
      </c>
      <c r="F958">
        <f>IF(C958&gt;0,D958/C958,NA())</f>
        <v/>
      </c>
    </row>
    <row r="959">
      <c r="A959" t="inlineStr">
        <is>
          <t>Puesto Hernández</t>
        </is>
      </c>
      <c r="B959" t="inlineStr">
        <is>
          <t>2024-02</t>
        </is>
      </c>
      <c r="C959" t="n">
        <v>13088.8</v>
      </c>
      <c r="D959" t="n">
        <v>800525.7</v>
      </c>
      <c r="E959">
        <f>E958+C959</f>
        <v/>
      </c>
      <c r="F959">
        <f>IF(C959&gt;0,D959/C959,NA())</f>
        <v/>
      </c>
    </row>
    <row r="960">
      <c r="A960" t="inlineStr">
        <is>
          <t>Puesto Hernández</t>
        </is>
      </c>
      <c r="B960" t="inlineStr">
        <is>
          <t>2024-03</t>
        </is>
      </c>
      <c r="C960" t="n">
        <v>13412.9</v>
      </c>
      <c r="D960" t="n">
        <v>862636.3</v>
      </c>
      <c r="E960">
        <f>E959+C960</f>
        <v/>
      </c>
      <c r="F960">
        <f>IF(C960&gt;0,D960/C960,NA())</f>
        <v/>
      </c>
    </row>
    <row r="961">
      <c r="A961" t="inlineStr">
        <is>
          <t>Puesto Hernández</t>
        </is>
      </c>
      <c r="B961" t="inlineStr">
        <is>
          <t>2024-04</t>
        </is>
      </c>
      <c r="C961" t="n">
        <v>13462.9</v>
      </c>
      <c r="D961" t="n">
        <v>880161.9</v>
      </c>
      <c r="E961">
        <f>E960+C961</f>
        <v/>
      </c>
      <c r="F961">
        <f>IF(C961&gt;0,D961/C961,NA())</f>
        <v/>
      </c>
    </row>
    <row r="962">
      <c r="A962" t="inlineStr">
        <is>
          <t>Puesto Hernández</t>
        </is>
      </c>
      <c r="B962" t="inlineStr">
        <is>
          <t>2024-05</t>
        </is>
      </c>
      <c r="C962" t="n">
        <v>13397</v>
      </c>
      <c r="D962" t="n">
        <v>891363.9</v>
      </c>
      <c r="E962">
        <f>E961+C962</f>
        <v/>
      </c>
      <c r="F962">
        <f>IF(C962&gt;0,D962/C962,NA())</f>
        <v/>
      </c>
    </row>
    <row r="963">
      <c r="A963" t="inlineStr">
        <is>
          <t>Puesto Hernández</t>
        </is>
      </c>
      <c r="B963" t="inlineStr">
        <is>
          <t>2024-06</t>
        </is>
      </c>
      <c r="C963" t="n">
        <v>13155.4</v>
      </c>
      <c r="D963" t="n">
        <v>859512.1</v>
      </c>
      <c r="E963">
        <f>E962+C963</f>
        <v/>
      </c>
      <c r="F963">
        <f>IF(C963&gt;0,D963/C963,NA())</f>
        <v/>
      </c>
    </row>
    <row r="964">
      <c r="A964" t="inlineStr">
        <is>
          <t>Puesto Hernández</t>
        </is>
      </c>
      <c r="B964" t="inlineStr">
        <is>
          <t>2024-07</t>
        </is>
      </c>
      <c r="C964" t="n">
        <v>13619.7</v>
      </c>
      <c r="D964" t="n">
        <v>898469.4</v>
      </c>
      <c r="E964">
        <f>E963+C964</f>
        <v/>
      </c>
      <c r="F964">
        <f>IF(C964&gt;0,D964/C964,NA())</f>
        <v/>
      </c>
    </row>
    <row r="965">
      <c r="A965" t="inlineStr">
        <is>
          <t>Puesto Hernández</t>
        </is>
      </c>
      <c r="B965" t="inlineStr">
        <is>
          <t>2024-08</t>
        </is>
      </c>
      <c r="C965" t="n">
        <v>13560.3</v>
      </c>
      <c r="D965" t="n">
        <v>877743</v>
      </c>
      <c r="E965">
        <f>E964+C965</f>
        <v/>
      </c>
      <c r="F965">
        <f>IF(C965&gt;0,D965/C965,NA())</f>
        <v/>
      </c>
    </row>
    <row r="966">
      <c r="A966" t="inlineStr">
        <is>
          <t>Puesto Hernández</t>
        </is>
      </c>
      <c r="B966" t="inlineStr">
        <is>
          <t>2024-09</t>
        </is>
      </c>
      <c r="C966" t="n">
        <v>13059.4</v>
      </c>
      <c r="D966" t="n">
        <v>816460.1</v>
      </c>
      <c r="E966">
        <f>E965+C966</f>
        <v/>
      </c>
      <c r="F966">
        <f>IF(C966&gt;0,D966/C966,NA())</f>
        <v/>
      </c>
    </row>
    <row r="967">
      <c r="A967" t="inlineStr">
        <is>
          <t>Puesto Hernández</t>
        </is>
      </c>
      <c r="B967" t="inlineStr">
        <is>
          <t>2024-10</t>
        </is>
      </c>
      <c r="C967" t="n">
        <v>12748.5</v>
      </c>
      <c r="D967" t="n">
        <v>797709.7</v>
      </c>
      <c r="E967">
        <f>E966+C967</f>
        <v/>
      </c>
      <c r="F967">
        <f>IF(C967&gt;0,D967/C967,NA())</f>
        <v/>
      </c>
    </row>
    <row r="968">
      <c r="A968" t="inlineStr">
        <is>
          <t>Puesto Hernández</t>
        </is>
      </c>
      <c r="B968" t="inlineStr">
        <is>
          <t>2024-11</t>
        </is>
      </c>
      <c r="C968" t="n">
        <v>12194.8</v>
      </c>
      <c r="D968" t="n">
        <v>773800.2</v>
      </c>
      <c r="E968">
        <f>E967+C968</f>
        <v/>
      </c>
      <c r="F968">
        <f>IF(C968&gt;0,D968/C968,NA())</f>
        <v/>
      </c>
    </row>
    <row r="969">
      <c r="A969" t="inlineStr">
        <is>
          <t>Puesto Hernández</t>
        </is>
      </c>
      <c r="B969" t="inlineStr">
        <is>
          <t>2024-12</t>
        </is>
      </c>
      <c r="C969" t="n">
        <v>11513</v>
      </c>
      <c r="D969" t="n">
        <v>765113.4</v>
      </c>
      <c r="E969">
        <f>E968+C969</f>
        <v/>
      </c>
      <c r="F969">
        <f>IF(C969&gt;0,D969/C969,NA())</f>
        <v/>
      </c>
    </row>
    <row r="970">
      <c r="A970" t="inlineStr">
        <is>
          <t>Puesto Hernández</t>
        </is>
      </c>
      <c r="B970" t="inlineStr">
        <is>
          <t>2025-01</t>
        </is>
      </c>
      <c r="C970" t="n">
        <v>12191.7</v>
      </c>
      <c r="D970" t="n">
        <v>738084.4</v>
      </c>
      <c r="E970">
        <f>E969+C970</f>
        <v/>
      </c>
      <c r="F970">
        <f>IF(C970&gt;0,D970/C970,NA())</f>
        <v/>
      </c>
    </row>
    <row r="971">
      <c r="A971" t="inlineStr">
        <is>
          <t>Puesto Hernández</t>
        </is>
      </c>
      <c r="B971" t="inlineStr">
        <is>
          <t>2025-02</t>
        </is>
      </c>
      <c r="C971" t="n">
        <v>11510.5</v>
      </c>
      <c r="D971" t="n">
        <v>696128.1</v>
      </c>
      <c r="E971">
        <f>E970+C971</f>
        <v/>
      </c>
      <c r="F971">
        <f>IF(C971&gt;0,D971/C971,NA())</f>
        <v/>
      </c>
    </row>
    <row r="972">
      <c r="A972" t="inlineStr">
        <is>
          <t>Puesto Hernández</t>
        </is>
      </c>
      <c r="B972" t="inlineStr">
        <is>
          <t>2025-03</t>
        </is>
      </c>
      <c r="C972" t="n">
        <v>12455.1</v>
      </c>
      <c r="D972" t="n">
        <v>749175.6</v>
      </c>
      <c r="E972">
        <f>E971+C972</f>
        <v/>
      </c>
      <c r="F972">
        <f>IF(C972&gt;0,D972/C972,NA())</f>
        <v/>
      </c>
    </row>
    <row r="973">
      <c r="A973" t="inlineStr">
        <is>
          <t>Puesto Hernández</t>
        </is>
      </c>
      <c r="B973" t="inlineStr">
        <is>
          <t>2025-04</t>
        </is>
      </c>
      <c r="C973" t="n">
        <v>12165.9</v>
      </c>
      <c r="D973" t="n">
        <v>710072.2</v>
      </c>
      <c r="E973">
        <f>E972+C973</f>
        <v/>
      </c>
      <c r="F973">
        <f>IF(C973&gt;0,D973/C973,NA())</f>
        <v/>
      </c>
    </row>
    <row r="974">
      <c r="A974" t="inlineStr">
        <is>
          <t>Puesto Hernández</t>
        </is>
      </c>
      <c r="B974" t="inlineStr">
        <is>
          <t>2025-05</t>
        </is>
      </c>
      <c r="C974" t="n">
        <v>12295.5</v>
      </c>
      <c r="D974" t="n">
        <v>725204.3</v>
      </c>
      <c r="E974">
        <f>E973+C974</f>
        <v/>
      </c>
      <c r="F974">
        <f>IF(C974&gt;0,D974/C974,NA())</f>
        <v/>
      </c>
    </row>
    <row r="975">
      <c r="A975" t="inlineStr">
        <is>
          <t>Puesto Hernández</t>
        </is>
      </c>
      <c r="B975" t="inlineStr">
        <is>
          <t>2025-06</t>
        </is>
      </c>
      <c r="C975" t="n">
        <v>11125.4</v>
      </c>
      <c r="D975" t="n">
        <v>685526.4</v>
      </c>
      <c r="E975">
        <f>E974+C975</f>
        <v/>
      </c>
      <c r="F975">
        <f>IF(C975&gt;0,D975/C975,NA())</f>
        <v/>
      </c>
    </row>
    <row r="976">
      <c r="A976" t="inlineStr">
        <is>
          <t>Puesto Hernández</t>
        </is>
      </c>
      <c r="B976" t="inlineStr">
        <is>
          <t>2025-07</t>
        </is>
      </c>
      <c r="C976" t="n">
        <v>11410.9</v>
      </c>
      <c r="D976" t="n">
        <v>692681.5</v>
      </c>
      <c r="E976">
        <f>E975+C976</f>
        <v/>
      </c>
      <c r="F976">
        <f>IF(C976&gt;0,D976/C976,NA())</f>
        <v/>
      </c>
    </row>
    <row r="977">
      <c r="A977" t="inlineStr">
        <is>
          <t>Puesto Hernández</t>
        </is>
      </c>
      <c r="B977" t="inlineStr">
        <is>
          <t>2025-08</t>
        </is>
      </c>
      <c r="C977" t="n">
        <v>11774.5</v>
      </c>
      <c r="D977" t="n">
        <v>661845.9</v>
      </c>
      <c r="E977">
        <f>E976+C977</f>
        <v/>
      </c>
      <c r="F977">
        <f>IF(C977&gt;0,D977/C977,NA())</f>
        <v/>
      </c>
    </row>
    <row r="978">
      <c r="A978" t="inlineStr">
        <is>
          <t>Puesto Hernández</t>
        </is>
      </c>
      <c r="B978" t="inlineStr">
        <is>
          <t>2025-09</t>
        </is>
      </c>
      <c r="C978" t="n">
        <v>10356.9</v>
      </c>
      <c r="D978" t="n">
        <v>643910.6</v>
      </c>
      <c r="E978">
        <f>E977+C978</f>
        <v/>
      </c>
      <c r="F978">
        <f>IF(C978&gt;0,D978/C978,NA())</f>
        <v/>
      </c>
    </row>
    <row r="979">
      <c r="A979" t="inlineStr">
        <is>
          <t>Puesto Hernández</t>
        </is>
      </c>
      <c r="B979" t="inlineStr">
        <is>
          <t>2025-10</t>
        </is>
      </c>
      <c r="C979" t="n">
        <v>10950.9</v>
      </c>
      <c r="D979" t="n">
        <v>703946</v>
      </c>
      <c r="E979">
        <f>E978+C979</f>
        <v/>
      </c>
      <c r="F979">
        <f>IF(C979&gt;0,D979/C979,NA())</f>
        <v/>
      </c>
    </row>
    <row r="980">
      <c r="A980" t="inlineStr">
        <is>
          <t>Puesto Hernández</t>
        </is>
      </c>
      <c r="B980" t="inlineStr">
        <is>
          <t>2025-11</t>
        </is>
      </c>
      <c r="C980" t="n">
        <v>10569.8</v>
      </c>
      <c r="D980" t="n">
        <v>673703.7</v>
      </c>
      <c r="E980">
        <f>E979+C980</f>
        <v/>
      </c>
      <c r="F980">
        <f>IF(C980&gt;0,D980/C980,NA())</f>
        <v/>
      </c>
    </row>
    <row r="981">
      <c r="A981" t="inlineStr">
        <is>
          <t>Puesto Hernández</t>
        </is>
      </c>
      <c r="B981" t="inlineStr">
        <is>
          <t>2025-12</t>
        </is>
      </c>
      <c r="C981" t="n">
        <v>10741.7</v>
      </c>
      <c r="D981" t="n">
        <v>704647.6</v>
      </c>
      <c r="E981">
        <f>E980+C981</f>
        <v/>
      </c>
      <c r="F981">
        <f>IF(C981&gt;0,D981/C981,NA())</f>
        <v/>
      </c>
    </row>
    <row r="982">
      <c r="A982" t="inlineStr">
        <is>
          <t>Puesto Hernández</t>
        </is>
      </c>
      <c r="B982" t="inlineStr">
        <is>
          <t>2026-01</t>
        </is>
      </c>
      <c r="C982" t="n">
        <v>10500.5</v>
      </c>
      <c r="D982" t="n">
        <v>696705.6</v>
      </c>
      <c r="E982">
        <f>E981+C982</f>
        <v/>
      </c>
      <c r="F982">
        <f>IF(C982&gt;0,D982/C982,NA())</f>
        <v/>
      </c>
    </row>
    <row r="983">
      <c r="A983" t="inlineStr">
        <is>
          <t>Puesto Hernández</t>
        </is>
      </c>
      <c r="B983" t="inlineStr">
        <is>
          <t>2026-02</t>
        </is>
      </c>
      <c r="C983" t="n">
        <v>9107.1</v>
      </c>
      <c r="D983" t="n">
        <v>617264.6</v>
      </c>
      <c r="E983">
        <f>E982+C983</f>
        <v/>
      </c>
      <c r="F983">
        <f>IF(C983&gt;0,D983/C983,NA())</f>
        <v/>
      </c>
    </row>
    <row r="984">
      <c r="A984" t="inlineStr">
        <is>
          <t>Puesto Hernández</t>
        </is>
      </c>
      <c r="B984" t="inlineStr">
        <is>
          <t>2026-03</t>
        </is>
      </c>
      <c r="C984" t="n">
        <v>9810.6</v>
      </c>
      <c r="D984" t="n">
        <v>666623.7</v>
      </c>
      <c r="E984">
        <f>E983+C984</f>
        <v/>
      </c>
      <c r="F984">
        <f>IF(C984&gt;0,D984/C984,NA())</f>
        <v/>
      </c>
    </row>
    <row r="985">
      <c r="A985" t="inlineStr">
        <is>
          <t>Puesto Hernández</t>
        </is>
      </c>
      <c r="B985" t="inlineStr">
        <is>
          <t>2026-04</t>
        </is>
      </c>
      <c r="C985" t="n">
        <v>9668.4</v>
      </c>
      <c r="D985" t="n">
        <v>647424.8</v>
      </c>
      <c r="E985">
        <f>E984+C985</f>
        <v/>
      </c>
      <c r="F985">
        <f>IF(C985&gt;0,D985/C985,NA())</f>
        <v/>
      </c>
    </row>
    <row r="986">
      <c r="A986" t="inlineStr">
        <is>
          <t>Puesto Hernández</t>
        </is>
      </c>
      <c r="B986" t="inlineStr">
        <is>
          <t>2026-05</t>
        </is>
      </c>
      <c r="C986" t="n">
        <v>9707</v>
      </c>
      <c r="D986" t="n">
        <v>664149.4</v>
      </c>
      <c r="E986">
        <f>E985+C986</f>
        <v/>
      </c>
      <c r="F986">
        <f>IF(C986&gt;0,D986/C986,NA())</f>
        <v/>
      </c>
    </row>
    <row r="987">
      <c r="A987" t="inlineStr">
        <is>
          <t>Puesto Hernández</t>
        </is>
      </c>
      <c r="B987" t="inlineStr">
        <is>
          <t>2026-06</t>
        </is>
      </c>
      <c r="C987" t="n">
        <v>9131.6</v>
      </c>
      <c r="D987" t="n">
        <v>608366.6</v>
      </c>
      <c r="E987">
        <f>E986+C987</f>
        <v/>
      </c>
      <c r="F987">
        <f>IF(C987&gt;0,D987/C987,NA())</f>
        <v/>
      </c>
    </row>
    <row r="988">
      <c r="A988" t="inlineStr">
        <is>
          <t>Puesto Hernández</t>
        </is>
      </c>
      <c r="B988" t="inlineStr">
        <is>
          <t>2026-07</t>
        </is>
      </c>
      <c r="C988" t="n">
        <v>10175.5</v>
      </c>
      <c r="D988" t="n">
        <v>630163.1</v>
      </c>
      <c r="E988">
        <f>E987+C988</f>
        <v/>
      </c>
      <c r="F988">
        <f>IF(C988&gt;0,D988/C988,NA())</f>
        <v/>
      </c>
    </row>
    <row r="989">
      <c r="A989" t="inlineStr">
        <is>
          <t>Los Perales</t>
        </is>
      </c>
      <c r="B989" t="inlineStr">
        <is>
          <t>2006-01</t>
        </is>
      </c>
      <c r="C989" t="n">
        <v>82115</v>
      </c>
      <c r="D989" t="n">
        <v>434009.8</v>
      </c>
      <c r="E989">
        <f>C989</f>
        <v/>
      </c>
      <c r="F989">
        <f>IF(C989&gt;0,D989/C989,NA())</f>
        <v/>
      </c>
    </row>
    <row r="990">
      <c r="A990" t="inlineStr">
        <is>
          <t>Los Perales</t>
        </is>
      </c>
      <c r="B990" t="inlineStr">
        <is>
          <t>2006-02</t>
        </is>
      </c>
      <c r="C990" t="n">
        <v>56041.4</v>
      </c>
      <c r="D990" t="n">
        <v>298742.6</v>
      </c>
      <c r="E990">
        <f>E989+C990</f>
        <v/>
      </c>
      <c r="F990">
        <f>IF(C990&gt;0,D990/C990,NA())</f>
        <v/>
      </c>
    </row>
    <row r="991">
      <c r="A991" t="inlineStr">
        <is>
          <t>Los Perales</t>
        </is>
      </c>
      <c r="B991" t="inlineStr">
        <is>
          <t>2006-03</t>
        </is>
      </c>
      <c r="C991" t="n">
        <v>106210.5</v>
      </c>
      <c r="D991" t="n">
        <v>580547</v>
      </c>
      <c r="E991">
        <f>E990+C991</f>
        <v/>
      </c>
      <c r="F991">
        <f>IF(C991&gt;0,D991/C991,NA())</f>
        <v/>
      </c>
    </row>
    <row r="992">
      <c r="A992" t="inlineStr">
        <is>
          <t>Los Perales</t>
        </is>
      </c>
      <c r="B992" t="inlineStr">
        <is>
          <t>2006-04</t>
        </is>
      </c>
      <c r="C992" t="n">
        <v>102058.2</v>
      </c>
      <c r="D992" t="n">
        <v>561501.7</v>
      </c>
      <c r="E992">
        <f>E991+C992</f>
        <v/>
      </c>
      <c r="F992">
        <f>IF(C992&gt;0,D992/C992,NA())</f>
        <v/>
      </c>
    </row>
    <row r="993">
      <c r="A993" t="inlineStr">
        <is>
          <t>Los Perales</t>
        </is>
      </c>
      <c r="B993" t="inlineStr">
        <is>
          <t>2006-05</t>
        </is>
      </c>
      <c r="C993" t="n">
        <v>102746.9</v>
      </c>
      <c r="D993" t="n">
        <v>574365.7</v>
      </c>
      <c r="E993">
        <f>E992+C993</f>
        <v/>
      </c>
      <c r="F993">
        <f>IF(C993&gt;0,D993/C993,NA())</f>
        <v/>
      </c>
    </row>
    <row r="994">
      <c r="A994" t="inlineStr">
        <is>
          <t>Los Perales</t>
        </is>
      </c>
      <c r="B994" t="inlineStr">
        <is>
          <t>2006-06</t>
        </is>
      </c>
      <c r="C994" t="n">
        <v>98351.2</v>
      </c>
      <c r="D994" t="n">
        <v>547537.7</v>
      </c>
      <c r="E994">
        <f>E993+C994</f>
        <v/>
      </c>
      <c r="F994">
        <f>IF(C994&gt;0,D994/C994,NA())</f>
        <v/>
      </c>
    </row>
    <row r="995">
      <c r="A995" t="inlineStr">
        <is>
          <t>Los Perales</t>
        </is>
      </c>
      <c r="B995" t="inlineStr">
        <is>
          <t>2006-07</t>
        </is>
      </c>
      <c r="C995" t="n">
        <v>102302</v>
      </c>
      <c r="D995" t="n">
        <v>555141.3</v>
      </c>
      <c r="E995">
        <f>E994+C995</f>
        <v/>
      </c>
      <c r="F995">
        <f>IF(C995&gt;0,D995/C995,NA())</f>
        <v/>
      </c>
    </row>
    <row r="996">
      <c r="A996" t="inlineStr">
        <is>
          <t>Los Perales</t>
        </is>
      </c>
      <c r="B996" t="inlineStr">
        <is>
          <t>2006-08</t>
        </is>
      </c>
      <c r="C996" t="n">
        <v>100791.2</v>
      </c>
      <c r="D996" t="n">
        <v>552026.9</v>
      </c>
      <c r="E996">
        <f>E995+C996</f>
        <v/>
      </c>
      <c r="F996">
        <f>IF(C996&gt;0,D996/C996,NA())</f>
        <v/>
      </c>
    </row>
    <row r="997">
      <c r="A997" t="inlineStr">
        <is>
          <t>Los Perales</t>
        </is>
      </c>
      <c r="B997" t="inlineStr">
        <is>
          <t>2006-09</t>
        </is>
      </c>
      <c r="C997" t="n">
        <v>101729.1</v>
      </c>
      <c r="D997" t="n">
        <v>529307.3</v>
      </c>
      <c r="E997">
        <f>E996+C997</f>
        <v/>
      </c>
      <c r="F997">
        <f>IF(C997&gt;0,D997/C997,NA())</f>
        <v/>
      </c>
    </row>
    <row r="998">
      <c r="A998" t="inlineStr">
        <is>
          <t>Los Perales</t>
        </is>
      </c>
      <c r="B998" t="inlineStr">
        <is>
          <t>2006-10</t>
        </is>
      </c>
      <c r="C998" t="n">
        <v>103796.3</v>
      </c>
      <c r="D998" t="n">
        <v>549335.4</v>
      </c>
      <c r="E998">
        <f>E997+C998</f>
        <v/>
      </c>
      <c r="F998">
        <f>IF(C998&gt;0,D998/C998,NA())</f>
        <v/>
      </c>
    </row>
    <row r="999">
      <c r="A999" t="inlineStr">
        <is>
          <t>Los Perales</t>
        </is>
      </c>
      <c r="B999" t="inlineStr">
        <is>
          <t>2006-11</t>
        </is>
      </c>
      <c r="C999" t="n">
        <v>89872.5</v>
      </c>
      <c r="D999" t="n">
        <v>499574.3</v>
      </c>
      <c r="E999">
        <f>E998+C999</f>
        <v/>
      </c>
      <c r="F999">
        <f>IF(C999&gt;0,D999/C999,NA())</f>
        <v/>
      </c>
    </row>
    <row r="1000">
      <c r="A1000" t="inlineStr">
        <is>
          <t>Los Perales</t>
        </is>
      </c>
      <c r="B1000" t="inlineStr">
        <is>
          <t>2006-12</t>
        </is>
      </c>
      <c r="C1000" t="n">
        <v>106262</v>
      </c>
      <c r="D1000" t="n">
        <v>560705.3</v>
      </c>
      <c r="E1000">
        <f>E999+C1000</f>
        <v/>
      </c>
      <c r="F1000">
        <f>IF(C1000&gt;0,D1000/C1000,NA())</f>
        <v/>
      </c>
    </row>
    <row r="1001">
      <c r="A1001" t="inlineStr">
        <is>
          <t>Los Perales</t>
        </is>
      </c>
      <c r="B1001" t="inlineStr">
        <is>
          <t>2007-01</t>
        </is>
      </c>
      <c r="C1001" t="n">
        <v>104697.2</v>
      </c>
      <c r="D1001" t="n">
        <v>570575.6</v>
      </c>
      <c r="E1001">
        <f>E1000+C1001</f>
        <v/>
      </c>
      <c r="F1001">
        <f>IF(C1001&gt;0,D1001/C1001,NA())</f>
        <v/>
      </c>
    </row>
    <row r="1002">
      <c r="A1002" t="inlineStr">
        <is>
          <t>Los Perales</t>
        </is>
      </c>
      <c r="B1002" t="inlineStr">
        <is>
          <t>2007-02</t>
        </is>
      </c>
      <c r="C1002" t="n">
        <v>90901.10000000001</v>
      </c>
      <c r="D1002" t="n">
        <v>482513</v>
      </c>
      <c r="E1002">
        <f>E1001+C1002</f>
        <v/>
      </c>
      <c r="F1002">
        <f>IF(C1002&gt;0,D1002/C1002,NA())</f>
        <v/>
      </c>
    </row>
    <row r="1003">
      <c r="A1003" t="inlineStr">
        <is>
          <t>Los Perales</t>
        </is>
      </c>
      <c r="B1003" t="inlineStr">
        <is>
          <t>2007-03</t>
        </is>
      </c>
      <c r="C1003" t="n">
        <v>98367.39999999999</v>
      </c>
      <c r="D1003" t="n">
        <v>458053.2</v>
      </c>
      <c r="E1003">
        <f>E1002+C1003</f>
        <v/>
      </c>
      <c r="F1003">
        <f>IF(C1003&gt;0,D1003/C1003,NA())</f>
        <v/>
      </c>
    </row>
    <row r="1004">
      <c r="A1004" t="inlineStr">
        <is>
          <t>Los Perales</t>
        </is>
      </c>
      <c r="B1004" t="inlineStr">
        <is>
          <t>2007-04</t>
        </is>
      </c>
      <c r="C1004" t="n">
        <v>90267.3</v>
      </c>
      <c r="D1004" t="n">
        <v>442017.8</v>
      </c>
      <c r="E1004">
        <f>E1003+C1004</f>
        <v/>
      </c>
      <c r="F1004">
        <f>IF(C1004&gt;0,D1004/C1004,NA())</f>
        <v/>
      </c>
    </row>
    <row r="1005">
      <c r="A1005" t="inlineStr">
        <is>
          <t>Los Perales</t>
        </is>
      </c>
      <c r="B1005" t="inlineStr">
        <is>
          <t>2007-05</t>
        </is>
      </c>
      <c r="C1005" t="n">
        <v>92315.7</v>
      </c>
      <c r="D1005" t="n">
        <v>473712</v>
      </c>
      <c r="E1005">
        <f>E1004+C1005</f>
        <v/>
      </c>
      <c r="F1005">
        <f>IF(C1005&gt;0,D1005/C1005,NA())</f>
        <v/>
      </c>
    </row>
    <row r="1006">
      <c r="A1006" t="inlineStr">
        <is>
          <t>Los Perales</t>
        </is>
      </c>
      <c r="B1006" t="inlineStr">
        <is>
          <t>2007-06</t>
        </is>
      </c>
      <c r="C1006" t="n">
        <v>88240.5</v>
      </c>
      <c r="D1006" t="n">
        <v>463898.9</v>
      </c>
      <c r="E1006">
        <f>E1005+C1006</f>
        <v/>
      </c>
      <c r="F1006">
        <f>IF(C1006&gt;0,D1006/C1006,NA())</f>
        <v/>
      </c>
    </row>
    <row r="1007">
      <c r="A1007" t="inlineStr">
        <is>
          <t>Los Perales</t>
        </is>
      </c>
      <c r="B1007" t="inlineStr">
        <is>
          <t>2007-07</t>
        </is>
      </c>
      <c r="C1007" t="n">
        <v>80451.5</v>
      </c>
      <c r="D1007" t="n">
        <v>449225.6</v>
      </c>
      <c r="E1007">
        <f>E1006+C1007</f>
        <v/>
      </c>
      <c r="F1007">
        <f>IF(C1007&gt;0,D1007/C1007,NA())</f>
        <v/>
      </c>
    </row>
    <row r="1008">
      <c r="A1008" t="inlineStr">
        <is>
          <t>Los Perales</t>
        </is>
      </c>
      <c r="B1008" t="inlineStr">
        <is>
          <t>2007-08</t>
        </is>
      </c>
      <c r="C1008" t="n">
        <v>89829.39999999999</v>
      </c>
      <c r="D1008" t="n">
        <v>510361.2</v>
      </c>
      <c r="E1008">
        <f>E1007+C1008</f>
        <v/>
      </c>
      <c r="F1008">
        <f>IF(C1008&gt;0,D1008/C1008,NA())</f>
        <v/>
      </c>
    </row>
    <row r="1009">
      <c r="A1009" t="inlineStr">
        <is>
          <t>Los Perales</t>
        </is>
      </c>
      <c r="B1009" t="inlineStr">
        <is>
          <t>2007-09</t>
        </is>
      </c>
      <c r="C1009" t="n">
        <v>86531.89999999999</v>
      </c>
      <c r="D1009" t="n">
        <v>481768.6</v>
      </c>
      <c r="E1009">
        <f>E1008+C1009</f>
        <v/>
      </c>
      <c r="F1009">
        <f>IF(C1009&gt;0,D1009/C1009,NA())</f>
        <v/>
      </c>
    </row>
    <row r="1010">
      <c r="A1010" t="inlineStr">
        <is>
          <t>Los Perales</t>
        </is>
      </c>
      <c r="B1010" t="inlineStr">
        <is>
          <t>2007-10</t>
        </is>
      </c>
      <c r="C1010" t="n">
        <v>93319.5</v>
      </c>
      <c r="D1010" t="n">
        <v>501504.8</v>
      </c>
      <c r="E1010">
        <f>E1009+C1010</f>
        <v/>
      </c>
      <c r="F1010">
        <f>IF(C1010&gt;0,D1010/C1010,NA())</f>
        <v/>
      </c>
    </row>
    <row r="1011">
      <c r="A1011" t="inlineStr">
        <is>
          <t>Los Perales</t>
        </is>
      </c>
      <c r="B1011" t="inlineStr">
        <is>
          <t>2007-11</t>
        </is>
      </c>
      <c r="C1011" t="n">
        <v>75207.3</v>
      </c>
      <c r="D1011" t="n">
        <v>395491</v>
      </c>
      <c r="E1011">
        <f>E1010+C1011</f>
        <v/>
      </c>
      <c r="F1011">
        <f>IF(C1011&gt;0,D1011/C1011,NA())</f>
        <v/>
      </c>
    </row>
    <row r="1012">
      <c r="A1012" t="inlineStr">
        <is>
          <t>Los Perales</t>
        </is>
      </c>
      <c r="B1012" t="inlineStr">
        <is>
          <t>2007-12</t>
        </is>
      </c>
      <c r="C1012" t="n">
        <v>90087.5</v>
      </c>
      <c r="D1012" t="n">
        <v>498449</v>
      </c>
      <c r="E1012">
        <f>E1011+C1012</f>
        <v/>
      </c>
      <c r="F1012">
        <f>IF(C1012&gt;0,D1012/C1012,NA())</f>
        <v/>
      </c>
    </row>
    <row r="1013">
      <c r="A1013" t="inlineStr">
        <is>
          <t>Los Perales</t>
        </is>
      </c>
      <c r="B1013" t="inlineStr">
        <is>
          <t>2008-01</t>
        </is>
      </c>
      <c r="C1013" t="n">
        <v>91825.8</v>
      </c>
      <c r="D1013" t="n">
        <v>508740.6</v>
      </c>
      <c r="E1013">
        <f>E1012+C1013</f>
        <v/>
      </c>
      <c r="F1013">
        <f>IF(C1013&gt;0,D1013/C1013,NA())</f>
        <v/>
      </c>
    </row>
    <row r="1014">
      <c r="A1014" t="inlineStr">
        <is>
          <t>Los Perales</t>
        </is>
      </c>
      <c r="B1014" t="inlineStr">
        <is>
          <t>2008-02</t>
        </is>
      </c>
      <c r="C1014" t="n">
        <v>85037.7</v>
      </c>
      <c r="D1014" t="n">
        <v>478738.1</v>
      </c>
      <c r="E1014">
        <f>E1013+C1014</f>
        <v/>
      </c>
      <c r="F1014">
        <f>IF(C1014&gt;0,D1014/C1014,NA())</f>
        <v/>
      </c>
    </row>
    <row r="1015">
      <c r="A1015" t="inlineStr">
        <is>
          <t>Los Perales</t>
        </is>
      </c>
      <c r="B1015" t="inlineStr">
        <is>
          <t>2008-03</t>
        </is>
      </c>
      <c r="C1015" t="n">
        <v>89029.60000000001</v>
      </c>
      <c r="D1015" t="n">
        <v>504959.3</v>
      </c>
      <c r="E1015">
        <f>E1014+C1015</f>
        <v/>
      </c>
      <c r="F1015">
        <f>IF(C1015&gt;0,D1015/C1015,NA())</f>
        <v/>
      </c>
    </row>
    <row r="1016">
      <c r="A1016" t="inlineStr">
        <is>
          <t>Los Perales</t>
        </is>
      </c>
      <c r="B1016" t="inlineStr">
        <is>
          <t>2008-04</t>
        </is>
      </c>
      <c r="C1016" t="n">
        <v>83991.39999999999</v>
      </c>
      <c r="D1016" t="n">
        <v>492611.6</v>
      </c>
      <c r="E1016">
        <f>E1015+C1016</f>
        <v/>
      </c>
      <c r="F1016">
        <f>IF(C1016&gt;0,D1016/C1016,NA())</f>
        <v/>
      </c>
    </row>
    <row r="1017">
      <c r="A1017" t="inlineStr">
        <is>
          <t>Los Perales</t>
        </is>
      </c>
      <c r="B1017" t="inlineStr">
        <is>
          <t>2008-05</t>
        </is>
      </c>
      <c r="C1017" t="n">
        <v>5857.4</v>
      </c>
      <c r="D1017" t="n">
        <v>47061.3</v>
      </c>
      <c r="E1017">
        <f>E1016+C1017</f>
        <v/>
      </c>
      <c r="F1017">
        <f>IF(C1017&gt;0,D1017/C1017,NA())</f>
        <v/>
      </c>
    </row>
    <row r="1018">
      <c r="A1018" t="inlineStr">
        <is>
          <t>Los Perales</t>
        </is>
      </c>
      <c r="B1018" t="inlineStr">
        <is>
          <t>2008-06</t>
        </is>
      </c>
      <c r="C1018" t="n">
        <v>54418</v>
      </c>
      <c r="D1018" t="n">
        <v>275812.4</v>
      </c>
      <c r="E1018">
        <f>E1017+C1018</f>
        <v/>
      </c>
      <c r="F1018">
        <f>IF(C1018&gt;0,D1018/C1018,NA())</f>
        <v/>
      </c>
    </row>
    <row r="1019">
      <c r="A1019" t="inlineStr">
        <is>
          <t>Los Perales</t>
        </is>
      </c>
      <c r="B1019" t="inlineStr">
        <is>
          <t>2008-07</t>
        </is>
      </c>
      <c r="C1019" t="n">
        <v>82282.89999999999</v>
      </c>
      <c r="D1019" t="n">
        <v>482953.3</v>
      </c>
      <c r="E1019">
        <f>E1018+C1019</f>
        <v/>
      </c>
      <c r="F1019">
        <f>IF(C1019&gt;0,D1019/C1019,NA())</f>
        <v/>
      </c>
    </row>
    <row r="1020">
      <c r="A1020" t="inlineStr">
        <is>
          <t>Los Perales</t>
        </is>
      </c>
      <c r="B1020" t="inlineStr">
        <is>
          <t>2008-08</t>
        </is>
      </c>
      <c r="C1020" t="n">
        <v>80884.60000000001</v>
      </c>
      <c r="D1020" t="n">
        <v>465434.9</v>
      </c>
      <c r="E1020">
        <f>E1019+C1020</f>
        <v/>
      </c>
      <c r="F1020">
        <f>IF(C1020&gt;0,D1020/C1020,NA())</f>
        <v/>
      </c>
    </row>
    <row r="1021">
      <c r="A1021" t="inlineStr">
        <is>
          <t>Los Perales</t>
        </is>
      </c>
      <c r="B1021" t="inlineStr">
        <is>
          <t>2008-09</t>
        </is>
      </c>
      <c r="C1021" t="n">
        <v>83026.2</v>
      </c>
      <c r="D1021" t="n">
        <v>488381.6</v>
      </c>
      <c r="E1021">
        <f>E1020+C1021</f>
        <v/>
      </c>
      <c r="F1021">
        <f>IF(C1021&gt;0,D1021/C1021,NA())</f>
        <v/>
      </c>
    </row>
    <row r="1022">
      <c r="A1022" t="inlineStr">
        <is>
          <t>Los Perales</t>
        </is>
      </c>
      <c r="B1022" t="inlineStr">
        <is>
          <t>2008-10</t>
        </is>
      </c>
      <c r="C1022" t="n">
        <v>86102.39999999999</v>
      </c>
      <c r="D1022" t="n">
        <v>507825.3</v>
      </c>
      <c r="E1022">
        <f>E1021+C1022</f>
        <v/>
      </c>
      <c r="F1022">
        <f>IF(C1022&gt;0,D1022/C1022,NA())</f>
        <v/>
      </c>
    </row>
    <row r="1023">
      <c r="A1023" t="inlineStr">
        <is>
          <t>Los Perales</t>
        </is>
      </c>
      <c r="B1023" t="inlineStr">
        <is>
          <t>2008-11</t>
        </is>
      </c>
      <c r="C1023" t="n">
        <v>84871.60000000001</v>
      </c>
      <c r="D1023" t="n">
        <v>490474.5</v>
      </c>
      <c r="E1023">
        <f>E1022+C1023</f>
        <v/>
      </c>
      <c r="F1023">
        <f>IF(C1023&gt;0,D1023/C1023,NA())</f>
        <v/>
      </c>
    </row>
    <row r="1024">
      <c r="A1024" t="inlineStr">
        <is>
          <t>Los Perales</t>
        </is>
      </c>
      <c r="B1024" t="inlineStr">
        <is>
          <t>2008-12</t>
        </is>
      </c>
      <c r="C1024" t="n">
        <v>79471.39999999999</v>
      </c>
      <c r="D1024" t="n">
        <v>478094.1</v>
      </c>
      <c r="E1024">
        <f>E1023+C1024</f>
        <v/>
      </c>
      <c r="F1024">
        <f>IF(C1024&gt;0,D1024/C1024,NA())</f>
        <v/>
      </c>
    </row>
    <row r="1025">
      <c r="A1025" t="inlineStr">
        <is>
          <t>Los Perales</t>
        </is>
      </c>
      <c r="B1025" t="inlineStr">
        <is>
          <t>2009-01</t>
        </is>
      </c>
      <c r="C1025" t="n">
        <v>82432.8</v>
      </c>
      <c r="D1025" t="n">
        <v>490996.5</v>
      </c>
      <c r="E1025">
        <f>E1024+C1025</f>
        <v/>
      </c>
      <c r="F1025">
        <f>IF(C1025&gt;0,D1025/C1025,NA())</f>
        <v/>
      </c>
    </row>
    <row r="1026">
      <c r="A1026" t="inlineStr">
        <is>
          <t>Los Perales</t>
        </is>
      </c>
      <c r="B1026" t="inlineStr">
        <is>
          <t>2009-02</t>
        </is>
      </c>
      <c r="C1026" t="n">
        <v>73998.3</v>
      </c>
      <c r="D1026" t="n">
        <v>439935.3</v>
      </c>
      <c r="E1026">
        <f>E1025+C1026</f>
        <v/>
      </c>
      <c r="F1026">
        <f>IF(C1026&gt;0,D1026/C1026,NA())</f>
        <v/>
      </c>
    </row>
    <row r="1027">
      <c r="A1027" t="inlineStr">
        <is>
          <t>Los Perales</t>
        </is>
      </c>
      <c r="B1027" t="inlineStr">
        <is>
          <t>2009-03</t>
        </is>
      </c>
      <c r="C1027" t="n">
        <v>78691.60000000001</v>
      </c>
      <c r="D1027" t="n">
        <v>478762.4</v>
      </c>
      <c r="E1027">
        <f>E1026+C1027</f>
        <v/>
      </c>
      <c r="F1027">
        <f>IF(C1027&gt;0,D1027/C1027,NA())</f>
        <v/>
      </c>
    </row>
    <row r="1028">
      <c r="A1028" t="inlineStr">
        <is>
          <t>Los Perales</t>
        </is>
      </c>
      <c r="B1028" t="inlineStr">
        <is>
          <t>2009-04</t>
        </is>
      </c>
      <c r="C1028" t="n">
        <v>74906</v>
      </c>
      <c r="D1028" t="n">
        <v>421495.1</v>
      </c>
      <c r="E1028">
        <f>E1027+C1028</f>
        <v/>
      </c>
      <c r="F1028">
        <f>IF(C1028&gt;0,D1028/C1028,NA())</f>
        <v/>
      </c>
    </row>
    <row r="1029">
      <c r="A1029" t="inlineStr">
        <is>
          <t>Los Perales</t>
        </is>
      </c>
      <c r="B1029" t="inlineStr">
        <is>
          <t>2009-05</t>
        </is>
      </c>
      <c r="C1029" t="n">
        <v>77519.2</v>
      </c>
      <c r="D1029" t="n">
        <v>434783.4</v>
      </c>
      <c r="E1029">
        <f>E1028+C1029</f>
        <v/>
      </c>
      <c r="F1029">
        <f>IF(C1029&gt;0,D1029/C1029,NA())</f>
        <v/>
      </c>
    </row>
    <row r="1030">
      <c r="A1030" t="inlineStr">
        <is>
          <t>Los Perales</t>
        </is>
      </c>
      <c r="B1030" t="inlineStr">
        <is>
          <t>2009-06</t>
        </is>
      </c>
      <c r="C1030" t="n">
        <v>54035</v>
      </c>
      <c r="D1030" t="n">
        <v>323402.2</v>
      </c>
      <c r="E1030">
        <f>E1029+C1030</f>
        <v/>
      </c>
      <c r="F1030">
        <f>IF(C1030&gt;0,D1030/C1030,NA())</f>
        <v/>
      </c>
    </row>
    <row r="1031">
      <c r="A1031" t="inlineStr">
        <is>
          <t>Los Perales</t>
        </is>
      </c>
      <c r="B1031" t="inlineStr">
        <is>
          <t>2009-07</t>
        </is>
      </c>
      <c r="C1031" t="n">
        <v>73032.89999999999</v>
      </c>
      <c r="D1031" t="n">
        <v>422088.2</v>
      </c>
      <c r="E1031">
        <f>E1030+C1031</f>
        <v/>
      </c>
      <c r="F1031">
        <f>IF(C1031&gt;0,D1031/C1031,NA())</f>
        <v/>
      </c>
    </row>
    <row r="1032">
      <c r="A1032" t="inlineStr">
        <is>
          <t>Los Perales</t>
        </is>
      </c>
      <c r="B1032" t="inlineStr">
        <is>
          <t>2009-08</t>
        </is>
      </c>
      <c r="C1032" t="n">
        <v>18588.9</v>
      </c>
      <c r="D1032" t="n">
        <v>122623.6</v>
      </c>
      <c r="E1032">
        <f>E1031+C1032</f>
        <v/>
      </c>
      <c r="F1032">
        <f>IF(C1032&gt;0,D1032/C1032,NA())</f>
        <v/>
      </c>
    </row>
    <row r="1033">
      <c r="A1033" t="inlineStr">
        <is>
          <t>Los Perales</t>
        </is>
      </c>
      <c r="B1033" t="inlineStr">
        <is>
          <t>2009-09</t>
        </is>
      </c>
      <c r="C1033" t="n">
        <v>73307.7</v>
      </c>
      <c r="D1033" t="n">
        <v>431948.8</v>
      </c>
      <c r="E1033">
        <f>E1032+C1033</f>
        <v/>
      </c>
      <c r="F1033">
        <f>IF(C1033&gt;0,D1033/C1033,NA())</f>
        <v/>
      </c>
    </row>
    <row r="1034">
      <c r="A1034" t="inlineStr">
        <is>
          <t>Los Perales</t>
        </is>
      </c>
      <c r="B1034" t="inlineStr">
        <is>
          <t>2009-10</t>
        </is>
      </c>
      <c r="C1034" t="n">
        <v>75574.60000000001</v>
      </c>
      <c r="D1034" t="n">
        <v>464623.5</v>
      </c>
      <c r="E1034">
        <f>E1033+C1034</f>
        <v/>
      </c>
      <c r="F1034">
        <f>IF(C1034&gt;0,D1034/C1034,NA())</f>
        <v/>
      </c>
    </row>
    <row r="1035">
      <c r="A1035" t="inlineStr">
        <is>
          <t>Los Perales</t>
        </is>
      </c>
      <c r="B1035" t="inlineStr">
        <is>
          <t>2009-11</t>
        </is>
      </c>
      <c r="C1035" t="n">
        <v>62488.1</v>
      </c>
      <c r="D1035" t="n">
        <v>383903.2</v>
      </c>
      <c r="E1035">
        <f>E1034+C1035</f>
        <v/>
      </c>
      <c r="F1035">
        <f>IF(C1035&gt;0,D1035/C1035,NA())</f>
        <v/>
      </c>
    </row>
    <row r="1036">
      <c r="A1036" t="inlineStr">
        <is>
          <t>Los Perales</t>
        </is>
      </c>
      <c r="B1036" t="inlineStr">
        <is>
          <t>2009-12</t>
        </is>
      </c>
      <c r="C1036" t="n">
        <v>65384.5</v>
      </c>
      <c r="D1036" t="n">
        <v>399623.6</v>
      </c>
      <c r="E1036">
        <f>E1035+C1036</f>
        <v/>
      </c>
      <c r="F1036">
        <f>IF(C1036&gt;0,D1036/C1036,NA())</f>
        <v/>
      </c>
    </row>
    <row r="1037">
      <c r="A1037" t="inlineStr">
        <is>
          <t>Los Perales</t>
        </is>
      </c>
      <c r="B1037" t="inlineStr">
        <is>
          <t>2010-01</t>
        </is>
      </c>
      <c r="C1037" t="n">
        <v>74249.60000000001</v>
      </c>
      <c r="D1037" t="n">
        <v>470958.6</v>
      </c>
      <c r="E1037">
        <f>E1036+C1037</f>
        <v/>
      </c>
      <c r="F1037">
        <f>IF(C1037&gt;0,D1037/C1037,NA())</f>
        <v/>
      </c>
    </row>
    <row r="1038">
      <c r="A1038" t="inlineStr">
        <is>
          <t>Los Perales</t>
        </is>
      </c>
      <c r="B1038" t="inlineStr">
        <is>
          <t>2010-02</t>
        </is>
      </c>
      <c r="C1038" t="n">
        <v>66640</v>
      </c>
      <c r="D1038" t="n">
        <v>436181.8</v>
      </c>
      <c r="E1038">
        <f>E1037+C1038</f>
        <v/>
      </c>
      <c r="F1038">
        <f>IF(C1038&gt;0,D1038/C1038,NA())</f>
        <v/>
      </c>
    </row>
    <row r="1039">
      <c r="A1039" t="inlineStr">
        <is>
          <t>Los Perales</t>
        </is>
      </c>
      <c r="B1039" t="inlineStr">
        <is>
          <t>2010-03</t>
        </is>
      </c>
      <c r="C1039" t="n">
        <v>71013</v>
      </c>
      <c r="D1039" t="n">
        <v>509643.6</v>
      </c>
      <c r="E1039">
        <f>E1038+C1039</f>
        <v/>
      </c>
      <c r="F1039">
        <f>IF(C1039&gt;0,D1039/C1039,NA())</f>
        <v/>
      </c>
    </row>
    <row r="1040">
      <c r="A1040" t="inlineStr">
        <is>
          <t>Los Perales</t>
        </is>
      </c>
      <c r="B1040" t="inlineStr">
        <is>
          <t>2010-04</t>
        </is>
      </c>
      <c r="C1040" t="n">
        <v>67691.39999999999</v>
      </c>
      <c r="D1040" t="n">
        <v>501863.3</v>
      </c>
      <c r="E1040">
        <f>E1039+C1040</f>
        <v/>
      </c>
      <c r="F1040">
        <f>IF(C1040&gt;0,D1040/C1040,NA())</f>
        <v/>
      </c>
    </row>
    <row r="1041">
      <c r="A1041" t="inlineStr">
        <is>
          <t>Los Perales</t>
        </is>
      </c>
      <c r="B1041" t="inlineStr">
        <is>
          <t>2010-05</t>
        </is>
      </c>
      <c r="C1041" t="n">
        <v>71143.5</v>
      </c>
      <c r="D1041" t="n">
        <v>525039.3</v>
      </c>
      <c r="E1041">
        <f>E1040+C1041</f>
        <v/>
      </c>
      <c r="F1041">
        <f>IF(C1041&gt;0,D1041/C1041,NA())</f>
        <v/>
      </c>
    </row>
    <row r="1042">
      <c r="A1042" t="inlineStr">
        <is>
          <t>Los Perales</t>
        </is>
      </c>
      <c r="B1042" t="inlineStr">
        <is>
          <t>2010-06</t>
        </is>
      </c>
      <c r="C1042" t="n">
        <v>66430.39999999999</v>
      </c>
      <c r="D1042" t="n">
        <v>457936.3</v>
      </c>
      <c r="E1042">
        <f>E1041+C1042</f>
        <v/>
      </c>
      <c r="F1042">
        <f>IF(C1042&gt;0,D1042/C1042,NA())</f>
        <v/>
      </c>
    </row>
    <row r="1043">
      <c r="A1043" t="inlineStr">
        <is>
          <t>Los Perales</t>
        </is>
      </c>
      <c r="B1043" t="inlineStr">
        <is>
          <t>2010-07</t>
        </is>
      </c>
      <c r="C1043" t="n">
        <v>66498.3</v>
      </c>
      <c r="D1043" t="n">
        <v>440531.3</v>
      </c>
      <c r="E1043">
        <f>E1042+C1043</f>
        <v/>
      </c>
      <c r="F1043">
        <f>IF(C1043&gt;0,D1043/C1043,NA())</f>
        <v/>
      </c>
    </row>
    <row r="1044">
      <c r="A1044" t="inlineStr">
        <is>
          <t>Los Perales</t>
        </is>
      </c>
      <c r="B1044" t="inlineStr">
        <is>
          <t>2010-08</t>
        </is>
      </c>
      <c r="C1044" t="n">
        <v>65673.89999999999</v>
      </c>
      <c r="D1044" t="n">
        <v>458814</v>
      </c>
      <c r="E1044">
        <f>E1043+C1044</f>
        <v/>
      </c>
      <c r="F1044">
        <f>IF(C1044&gt;0,D1044/C1044,NA())</f>
        <v/>
      </c>
    </row>
    <row r="1045">
      <c r="A1045" t="inlineStr">
        <is>
          <t>Los Perales</t>
        </is>
      </c>
      <c r="B1045" t="inlineStr">
        <is>
          <t>2010-09</t>
        </is>
      </c>
      <c r="C1045" t="n">
        <v>65663.39999999999</v>
      </c>
      <c r="D1045" t="n">
        <v>503505</v>
      </c>
      <c r="E1045">
        <f>E1044+C1045</f>
        <v/>
      </c>
      <c r="F1045">
        <f>IF(C1045&gt;0,D1045/C1045,NA())</f>
        <v/>
      </c>
    </row>
    <row r="1046">
      <c r="A1046" t="inlineStr">
        <is>
          <t>Los Perales</t>
        </is>
      </c>
      <c r="B1046" t="inlineStr">
        <is>
          <t>2010-10</t>
        </is>
      </c>
      <c r="C1046" t="n">
        <v>69102.60000000001</v>
      </c>
      <c r="D1046" t="n">
        <v>531067.6</v>
      </c>
      <c r="E1046">
        <f>E1045+C1046</f>
        <v/>
      </c>
      <c r="F1046">
        <f>IF(C1046&gt;0,D1046/C1046,NA())</f>
        <v/>
      </c>
    </row>
    <row r="1047">
      <c r="A1047" t="inlineStr">
        <is>
          <t>Los Perales</t>
        </is>
      </c>
      <c r="B1047" t="inlineStr">
        <is>
          <t>2010-11</t>
        </is>
      </c>
      <c r="C1047" t="n">
        <v>61306.3</v>
      </c>
      <c r="D1047" t="n">
        <v>481355.3</v>
      </c>
      <c r="E1047">
        <f>E1046+C1047</f>
        <v/>
      </c>
      <c r="F1047">
        <f>IF(C1047&gt;0,D1047/C1047,NA())</f>
        <v/>
      </c>
    </row>
    <row r="1048">
      <c r="A1048" t="inlineStr">
        <is>
          <t>Los Perales</t>
        </is>
      </c>
      <c r="B1048" t="inlineStr">
        <is>
          <t>2010-12</t>
        </is>
      </c>
      <c r="C1048" t="n">
        <v>26483.8</v>
      </c>
      <c r="D1048" t="n">
        <v>200671.4</v>
      </c>
      <c r="E1048">
        <f>E1047+C1048</f>
        <v/>
      </c>
      <c r="F1048">
        <f>IF(C1048&gt;0,D1048/C1048,NA())</f>
        <v/>
      </c>
    </row>
    <row r="1049">
      <c r="A1049" t="inlineStr">
        <is>
          <t>Los Perales</t>
        </is>
      </c>
      <c r="B1049" t="inlineStr">
        <is>
          <t>2011-01</t>
        </is>
      </c>
      <c r="C1049" t="n">
        <v>64184.3</v>
      </c>
      <c r="D1049" t="n">
        <v>503269.3</v>
      </c>
      <c r="E1049">
        <f>E1048+C1049</f>
        <v/>
      </c>
      <c r="F1049">
        <f>IF(C1049&gt;0,D1049/C1049,NA())</f>
        <v/>
      </c>
    </row>
    <row r="1050">
      <c r="A1050" t="inlineStr">
        <is>
          <t>Los Perales</t>
        </is>
      </c>
      <c r="B1050" t="inlineStr">
        <is>
          <t>2011-02</t>
        </is>
      </c>
      <c r="C1050" t="n">
        <v>61957.7</v>
      </c>
      <c r="D1050" t="n">
        <v>484444.3</v>
      </c>
      <c r="E1050">
        <f>E1049+C1050</f>
        <v/>
      </c>
      <c r="F1050">
        <f>IF(C1050&gt;0,D1050/C1050,NA())</f>
        <v/>
      </c>
    </row>
    <row r="1051">
      <c r="A1051" t="inlineStr">
        <is>
          <t>Los Perales</t>
        </is>
      </c>
      <c r="B1051" t="inlineStr">
        <is>
          <t>2011-03</t>
        </is>
      </c>
      <c r="C1051" t="n">
        <v>66423.8</v>
      </c>
      <c r="D1051" t="n">
        <v>510888.3</v>
      </c>
      <c r="E1051">
        <f>E1050+C1051</f>
        <v/>
      </c>
      <c r="F1051">
        <f>IF(C1051&gt;0,D1051/C1051,NA())</f>
        <v/>
      </c>
    </row>
    <row r="1052">
      <c r="A1052" t="inlineStr">
        <is>
          <t>Los Perales</t>
        </is>
      </c>
      <c r="B1052" t="inlineStr">
        <is>
          <t>2011-04</t>
        </is>
      </c>
      <c r="C1052" t="n">
        <v>2685.4</v>
      </c>
      <c r="D1052" t="n">
        <v>11123</v>
      </c>
      <c r="E1052">
        <f>E1051+C1052</f>
        <v/>
      </c>
      <c r="F1052">
        <f>IF(C1052&gt;0,D1052/C1052,NA())</f>
        <v/>
      </c>
    </row>
    <row r="1053">
      <c r="A1053" t="inlineStr">
        <is>
          <t>Los Perales</t>
        </is>
      </c>
      <c r="B1053" t="inlineStr">
        <is>
          <t>2011-05</t>
        </is>
      </c>
      <c r="C1053" t="n">
        <v>19576.9</v>
      </c>
      <c r="D1053" t="n">
        <v>185510.1</v>
      </c>
      <c r="E1053">
        <f>E1052+C1053</f>
        <v/>
      </c>
      <c r="F1053">
        <f>IF(C1053&gt;0,D1053/C1053,NA())</f>
        <v/>
      </c>
    </row>
    <row r="1054">
      <c r="A1054" t="inlineStr">
        <is>
          <t>Los Perales</t>
        </is>
      </c>
      <c r="B1054" t="inlineStr">
        <is>
          <t>2011-06</t>
        </is>
      </c>
      <c r="C1054" t="n">
        <v>8094</v>
      </c>
      <c r="D1054" t="n">
        <v>73658.2</v>
      </c>
      <c r="E1054">
        <f>E1053+C1054</f>
        <v/>
      </c>
      <c r="F1054">
        <f>IF(C1054&gt;0,D1054/C1054,NA())</f>
        <v/>
      </c>
    </row>
    <row r="1055">
      <c r="A1055" t="inlineStr">
        <is>
          <t>Los Perales</t>
        </is>
      </c>
      <c r="B1055" t="inlineStr">
        <is>
          <t>2011-07</t>
        </is>
      </c>
      <c r="C1055" t="n">
        <v>30087.3</v>
      </c>
      <c r="D1055" t="n">
        <v>216865</v>
      </c>
      <c r="E1055">
        <f>E1054+C1055</f>
        <v/>
      </c>
      <c r="F1055">
        <f>IF(C1055&gt;0,D1055/C1055,NA())</f>
        <v/>
      </c>
    </row>
    <row r="1056">
      <c r="A1056" t="inlineStr">
        <is>
          <t>Los Perales</t>
        </is>
      </c>
      <c r="B1056" t="inlineStr">
        <is>
          <t>2011-08</t>
        </is>
      </c>
      <c r="C1056" t="n">
        <v>66638.10000000001</v>
      </c>
      <c r="D1056" t="n">
        <v>504312.1</v>
      </c>
      <c r="E1056">
        <f>E1055+C1056</f>
        <v/>
      </c>
      <c r="F1056">
        <f>IF(C1056&gt;0,D1056/C1056,NA())</f>
        <v/>
      </c>
    </row>
    <row r="1057">
      <c r="A1057" t="inlineStr">
        <is>
          <t>Los Perales</t>
        </is>
      </c>
      <c r="B1057" t="inlineStr">
        <is>
          <t>2011-09</t>
        </is>
      </c>
      <c r="C1057" t="n">
        <v>63996.5</v>
      </c>
      <c r="D1057" t="n">
        <v>517015.1</v>
      </c>
      <c r="E1057">
        <f>E1056+C1057</f>
        <v/>
      </c>
      <c r="F1057">
        <f>IF(C1057&gt;0,D1057/C1057,NA())</f>
        <v/>
      </c>
    </row>
    <row r="1058">
      <c r="A1058" t="inlineStr">
        <is>
          <t>Los Perales</t>
        </is>
      </c>
      <c r="B1058" t="inlineStr">
        <is>
          <t>2011-10</t>
        </is>
      </c>
      <c r="C1058" t="n">
        <v>67971.3</v>
      </c>
      <c r="D1058" t="n">
        <v>538327.4</v>
      </c>
      <c r="E1058">
        <f>E1057+C1058</f>
        <v/>
      </c>
      <c r="F1058">
        <f>IF(C1058&gt;0,D1058/C1058,NA())</f>
        <v/>
      </c>
    </row>
    <row r="1059">
      <c r="A1059" t="inlineStr">
        <is>
          <t>Los Perales</t>
        </is>
      </c>
      <c r="B1059" t="inlineStr">
        <is>
          <t>2011-11</t>
        </is>
      </c>
      <c r="C1059" t="n">
        <v>66492.10000000001</v>
      </c>
      <c r="D1059" t="n">
        <v>542027.1</v>
      </c>
      <c r="E1059">
        <f>E1058+C1059</f>
        <v/>
      </c>
      <c r="F1059">
        <f>IF(C1059&gt;0,D1059/C1059,NA())</f>
        <v/>
      </c>
    </row>
    <row r="1060">
      <c r="A1060" t="inlineStr">
        <is>
          <t>Los Perales</t>
        </is>
      </c>
      <c r="B1060" t="inlineStr">
        <is>
          <t>2011-12</t>
        </is>
      </c>
      <c r="C1060" t="n">
        <v>68289.10000000001</v>
      </c>
      <c r="D1060" t="n">
        <v>562852.9</v>
      </c>
      <c r="E1060">
        <f>E1059+C1060</f>
        <v/>
      </c>
      <c r="F1060">
        <f>IF(C1060&gt;0,D1060/C1060,NA())</f>
        <v/>
      </c>
    </row>
    <row r="1061">
      <c r="A1061" t="inlineStr">
        <is>
          <t>Los Perales</t>
        </is>
      </c>
      <c r="B1061" t="inlineStr">
        <is>
          <t>2012-01</t>
        </is>
      </c>
      <c r="C1061" t="n">
        <v>67494.2</v>
      </c>
      <c r="D1061" t="n">
        <v>564923.6</v>
      </c>
      <c r="E1061">
        <f>E1060+C1061</f>
        <v/>
      </c>
      <c r="F1061">
        <f>IF(C1061&gt;0,D1061/C1061,NA())</f>
        <v/>
      </c>
    </row>
    <row r="1062">
      <c r="A1062" t="inlineStr">
        <is>
          <t>Los Perales</t>
        </is>
      </c>
      <c r="B1062" t="inlineStr">
        <is>
          <t>2012-02</t>
        </is>
      </c>
      <c r="C1062" t="n">
        <v>62560.7</v>
      </c>
      <c r="D1062" t="n">
        <v>532076.3</v>
      </c>
      <c r="E1062">
        <f>E1061+C1062</f>
        <v/>
      </c>
      <c r="F1062">
        <f>IF(C1062&gt;0,D1062/C1062,NA())</f>
        <v/>
      </c>
    </row>
    <row r="1063">
      <c r="A1063" t="inlineStr">
        <is>
          <t>Los Perales</t>
        </is>
      </c>
      <c r="B1063" t="inlineStr">
        <is>
          <t>2012-03</t>
        </is>
      </c>
      <c r="C1063" t="n">
        <v>66884.39999999999</v>
      </c>
      <c r="D1063" t="n">
        <v>571103.4</v>
      </c>
      <c r="E1063">
        <f>E1062+C1063</f>
        <v/>
      </c>
      <c r="F1063">
        <f>IF(C1063&gt;0,D1063/C1063,NA())</f>
        <v/>
      </c>
    </row>
    <row r="1064">
      <c r="A1064" t="inlineStr">
        <is>
          <t>Los Perales</t>
        </is>
      </c>
      <c r="B1064" t="inlineStr">
        <is>
          <t>2012-04</t>
        </is>
      </c>
      <c r="C1064" t="n">
        <v>63504.4</v>
      </c>
      <c r="D1064" t="n">
        <v>546681</v>
      </c>
      <c r="E1064">
        <f>E1063+C1064</f>
        <v/>
      </c>
      <c r="F1064">
        <f>IF(C1064&gt;0,D1064/C1064,NA())</f>
        <v/>
      </c>
    </row>
    <row r="1065">
      <c r="A1065" t="inlineStr">
        <is>
          <t>Los Perales</t>
        </is>
      </c>
      <c r="B1065" t="inlineStr">
        <is>
          <t>2012-05</t>
        </is>
      </c>
      <c r="C1065" t="n">
        <v>65952</v>
      </c>
      <c r="D1065" t="n">
        <v>610340.4</v>
      </c>
      <c r="E1065">
        <f>E1064+C1065</f>
        <v/>
      </c>
      <c r="F1065">
        <f>IF(C1065&gt;0,D1065/C1065,NA())</f>
        <v/>
      </c>
    </row>
    <row r="1066">
      <c r="A1066" t="inlineStr">
        <is>
          <t>Los Perales</t>
        </is>
      </c>
      <c r="B1066" t="inlineStr">
        <is>
          <t>2012-06</t>
        </is>
      </c>
      <c r="C1066" t="n">
        <v>62178.6</v>
      </c>
      <c r="D1066" t="n">
        <v>602094</v>
      </c>
      <c r="E1066">
        <f>E1065+C1066</f>
        <v/>
      </c>
      <c r="F1066">
        <f>IF(C1066&gt;0,D1066/C1066,NA())</f>
        <v/>
      </c>
    </row>
    <row r="1067">
      <c r="A1067" t="inlineStr">
        <is>
          <t>Los Perales</t>
        </is>
      </c>
      <c r="B1067" t="inlineStr">
        <is>
          <t>2012-07</t>
        </is>
      </c>
      <c r="C1067" t="n">
        <v>62458.2</v>
      </c>
      <c r="D1067" t="n">
        <v>569920.7</v>
      </c>
      <c r="E1067">
        <f>E1066+C1067</f>
        <v/>
      </c>
      <c r="F1067">
        <f>IF(C1067&gt;0,D1067/C1067,NA())</f>
        <v/>
      </c>
    </row>
    <row r="1068">
      <c r="A1068" t="inlineStr">
        <is>
          <t>Los Perales</t>
        </is>
      </c>
      <c r="B1068" t="inlineStr">
        <is>
          <t>2012-08</t>
        </is>
      </c>
      <c r="C1068" t="n">
        <v>64687.1</v>
      </c>
      <c r="D1068" t="n">
        <v>584229.1</v>
      </c>
      <c r="E1068">
        <f>E1067+C1068</f>
        <v/>
      </c>
      <c r="F1068">
        <f>IF(C1068&gt;0,D1068/C1068,NA())</f>
        <v/>
      </c>
    </row>
    <row r="1069">
      <c r="A1069" t="inlineStr">
        <is>
          <t>Los Perales</t>
        </is>
      </c>
      <c r="B1069" t="inlineStr">
        <is>
          <t>2012-09</t>
        </is>
      </c>
      <c r="C1069" t="n">
        <v>62230.7</v>
      </c>
      <c r="D1069" t="n">
        <v>539514</v>
      </c>
      <c r="E1069">
        <f>E1068+C1069</f>
        <v/>
      </c>
      <c r="F1069">
        <f>IF(C1069&gt;0,D1069/C1069,NA())</f>
        <v/>
      </c>
    </row>
    <row r="1070">
      <c r="A1070" t="inlineStr">
        <is>
          <t>Los Perales</t>
        </is>
      </c>
      <c r="B1070" t="inlineStr">
        <is>
          <t>2012-10</t>
        </is>
      </c>
      <c r="C1070" t="n">
        <v>65419.2</v>
      </c>
      <c r="D1070" t="n">
        <v>555212.3</v>
      </c>
      <c r="E1070">
        <f>E1069+C1070</f>
        <v/>
      </c>
      <c r="F1070">
        <f>IF(C1070&gt;0,D1070/C1070,NA())</f>
        <v/>
      </c>
    </row>
    <row r="1071">
      <c r="A1071" t="inlineStr">
        <is>
          <t>Los Perales</t>
        </is>
      </c>
      <c r="B1071" t="inlineStr">
        <is>
          <t>2012-11</t>
        </is>
      </c>
      <c r="C1071" t="n">
        <v>61373.2</v>
      </c>
      <c r="D1071" t="n">
        <v>543045.1</v>
      </c>
      <c r="E1071">
        <f>E1070+C1071</f>
        <v/>
      </c>
      <c r="F1071">
        <f>IF(C1071&gt;0,D1071/C1071,NA())</f>
        <v/>
      </c>
    </row>
    <row r="1072">
      <c r="A1072" t="inlineStr">
        <is>
          <t>Los Perales</t>
        </is>
      </c>
      <c r="B1072" t="inlineStr">
        <is>
          <t>2012-12</t>
        </is>
      </c>
      <c r="C1072" t="n">
        <v>64737.6</v>
      </c>
      <c r="D1072" t="n">
        <v>591916.8</v>
      </c>
      <c r="E1072">
        <f>E1071+C1072</f>
        <v/>
      </c>
      <c r="F1072">
        <f>IF(C1072&gt;0,D1072/C1072,NA())</f>
        <v/>
      </c>
    </row>
    <row r="1073">
      <c r="A1073" t="inlineStr">
        <is>
          <t>Los Perales</t>
        </is>
      </c>
      <c r="B1073" t="inlineStr">
        <is>
          <t>2013-01</t>
        </is>
      </c>
      <c r="C1073" t="n">
        <v>63803.2</v>
      </c>
      <c r="D1073" t="n">
        <v>589815.1</v>
      </c>
      <c r="E1073">
        <f>E1072+C1073</f>
        <v/>
      </c>
      <c r="F1073">
        <f>IF(C1073&gt;0,D1073/C1073,NA())</f>
        <v/>
      </c>
    </row>
    <row r="1074">
      <c r="A1074" t="inlineStr">
        <is>
          <t>Los Perales</t>
        </is>
      </c>
      <c r="B1074" t="inlineStr">
        <is>
          <t>2013-02</t>
        </is>
      </c>
      <c r="C1074" t="n">
        <v>58575.7</v>
      </c>
      <c r="D1074" t="n">
        <v>517769.5</v>
      </c>
      <c r="E1074">
        <f>E1073+C1074</f>
        <v/>
      </c>
      <c r="F1074">
        <f>IF(C1074&gt;0,D1074/C1074,NA())</f>
        <v/>
      </c>
    </row>
    <row r="1075">
      <c r="A1075" t="inlineStr">
        <is>
          <t>Los Perales</t>
        </is>
      </c>
      <c r="B1075" t="inlineStr">
        <is>
          <t>2013-03</t>
        </is>
      </c>
      <c r="C1075" t="n">
        <v>66310.2</v>
      </c>
      <c r="D1075" t="n">
        <v>595721.5</v>
      </c>
      <c r="E1075">
        <f>E1074+C1075</f>
        <v/>
      </c>
      <c r="F1075">
        <f>IF(C1075&gt;0,D1075/C1075,NA())</f>
        <v/>
      </c>
    </row>
    <row r="1076">
      <c r="A1076" t="inlineStr">
        <is>
          <t>Los Perales</t>
        </is>
      </c>
      <c r="B1076" t="inlineStr">
        <is>
          <t>2013-04</t>
        </is>
      </c>
      <c r="C1076" t="n">
        <v>60840.6</v>
      </c>
      <c r="D1076" t="n">
        <v>600406.7</v>
      </c>
      <c r="E1076">
        <f>E1075+C1076</f>
        <v/>
      </c>
      <c r="F1076">
        <f>IF(C1076&gt;0,D1076/C1076,NA())</f>
        <v/>
      </c>
    </row>
    <row r="1077">
      <c r="A1077" t="inlineStr">
        <is>
          <t>Los Perales</t>
        </is>
      </c>
      <c r="B1077" t="inlineStr">
        <is>
          <t>2013-05</t>
        </is>
      </c>
      <c r="C1077" t="n">
        <v>64773.7</v>
      </c>
      <c r="D1077" t="n">
        <v>667258.8</v>
      </c>
      <c r="E1077">
        <f>E1076+C1077</f>
        <v/>
      </c>
      <c r="F1077">
        <f>IF(C1077&gt;0,D1077/C1077,NA())</f>
        <v/>
      </c>
    </row>
    <row r="1078">
      <c r="A1078" t="inlineStr">
        <is>
          <t>Los Perales</t>
        </is>
      </c>
      <c r="B1078" t="inlineStr">
        <is>
          <t>2013-06</t>
        </is>
      </c>
      <c r="C1078" t="n">
        <v>63199.1</v>
      </c>
      <c r="D1078" t="n">
        <v>656302.3</v>
      </c>
      <c r="E1078">
        <f>E1077+C1078</f>
        <v/>
      </c>
      <c r="F1078">
        <f>IF(C1078&gt;0,D1078/C1078,NA())</f>
        <v/>
      </c>
    </row>
    <row r="1079">
      <c r="A1079" t="inlineStr">
        <is>
          <t>Los Perales</t>
        </is>
      </c>
      <c r="B1079" t="inlineStr">
        <is>
          <t>2013-07</t>
        </is>
      </c>
      <c r="C1079" t="n">
        <v>64422.3</v>
      </c>
      <c r="D1079" t="n">
        <v>682607.7</v>
      </c>
      <c r="E1079">
        <f>E1078+C1079</f>
        <v/>
      </c>
      <c r="F1079">
        <f>IF(C1079&gt;0,D1079/C1079,NA())</f>
        <v/>
      </c>
    </row>
    <row r="1080">
      <c r="A1080" t="inlineStr">
        <is>
          <t>Los Perales</t>
        </is>
      </c>
      <c r="B1080" t="inlineStr">
        <is>
          <t>2013-08</t>
        </is>
      </c>
      <c r="C1080" t="n">
        <v>65217.6</v>
      </c>
      <c r="D1080" t="n">
        <v>686224.8</v>
      </c>
      <c r="E1080">
        <f>E1079+C1080</f>
        <v/>
      </c>
      <c r="F1080">
        <f>IF(C1080&gt;0,D1080/C1080,NA())</f>
        <v/>
      </c>
    </row>
    <row r="1081">
      <c r="A1081" t="inlineStr">
        <is>
          <t>Los Perales</t>
        </is>
      </c>
      <c r="B1081" t="inlineStr">
        <is>
          <t>2013-09</t>
        </is>
      </c>
      <c r="C1081" t="n">
        <v>63072.4</v>
      </c>
      <c r="D1081" t="n">
        <v>660804.2</v>
      </c>
      <c r="E1081">
        <f>E1080+C1081</f>
        <v/>
      </c>
      <c r="F1081">
        <f>IF(C1081&gt;0,D1081/C1081,NA())</f>
        <v/>
      </c>
    </row>
    <row r="1082">
      <c r="A1082" t="inlineStr">
        <is>
          <t>Los Perales</t>
        </is>
      </c>
      <c r="B1082" t="inlineStr">
        <is>
          <t>2013-10</t>
        </is>
      </c>
      <c r="C1082" t="n">
        <v>64636.4</v>
      </c>
      <c r="D1082" t="n">
        <v>705946.9</v>
      </c>
      <c r="E1082">
        <f>E1081+C1082</f>
        <v/>
      </c>
      <c r="F1082">
        <f>IF(C1082&gt;0,D1082/C1082,NA())</f>
        <v/>
      </c>
    </row>
    <row r="1083">
      <c r="A1083" t="inlineStr">
        <is>
          <t>Los Perales</t>
        </is>
      </c>
      <c r="B1083" t="inlineStr">
        <is>
          <t>2013-11</t>
        </is>
      </c>
      <c r="C1083" t="n">
        <v>62828.7</v>
      </c>
      <c r="D1083" t="n">
        <v>683080.9</v>
      </c>
      <c r="E1083">
        <f>E1082+C1083</f>
        <v/>
      </c>
      <c r="F1083">
        <f>IF(C1083&gt;0,D1083/C1083,NA())</f>
        <v/>
      </c>
    </row>
    <row r="1084">
      <c r="A1084" t="inlineStr">
        <is>
          <t>Los Perales</t>
        </is>
      </c>
      <c r="B1084" t="inlineStr">
        <is>
          <t>2013-12</t>
        </is>
      </c>
      <c r="C1084" t="n">
        <v>64679.4</v>
      </c>
      <c r="D1084" t="n">
        <v>703848.9</v>
      </c>
      <c r="E1084">
        <f>E1083+C1084</f>
        <v/>
      </c>
      <c r="F1084">
        <f>IF(C1084&gt;0,D1084/C1084,NA())</f>
        <v/>
      </c>
    </row>
    <row r="1085">
      <c r="A1085" t="inlineStr">
        <is>
          <t>Los Perales</t>
        </is>
      </c>
      <c r="B1085" t="inlineStr">
        <is>
          <t>2014-01</t>
        </is>
      </c>
      <c r="C1085" t="n">
        <v>64280.7</v>
      </c>
      <c r="D1085" t="n">
        <v>676392</v>
      </c>
      <c r="E1085">
        <f>E1084+C1085</f>
        <v/>
      </c>
      <c r="F1085">
        <f>IF(C1085&gt;0,D1085/C1085,NA())</f>
        <v/>
      </c>
    </row>
    <row r="1086">
      <c r="A1086" t="inlineStr">
        <is>
          <t>Los Perales</t>
        </is>
      </c>
      <c r="B1086" t="inlineStr">
        <is>
          <t>2014-02</t>
        </is>
      </c>
      <c r="C1086" t="n">
        <v>58499.7</v>
      </c>
      <c r="D1086" t="n">
        <v>610439.7</v>
      </c>
      <c r="E1086">
        <f>E1085+C1086</f>
        <v/>
      </c>
      <c r="F1086">
        <f>IF(C1086&gt;0,D1086/C1086,NA())</f>
        <v/>
      </c>
    </row>
    <row r="1087">
      <c r="A1087" t="inlineStr">
        <is>
          <t>Los Perales</t>
        </is>
      </c>
      <c r="B1087" t="inlineStr">
        <is>
          <t>2014-03</t>
        </is>
      </c>
      <c r="C1087" t="n">
        <v>65742.39999999999</v>
      </c>
      <c r="D1087" t="n">
        <v>707109.4</v>
      </c>
      <c r="E1087">
        <f>E1086+C1087</f>
        <v/>
      </c>
      <c r="F1087">
        <f>IF(C1087&gt;0,D1087/C1087,NA())</f>
        <v/>
      </c>
    </row>
    <row r="1088">
      <c r="A1088" t="inlineStr">
        <is>
          <t>Los Perales</t>
        </is>
      </c>
      <c r="B1088" t="inlineStr">
        <is>
          <t>2014-04</t>
        </is>
      </c>
      <c r="C1088" t="n">
        <v>61876.3</v>
      </c>
      <c r="D1088" t="n">
        <v>684315.6</v>
      </c>
      <c r="E1088">
        <f>E1087+C1088</f>
        <v/>
      </c>
      <c r="F1088">
        <f>IF(C1088&gt;0,D1088/C1088,NA())</f>
        <v/>
      </c>
    </row>
    <row r="1089">
      <c r="A1089" t="inlineStr">
        <is>
          <t>Los Perales</t>
        </is>
      </c>
      <c r="B1089" t="inlineStr">
        <is>
          <t>2014-05</t>
        </is>
      </c>
      <c r="C1089" t="n">
        <v>61884.5</v>
      </c>
      <c r="D1089" t="n">
        <v>717779.2</v>
      </c>
      <c r="E1089">
        <f>E1088+C1089</f>
        <v/>
      </c>
      <c r="F1089">
        <f>IF(C1089&gt;0,D1089/C1089,NA())</f>
        <v/>
      </c>
    </row>
    <row r="1090">
      <c r="A1090" t="inlineStr">
        <is>
          <t>Los Perales</t>
        </is>
      </c>
      <c r="B1090" t="inlineStr">
        <is>
          <t>2014-06</t>
        </is>
      </c>
      <c r="C1090" t="n">
        <v>58540.5</v>
      </c>
      <c r="D1090" t="n">
        <v>701798.8</v>
      </c>
      <c r="E1090">
        <f>E1089+C1090</f>
        <v/>
      </c>
      <c r="F1090">
        <f>IF(C1090&gt;0,D1090/C1090,NA())</f>
        <v/>
      </c>
    </row>
    <row r="1091">
      <c r="A1091" t="inlineStr">
        <is>
          <t>Los Perales</t>
        </is>
      </c>
      <c r="B1091" t="inlineStr">
        <is>
          <t>2014-07</t>
        </is>
      </c>
      <c r="C1091" t="n">
        <v>60323.8</v>
      </c>
      <c r="D1091" t="n">
        <v>751397.1</v>
      </c>
      <c r="E1091">
        <f>E1090+C1091</f>
        <v/>
      </c>
      <c r="F1091">
        <f>IF(C1091&gt;0,D1091/C1091,NA())</f>
        <v/>
      </c>
    </row>
    <row r="1092">
      <c r="A1092" t="inlineStr">
        <is>
          <t>Los Perales</t>
        </is>
      </c>
      <c r="B1092" t="inlineStr">
        <is>
          <t>2014-08</t>
        </is>
      </c>
      <c r="C1092" t="n">
        <v>61524.9</v>
      </c>
      <c r="D1092" t="n">
        <v>765825.9</v>
      </c>
      <c r="E1092">
        <f>E1091+C1092</f>
        <v/>
      </c>
      <c r="F1092">
        <f>IF(C1092&gt;0,D1092/C1092,NA())</f>
        <v/>
      </c>
    </row>
    <row r="1093">
      <c r="A1093" t="inlineStr">
        <is>
          <t>Los Perales</t>
        </is>
      </c>
      <c r="B1093" t="inlineStr">
        <is>
          <t>2014-09</t>
        </is>
      </c>
      <c r="C1093" t="n">
        <v>60147.4</v>
      </c>
      <c r="D1093" t="n">
        <v>752880.6</v>
      </c>
      <c r="E1093">
        <f>E1092+C1093</f>
        <v/>
      </c>
      <c r="F1093">
        <f>IF(C1093&gt;0,D1093/C1093,NA())</f>
        <v/>
      </c>
    </row>
    <row r="1094">
      <c r="A1094" t="inlineStr">
        <is>
          <t>Los Perales</t>
        </is>
      </c>
      <c r="B1094" t="inlineStr">
        <is>
          <t>2014-10</t>
        </is>
      </c>
      <c r="C1094" t="n">
        <v>62850.6</v>
      </c>
      <c r="D1094" t="n">
        <v>791108.8</v>
      </c>
      <c r="E1094">
        <f>E1093+C1094</f>
        <v/>
      </c>
      <c r="F1094">
        <f>IF(C1094&gt;0,D1094/C1094,NA())</f>
        <v/>
      </c>
    </row>
    <row r="1095">
      <c r="A1095" t="inlineStr">
        <is>
          <t>Los Perales</t>
        </is>
      </c>
      <c r="B1095" t="inlineStr">
        <is>
          <t>2014-11</t>
        </is>
      </c>
      <c r="C1095" t="n">
        <v>61292.6</v>
      </c>
      <c r="D1095" t="n">
        <v>761599.9</v>
      </c>
      <c r="E1095">
        <f>E1094+C1095</f>
        <v/>
      </c>
      <c r="F1095">
        <f>IF(C1095&gt;0,D1095/C1095,NA())</f>
        <v/>
      </c>
    </row>
    <row r="1096">
      <c r="A1096" t="inlineStr">
        <is>
          <t>Los Perales</t>
        </is>
      </c>
      <c r="B1096" t="inlineStr">
        <is>
          <t>2014-12</t>
        </is>
      </c>
      <c r="C1096" t="n">
        <v>62863.9</v>
      </c>
      <c r="D1096" t="n">
        <v>792399.3</v>
      </c>
      <c r="E1096">
        <f>E1095+C1096</f>
        <v/>
      </c>
      <c r="F1096">
        <f>IF(C1096&gt;0,D1096/C1096,NA())</f>
        <v/>
      </c>
    </row>
    <row r="1097">
      <c r="A1097" t="inlineStr">
        <is>
          <t>Los Perales</t>
        </is>
      </c>
      <c r="B1097" t="inlineStr">
        <is>
          <t>2015-01</t>
        </is>
      </c>
      <c r="C1097" t="n">
        <v>62390.4</v>
      </c>
      <c r="D1097" t="n">
        <v>808539.3</v>
      </c>
      <c r="E1097">
        <f>E1096+C1097</f>
        <v/>
      </c>
      <c r="F1097">
        <f>IF(C1097&gt;0,D1097/C1097,NA())</f>
        <v/>
      </c>
    </row>
    <row r="1098">
      <c r="A1098" t="inlineStr">
        <is>
          <t>Los Perales</t>
        </is>
      </c>
      <c r="B1098" t="inlineStr">
        <is>
          <t>2015-02</t>
        </is>
      </c>
      <c r="C1098" t="n">
        <v>56078.4</v>
      </c>
      <c r="D1098" t="n">
        <v>716007.6</v>
      </c>
      <c r="E1098">
        <f>E1097+C1098</f>
        <v/>
      </c>
      <c r="F1098">
        <f>IF(C1098&gt;0,D1098/C1098,NA())</f>
        <v/>
      </c>
    </row>
    <row r="1099">
      <c r="A1099" t="inlineStr">
        <is>
          <t>Los Perales</t>
        </is>
      </c>
      <c r="B1099" t="inlineStr">
        <is>
          <t>2015-03</t>
        </is>
      </c>
      <c r="C1099" t="n">
        <v>61666.3</v>
      </c>
      <c r="D1099" t="n">
        <v>810761.3</v>
      </c>
      <c r="E1099">
        <f>E1098+C1099</f>
        <v/>
      </c>
      <c r="F1099">
        <f>IF(C1099&gt;0,D1099/C1099,NA())</f>
        <v/>
      </c>
    </row>
    <row r="1100">
      <c r="A1100" t="inlineStr">
        <is>
          <t>Los Perales</t>
        </is>
      </c>
      <c r="B1100" t="inlineStr">
        <is>
          <t>2015-04</t>
        </is>
      </c>
      <c r="C1100" t="n">
        <v>59914.3</v>
      </c>
      <c r="D1100" t="n">
        <v>788708.8</v>
      </c>
      <c r="E1100">
        <f>E1099+C1100</f>
        <v/>
      </c>
      <c r="F1100">
        <f>IF(C1100&gt;0,D1100/C1100,NA())</f>
        <v/>
      </c>
    </row>
    <row r="1101">
      <c r="A1101" t="inlineStr">
        <is>
          <t>Los Perales</t>
        </is>
      </c>
      <c r="B1101" t="inlineStr">
        <is>
          <t>2015-05</t>
        </is>
      </c>
      <c r="C1101" t="n">
        <v>61011.9</v>
      </c>
      <c r="D1101" t="n">
        <v>809566.9</v>
      </c>
      <c r="E1101">
        <f>E1100+C1101</f>
        <v/>
      </c>
      <c r="F1101">
        <f>IF(C1101&gt;0,D1101/C1101,NA())</f>
        <v/>
      </c>
    </row>
    <row r="1102">
      <c r="A1102" t="inlineStr">
        <is>
          <t>Los Perales</t>
        </is>
      </c>
      <c r="B1102" t="inlineStr">
        <is>
          <t>2015-06</t>
        </is>
      </c>
      <c r="C1102" t="n">
        <v>58436.8</v>
      </c>
      <c r="D1102" t="n">
        <v>784308</v>
      </c>
      <c r="E1102">
        <f>E1101+C1102</f>
        <v/>
      </c>
      <c r="F1102">
        <f>IF(C1102&gt;0,D1102/C1102,NA())</f>
        <v/>
      </c>
    </row>
    <row r="1103">
      <c r="A1103" t="inlineStr">
        <is>
          <t>Los Perales</t>
        </is>
      </c>
      <c r="B1103" t="inlineStr">
        <is>
          <t>2015-07</t>
        </is>
      </c>
      <c r="C1103" t="n">
        <v>62092.5</v>
      </c>
      <c r="D1103" t="n">
        <v>727862.9</v>
      </c>
      <c r="E1103">
        <f>E1102+C1103</f>
        <v/>
      </c>
      <c r="F1103">
        <f>IF(C1103&gt;0,D1103/C1103,NA())</f>
        <v/>
      </c>
    </row>
    <row r="1104">
      <c r="A1104" t="inlineStr">
        <is>
          <t>Los Perales</t>
        </is>
      </c>
      <c r="B1104" t="inlineStr">
        <is>
          <t>2015-08</t>
        </is>
      </c>
      <c r="C1104" t="n">
        <v>63270.2</v>
      </c>
      <c r="D1104" t="n">
        <v>743816.7</v>
      </c>
      <c r="E1104">
        <f>E1103+C1104</f>
        <v/>
      </c>
      <c r="F1104">
        <f>IF(C1104&gt;0,D1104/C1104,NA())</f>
        <v/>
      </c>
    </row>
    <row r="1105">
      <c r="A1105" t="inlineStr">
        <is>
          <t>Los Perales</t>
        </is>
      </c>
      <c r="B1105" t="inlineStr">
        <is>
          <t>2015-09</t>
        </is>
      </c>
      <c r="C1105" t="n">
        <v>61879.1</v>
      </c>
      <c r="D1105" t="n">
        <v>899062</v>
      </c>
      <c r="E1105">
        <f>E1104+C1105</f>
        <v/>
      </c>
      <c r="F1105">
        <f>IF(C1105&gt;0,D1105/C1105,NA())</f>
        <v/>
      </c>
    </row>
    <row r="1106">
      <c r="A1106" t="inlineStr">
        <is>
          <t>Los Perales</t>
        </is>
      </c>
      <c r="B1106" t="inlineStr">
        <is>
          <t>2015-10</t>
        </is>
      </c>
      <c r="C1106" t="n">
        <v>63417.1</v>
      </c>
      <c r="D1106" t="n">
        <v>891975.4</v>
      </c>
      <c r="E1106">
        <f>E1105+C1106</f>
        <v/>
      </c>
      <c r="F1106">
        <f>IF(C1106&gt;0,D1106/C1106,NA())</f>
        <v/>
      </c>
    </row>
    <row r="1107">
      <c r="A1107" t="inlineStr">
        <is>
          <t>Los Perales</t>
        </is>
      </c>
      <c r="B1107" t="inlineStr">
        <is>
          <t>2015-11</t>
        </is>
      </c>
      <c r="C1107" t="n">
        <v>59995.6</v>
      </c>
      <c r="D1107" t="n">
        <v>884708.5</v>
      </c>
      <c r="E1107">
        <f>E1106+C1107</f>
        <v/>
      </c>
      <c r="F1107">
        <f>IF(C1107&gt;0,D1107/C1107,NA())</f>
        <v/>
      </c>
    </row>
    <row r="1108">
      <c r="A1108" t="inlineStr">
        <is>
          <t>Los Perales</t>
        </is>
      </c>
      <c r="B1108" t="inlineStr">
        <is>
          <t>2015-12</t>
        </is>
      </c>
      <c r="C1108" t="n">
        <v>63287.5</v>
      </c>
      <c r="D1108" t="n">
        <v>903671.4</v>
      </c>
      <c r="E1108">
        <f>E1107+C1108</f>
        <v/>
      </c>
      <c r="F1108">
        <f>IF(C1108&gt;0,D1108/C1108,NA())</f>
        <v/>
      </c>
    </row>
    <row r="1109">
      <c r="A1109" t="inlineStr">
        <is>
          <t>Los Perales</t>
        </is>
      </c>
      <c r="B1109" t="inlineStr">
        <is>
          <t>2016-01</t>
        </is>
      </c>
      <c r="C1109" t="n">
        <v>64190.1</v>
      </c>
      <c r="D1109" t="n">
        <v>916553.5</v>
      </c>
      <c r="E1109">
        <f>E1108+C1109</f>
        <v/>
      </c>
      <c r="F1109">
        <f>IF(C1109&gt;0,D1109/C1109,NA())</f>
        <v/>
      </c>
    </row>
    <row r="1110">
      <c r="A1110" t="inlineStr">
        <is>
          <t>Los Perales</t>
        </is>
      </c>
      <c r="B1110" t="inlineStr">
        <is>
          <t>2016-02</t>
        </is>
      </c>
      <c r="C1110" t="n">
        <v>58446.1</v>
      </c>
      <c r="D1110" t="n">
        <v>862943.3</v>
      </c>
      <c r="E1110">
        <f>E1109+C1110</f>
        <v/>
      </c>
      <c r="F1110">
        <f>IF(C1110&gt;0,D1110/C1110,NA())</f>
        <v/>
      </c>
    </row>
    <row r="1111">
      <c r="A1111" t="inlineStr">
        <is>
          <t>Los Perales</t>
        </is>
      </c>
      <c r="B1111" t="inlineStr">
        <is>
          <t>2016-03</t>
        </is>
      </c>
      <c r="C1111" t="n">
        <v>63028.8</v>
      </c>
      <c r="D1111" t="n">
        <v>941954.1</v>
      </c>
      <c r="E1111">
        <f>E1110+C1111</f>
        <v/>
      </c>
      <c r="F1111">
        <f>IF(C1111&gt;0,D1111/C1111,NA())</f>
        <v/>
      </c>
    </row>
    <row r="1112">
      <c r="A1112" t="inlineStr">
        <is>
          <t>Los Perales</t>
        </is>
      </c>
      <c r="B1112" t="inlineStr">
        <is>
          <t>2016-04</t>
        </is>
      </c>
      <c r="C1112" t="n">
        <v>59548.3</v>
      </c>
      <c r="D1112" t="n">
        <v>946727.5</v>
      </c>
      <c r="E1112">
        <f>E1111+C1112</f>
        <v/>
      </c>
      <c r="F1112">
        <f>IF(C1112&gt;0,D1112/C1112,NA())</f>
        <v/>
      </c>
    </row>
    <row r="1113">
      <c r="A1113" t="inlineStr">
        <is>
          <t>Los Perales</t>
        </is>
      </c>
      <c r="B1113" t="inlineStr">
        <is>
          <t>2016-05</t>
        </is>
      </c>
      <c r="C1113" t="n">
        <v>51297.7</v>
      </c>
      <c r="D1113" t="n">
        <v>875890.2</v>
      </c>
      <c r="E1113">
        <f>E1112+C1113</f>
        <v/>
      </c>
      <c r="F1113">
        <f>IF(C1113&gt;0,D1113/C1113,NA())</f>
        <v/>
      </c>
    </row>
    <row r="1114">
      <c r="A1114" t="inlineStr">
        <is>
          <t>Los Perales</t>
        </is>
      </c>
      <c r="B1114" t="inlineStr">
        <is>
          <t>2016-06</t>
        </is>
      </c>
      <c r="C1114" t="n">
        <v>53665.4</v>
      </c>
      <c r="D1114" t="n">
        <v>861391.5</v>
      </c>
      <c r="E1114">
        <f>E1113+C1114</f>
        <v/>
      </c>
      <c r="F1114">
        <f>IF(C1114&gt;0,D1114/C1114,NA())</f>
        <v/>
      </c>
    </row>
    <row r="1115">
      <c r="A1115" t="inlineStr">
        <is>
          <t>Los Perales</t>
        </is>
      </c>
      <c r="B1115" t="inlineStr">
        <is>
          <t>2016-07</t>
        </is>
      </c>
      <c r="C1115" t="n">
        <v>60095.3</v>
      </c>
      <c r="D1115" t="n">
        <v>884622</v>
      </c>
      <c r="E1115">
        <f>E1114+C1115</f>
        <v/>
      </c>
      <c r="F1115">
        <f>IF(C1115&gt;0,D1115/C1115,NA())</f>
        <v/>
      </c>
    </row>
    <row r="1116">
      <c r="A1116" t="inlineStr">
        <is>
          <t>Los Perales</t>
        </is>
      </c>
      <c r="B1116" t="inlineStr">
        <is>
          <t>2016-08</t>
        </is>
      </c>
      <c r="C1116" t="n">
        <v>59719.1</v>
      </c>
      <c r="D1116" t="n">
        <v>901987.3</v>
      </c>
      <c r="E1116">
        <f>E1115+C1116</f>
        <v/>
      </c>
      <c r="F1116">
        <f>IF(C1116&gt;0,D1116/C1116,NA())</f>
        <v/>
      </c>
    </row>
    <row r="1117">
      <c r="A1117" t="inlineStr">
        <is>
          <t>Los Perales</t>
        </is>
      </c>
      <c r="B1117" t="inlineStr">
        <is>
          <t>2016-09</t>
        </is>
      </c>
      <c r="C1117" t="n">
        <v>60033.5</v>
      </c>
      <c r="D1117" t="n">
        <v>868787</v>
      </c>
      <c r="E1117">
        <f>E1116+C1117</f>
        <v/>
      </c>
      <c r="F1117">
        <f>IF(C1117&gt;0,D1117/C1117,NA())</f>
        <v/>
      </c>
    </row>
    <row r="1118">
      <c r="A1118" t="inlineStr">
        <is>
          <t>Los Perales</t>
        </is>
      </c>
      <c r="B1118" t="inlineStr">
        <is>
          <t>2016-10</t>
        </is>
      </c>
      <c r="C1118" t="n">
        <v>62718.1</v>
      </c>
      <c r="D1118" t="n">
        <v>888474.7</v>
      </c>
      <c r="E1118">
        <f>E1117+C1118</f>
        <v/>
      </c>
      <c r="F1118">
        <f>IF(C1118&gt;0,D1118/C1118,NA())</f>
        <v/>
      </c>
    </row>
    <row r="1119">
      <c r="A1119" t="inlineStr">
        <is>
          <t>Los Perales</t>
        </is>
      </c>
      <c r="B1119" t="inlineStr">
        <is>
          <t>2016-11</t>
        </is>
      </c>
      <c r="C1119" t="n">
        <v>58513.7</v>
      </c>
      <c r="D1119" t="n">
        <v>871362</v>
      </c>
      <c r="E1119">
        <f>E1118+C1119</f>
        <v/>
      </c>
      <c r="F1119">
        <f>IF(C1119&gt;0,D1119/C1119,NA())</f>
        <v/>
      </c>
    </row>
    <row r="1120">
      <c r="A1120" t="inlineStr">
        <is>
          <t>Los Perales</t>
        </is>
      </c>
      <c r="B1120" t="inlineStr">
        <is>
          <t>2016-12</t>
        </is>
      </c>
      <c r="C1120" t="n">
        <v>60233.8</v>
      </c>
      <c r="D1120" t="n">
        <v>898868.7</v>
      </c>
      <c r="E1120">
        <f>E1119+C1120</f>
        <v/>
      </c>
      <c r="F1120">
        <f>IF(C1120&gt;0,D1120/C1120,NA())</f>
        <v/>
      </c>
    </row>
    <row r="1121">
      <c r="A1121" t="inlineStr">
        <is>
          <t>Los Perales</t>
        </is>
      </c>
      <c r="B1121" t="inlineStr">
        <is>
          <t>2017-01</t>
        </is>
      </c>
      <c r="C1121" t="n">
        <v>59110.7</v>
      </c>
      <c r="D1121" t="n">
        <v>896113.3</v>
      </c>
      <c r="E1121">
        <f>E1120+C1121</f>
        <v/>
      </c>
      <c r="F1121">
        <f>IF(C1121&gt;0,D1121/C1121,NA())</f>
        <v/>
      </c>
    </row>
    <row r="1122">
      <c r="A1122" t="inlineStr">
        <is>
          <t>Los Perales</t>
        </is>
      </c>
      <c r="B1122" t="inlineStr">
        <is>
          <t>2017-02</t>
        </is>
      </c>
      <c r="C1122" t="n">
        <v>53786</v>
      </c>
      <c r="D1122" t="n">
        <v>820292</v>
      </c>
      <c r="E1122">
        <f>E1121+C1122</f>
        <v/>
      </c>
      <c r="F1122">
        <f>IF(C1122&gt;0,D1122/C1122,NA())</f>
        <v/>
      </c>
    </row>
    <row r="1123">
      <c r="A1123" t="inlineStr">
        <is>
          <t>Los Perales</t>
        </is>
      </c>
      <c r="B1123" t="inlineStr">
        <is>
          <t>2017-03</t>
        </is>
      </c>
      <c r="C1123" t="n">
        <v>58579.1</v>
      </c>
      <c r="D1123" t="n">
        <v>883207.3</v>
      </c>
      <c r="E1123">
        <f>E1122+C1123</f>
        <v/>
      </c>
      <c r="F1123">
        <f>IF(C1123&gt;0,D1123/C1123,NA())</f>
        <v/>
      </c>
    </row>
    <row r="1124">
      <c r="A1124" t="inlineStr">
        <is>
          <t>Los Perales</t>
        </is>
      </c>
      <c r="B1124" t="inlineStr">
        <is>
          <t>2017-04</t>
        </is>
      </c>
      <c r="C1124" t="n">
        <v>55489.8</v>
      </c>
      <c r="D1124" t="n">
        <v>850476.8</v>
      </c>
      <c r="E1124">
        <f>E1123+C1124</f>
        <v/>
      </c>
      <c r="F1124">
        <f>IF(C1124&gt;0,D1124/C1124,NA())</f>
        <v/>
      </c>
    </row>
    <row r="1125">
      <c r="A1125" t="inlineStr">
        <is>
          <t>Los Perales</t>
        </is>
      </c>
      <c r="B1125" t="inlineStr">
        <is>
          <t>2017-05</t>
        </is>
      </c>
      <c r="C1125" t="n">
        <v>58279.2</v>
      </c>
      <c r="D1125" t="n">
        <v>873946.9</v>
      </c>
      <c r="E1125">
        <f>E1124+C1125</f>
        <v/>
      </c>
      <c r="F1125">
        <f>IF(C1125&gt;0,D1125/C1125,NA())</f>
        <v/>
      </c>
    </row>
    <row r="1126">
      <c r="A1126" t="inlineStr">
        <is>
          <t>Los Perales</t>
        </is>
      </c>
      <c r="B1126" t="inlineStr">
        <is>
          <t>2017-06</t>
        </is>
      </c>
      <c r="C1126" t="n">
        <v>54081.2</v>
      </c>
      <c r="D1126" t="n">
        <v>839349.2</v>
      </c>
      <c r="E1126">
        <f>E1125+C1126</f>
        <v/>
      </c>
      <c r="F1126">
        <f>IF(C1126&gt;0,D1126/C1126,NA())</f>
        <v/>
      </c>
    </row>
    <row r="1127">
      <c r="A1127" t="inlineStr">
        <is>
          <t>Los Perales</t>
        </is>
      </c>
      <c r="B1127" t="inlineStr">
        <is>
          <t>2017-07</t>
        </is>
      </c>
      <c r="C1127" t="n">
        <v>55266</v>
      </c>
      <c r="D1127" t="n">
        <v>901609.7</v>
      </c>
      <c r="E1127">
        <f>E1126+C1127</f>
        <v/>
      </c>
      <c r="F1127">
        <f>IF(C1127&gt;0,D1127/C1127,NA())</f>
        <v/>
      </c>
    </row>
    <row r="1128">
      <c r="A1128" t="inlineStr">
        <is>
          <t>Los Perales</t>
        </is>
      </c>
      <c r="B1128" t="inlineStr">
        <is>
          <t>2017-08</t>
        </is>
      </c>
      <c r="C1128" t="n">
        <v>54491</v>
      </c>
      <c r="D1128" t="n">
        <v>884735.4</v>
      </c>
      <c r="E1128">
        <f>E1127+C1128</f>
        <v/>
      </c>
      <c r="F1128">
        <f>IF(C1128&gt;0,D1128/C1128,NA())</f>
        <v/>
      </c>
    </row>
    <row r="1129">
      <c r="A1129" t="inlineStr">
        <is>
          <t>Los Perales</t>
        </is>
      </c>
      <c r="B1129" t="inlineStr">
        <is>
          <t>2017-09</t>
        </is>
      </c>
      <c r="C1129" t="n">
        <v>54121.9</v>
      </c>
      <c r="D1129" t="n">
        <v>825306.2</v>
      </c>
      <c r="E1129">
        <f>E1128+C1129</f>
        <v/>
      </c>
      <c r="F1129">
        <f>IF(C1129&gt;0,D1129/C1129,NA())</f>
        <v/>
      </c>
    </row>
    <row r="1130">
      <c r="A1130" t="inlineStr">
        <is>
          <t>Los Perales</t>
        </is>
      </c>
      <c r="B1130" t="inlineStr">
        <is>
          <t>2017-10</t>
        </is>
      </c>
      <c r="C1130" t="n">
        <v>56344.8</v>
      </c>
      <c r="D1130" t="n">
        <v>864381.2</v>
      </c>
      <c r="E1130">
        <f>E1129+C1130</f>
        <v/>
      </c>
      <c r="F1130">
        <f>IF(C1130&gt;0,D1130/C1130,NA())</f>
        <v/>
      </c>
    </row>
    <row r="1131">
      <c r="A1131" t="inlineStr">
        <is>
          <t>Los Perales</t>
        </is>
      </c>
      <c r="B1131" t="inlineStr">
        <is>
          <t>2017-11</t>
        </is>
      </c>
      <c r="C1131" t="n">
        <v>55457</v>
      </c>
      <c r="D1131" t="n">
        <v>813914.1</v>
      </c>
      <c r="E1131">
        <f>E1130+C1131</f>
        <v/>
      </c>
      <c r="F1131">
        <f>IF(C1131&gt;0,D1131/C1131,NA())</f>
        <v/>
      </c>
    </row>
    <row r="1132">
      <c r="A1132" t="inlineStr">
        <is>
          <t>Los Perales</t>
        </is>
      </c>
      <c r="B1132" t="inlineStr">
        <is>
          <t>2017-12</t>
        </is>
      </c>
      <c r="C1132" t="n">
        <v>56880.6</v>
      </c>
      <c r="D1132" t="n">
        <v>856376.4</v>
      </c>
      <c r="E1132">
        <f>E1131+C1132</f>
        <v/>
      </c>
      <c r="F1132">
        <f>IF(C1132&gt;0,D1132/C1132,NA())</f>
        <v/>
      </c>
    </row>
    <row r="1133">
      <c r="A1133" t="inlineStr">
        <is>
          <t>Los Perales</t>
        </is>
      </c>
      <c r="B1133" t="inlineStr">
        <is>
          <t>2018-01</t>
        </is>
      </c>
      <c r="C1133" t="n">
        <v>55024</v>
      </c>
      <c r="D1133" t="n">
        <v>849019.1</v>
      </c>
      <c r="E1133">
        <f>E1132+C1133</f>
        <v/>
      </c>
      <c r="F1133">
        <f>IF(C1133&gt;0,D1133/C1133,NA())</f>
        <v/>
      </c>
    </row>
    <row r="1134">
      <c r="A1134" t="inlineStr">
        <is>
          <t>Los Perales</t>
        </is>
      </c>
      <c r="B1134" t="inlineStr">
        <is>
          <t>2018-02</t>
        </is>
      </c>
      <c r="C1134" t="n">
        <v>49324.7</v>
      </c>
      <c r="D1134" t="n">
        <v>785807.5</v>
      </c>
      <c r="E1134">
        <f>E1133+C1134</f>
        <v/>
      </c>
      <c r="F1134">
        <f>IF(C1134&gt;0,D1134/C1134,NA())</f>
        <v/>
      </c>
    </row>
    <row r="1135">
      <c r="A1135" t="inlineStr">
        <is>
          <t>Los Perales</t>
        </is>
      </c>
      <c r="B1135" t="inlineStr">
        <is>
          <t>2018-03</t>
        </is>
      </c>
      <c r="C1135" t="n">
        <v>55029.4</v>
      </c>
      <c r="D1135" t="n">
        <v>846918.9</v>
      </c>
      <c r="E1135">
        <f>E1134+C1135</f>
        <v/>
      </c>
      <c r="F1135">
        <f>IF(C1135&gt;0,D1135/C1135,NA())</f>
        <v/>
      </c>
    </row>
    <row r="1136">
      <c r="A1136" t="inlineStr">
        <is>
          <t>Los Perales</t>
        </is>
      </c>
      <c r="B1136" t="inlineStr">
        <is>
          <t>2018-04</t>
        </is>
      </c>
      <c r="C1136" t="n">
        <v>52449</v>
      </c>
      <c r="D1136" t="n">
        <v>796883.3</v>
      </c>
      <c r="E1136">
        <f>E1135+C1136</f>
        <v/>
      </c>
      <c r="F1136">
        <f>IF(C1136&gt;0,D1136/C1136,NA())</f>
        <v/>
      </c>
    </row>
    <row r="1137">
      <c r="A1137" t="inlineStr">
        <is>
          <t>Los Perales</t>
        </is>
      </c>
      <c r="B1137" t="inlineStr">
        <is>
          <t>2018-05</t>
        </is>
      </c>
      <c r="C1137" t="n">
        <v>53098.2</v>
      </c>
      <c r="D1137" t="n">
        <v>832487.8</v>
      </c>
      <c r="E1137">
        <f>E1136+C1137</f>
        <v/>
      </c>
      <c r="F1137">
        <f>IF(C1137&gt;0,D1137/C1137,NA())</f>
        <v/>
      </c>
    </row>
    <row r="1138">
      <c r="A1138" t="inlineStr">
        <is>
          <t>Los Perales</t>
        </is>
      </c>
      <c r="B1138" t="inlineStr">
        <is>
          <t>2018-06</t>
        </is>
      </c>
      <c r="C1138" t="n">
        <v>50175.6</v>
      </c>
      <c r="D1138" t="n">
        <v>794227.5</v>
      </c>
      <c r="E1138">
        <f>E1137+C1138</f>
        <v/>
      </c>
      <c r="F1138">
        <f>IF(C1138&gt;0,D1138/C1138,NA())</f>
        <v/>
      </c>
    </row>
    <row r="1139">
      <c r="A1139" t="inlineStr">
        <is>
          <t>Los Perales</t>
        </is>
      </c>
      <c r="B1139" t="inlineStr">
        <is>
          <t>2018-07</t>
        </is>
      </c>
      <c r="C1139" t="n">
        <v>50119.1</v>
      </c>
      <c r="D1139" t="n">
        <v>819462.6</v>
      </c>
      <c r="E1139">
        <f>E1138+C1139</f>
        <v/>
      </c>
      <c r="F1139">
        <f>IF(C1139&gt;0,D1139/C1139,NA())</f>
        <v/>
      </c>
    </row>
    <row r="1140">
      <c r="A1140" t="inlineStr">
        <is>
          <t>Los Perales</t>
        </is>
      </c>
      <c r="B1140" t="inlineStr">
        <is>
          <t>2018-08</t>
        </is>
      </c>
      <c r="C1140" t="n">
        <v>50268.3</v>
      </c>
      <c r="D1140" t="n">
        <v>844965</v>
      </c>
      <c r="E1140">
        <f>E1139+C1140</f>
        <v/>
      </c>
      <c r="F1140">
        <f>IF(C1140&gt;0,D1140/C1140,NA())</f>
        <v/>
      </c>
    </row>
    <row r="1141">
      <c r="A1141" t="inlineStr">
        <is>
          <t>Los Perales</t>
        </is>
      </c>
      <c r="B1141" t="inlineStr">
        <is>
          <t>2018-09</t>
        </is>
      </c>
      <c r="C1141" t="n">
        <v>49698.4</v>
      </c>
      <c r="D1141" t="n">
        <v>816445.3</v>
      </c>
      <c r="E1141">
        <f>E1140+C1141</f>
        <v/>
      </c>
      <c r="F1141">
        <f>IF(C1141&gt;0,D1141/C1141,NA())</f>
        <v/>
      </c>
    </row>
    <row r="1142">
      <c r="A1142" t="inlineStr">
        <is>
          <t>Los Perales</t>
        </is>
      </c>
      <c r="B1142" t="inlineStr">
        <is>
          <t>2018-10</t>
        </is>
      </c>
      <c r="C1142" t="n">
        <v>50584.3</v>
      </c>
      <c r="D1142" t="n">
        <v>853800.2</v>
      </c>
      <c r="E1142">
        <f>E1141+C1142</f>
        <v/>
      </c>
      <c r="F1142">
        <f>IF(C1142&gt;0,D1142/C1142,NA())</f>
        <v/>
      </c>
    </row>
    <row r="1143">
      <c r="A1143" t="inlineStr">
        <is>
          <t>Los Perales</t>
        </is>
      </c>
      <c r="B1143" t="inlineStr">
        <is>
          <t>2018-11</t>
        </is>
      </c>
      <c r="C1143" t="n">
        <v>49371.1</v>
      </c>
      <c r="D1143" t="n">
        <v>840160.6</v>
      </c>
      <c r="E1143">
        <f>E1142+C1143</f>
        <v/>
      </c>
      <c r="F1143">
        <f>IF(C1143&gt;0,D1143/C1143,NA())</f>
        <v/>
      </c>
    </row>
    <row r="1144">
      <c r="A1144" t="inlineStr">
        <is>
          <t>Los Perales</t>
        </is>
      </c>
      <c r="B1144" t="inlineStr">
        <is>
          <t>2018-12</t>
        </is>
      </c>
      <c r="C1144" t="n">
        <v>50416.9</v>
      </c>
      <c r="D1144" t="n">
        <v>877164.5</v>
      </c>
      <c r="E1144">
        <f>E1143+C1144</f>
        <v/>
      </c>
      <c r="F1144">
        <f>IF(C1144&gt;0,D1144/C1144,NA())</f>
        <v/>
      </c>
    </row>
    <row r="1145">
      <c r="A1145" t="inlineStr">
        <is>
          <t>Los Perales</t>
        </is>
      </c>
      <c r="B1145" t="inlineStr">
        <is>
          <t>2019-01</t>
        </is>
      </c>
      <c r="C1145" t="n">
        <v>50044.6</v>
      </c>
      <c r="D1145" t="n">
        <v>874270.8</v>
      </c>
      <c r="E1145">
        <f>E1144+C1145</f>
        <v/>
      </c>
      <c r="F1145">
        <f>IF(C1145&gt;0,D1145/C1145,NA())</f>
        <v/>
      </c>
    </row>
    <row r="1146">
      <c r="A1146" t="inlineStr">
        <is>
          <t>Los Perales</t>
        </is>
      </c>
      <c r="B1146" t="inlineStr">
        <is>
          <t>2019-02</t>
        </is>
      </c>
      <c r="C1146" t="n">
        <v>45421.9</v>
      </c>
      <c r="D1146" t="n">
        <v>793324.9</v>
      </c>
      <c r="E1146">
        <f>E1145+C1146</f>
        <v/>
      </c>
      <c r="F1146">
        <f>IF(C1146&gt;0,D1146/C1146,NA())</f>
        <v/>
      </c>
    </row>
    <row r="1147">
      <c r="A1147" t="inlineStr">
        <is>
          <t>Los Perales</t>
        </is>
      </c>
      <c r="B1147" t="inlineStr">
        <is>
          <t>2019-03</t>
        </is>
      </c>
      <c r="C1147" t="n">
        <v>50351.6</v>
      </c>
      <c r="D1147" t="n">
        <v>865374.1</v>
      </c>
      <c r="E1147">
        <f>E1146+C1147</f>
        <v/>
      </c>
      <c r="F1147">
        <f>IF(C1147&gt;0,D1147/C1147,NA())</f>
        <v/>
      </c>
    </row>
    <row r="1148">
      <c r="A1148" t="inlineStr">
        <is>
          <t>Los Perales</t>
        </is>
      </c>
      <c r="B1148" t="inlineStr">
        <is>
          <t>2019-04</t>
        </is>
      </c>
      <c r="C1148" t="n">
        <v>48538.6</v>
      </c>
      <c r="D1148" t="n">
        <v>810713.9</v>
      </c>
      <c r="E1148">
        <f>E1147+C1148</f>
        <v/>
      </c>
      <c r="F1148">
        <f>IF(C1148&gt;0,D1148/C1148,NA())</f>
        <v/>
      </c>
    </row>
    <row r="1149">
      <c r="A1149" t="inlineStr">
        <is>
          <t>Los Perales</t>
        </is>
      </c>
      <c r="B1149" t="inlineStr">
        <is>
          <t>2019-05</t>
        </is>
      </c>
      <c r="C1149" t="n">
        <v>48416.6</v>
      </c>
      <c r="D1149" t="n">
        <v>837061.6</v>
      </c>
      <c r="E1149">
        <f>E1148+C1149</f>
        <v/>
      </c>
      <c r="F1149">
        <f>IF(C1149&gt;0,D1149/C1149,NA())</f>
        <v/>
      </c>
    </row>
    <row r="1150">
      <c r="A1150" t="inlineStr">
        <is>
          <t>Los Perales</t>
        </is>
      </c>
      <c r="B1150" t="inlineStr">
        <is>
          <t>2019-06</t>
        </is>
      </c>
      <c r="C1150" t="n">
        <v>47562.3</v>
      </c>
      <c r="D1150" t="n">
        <v>811421</v>
      </c>
      <c r="E1150">
        <f>E1149+C1150</f>
        <v/>
      </c>
      <c r="F1150">
        <f>IF(C1150&gt;0,D1150/C1150,NA())</f>
        <v/>
      </c>
    </row>
    <row r="1151">
      <c r="A1151" t="inlineStr">
        <is>
          <t>Los Perales</t>
        </is>
      </c>
      <c r="B1151" t="inlineStr">
        <is>
          <t>2019-07</t>
        </is>
      </c>
      <c r="C1151" t="n">
        <v>48380.9</v>
      </c>
      <c r="D1151" t="n">
        <v>865086.7</v>
      </c>
      <c r="E1151">
        <f>E1150+C1151</f>
        <v/>
      </c>
      <c r="F1151">
        <f>IF(C1151&gt;0,D1151/C1151,NA())</f>
        <v/>
      </c>
    </row>
    <row r="1152">
      <c r="A1152" t="inlineStr">
        <is>
          <t>Los Perales</t>
        </is>
      </c>
      <c r="B1152" t="inlineStr">
        <is>
          <t>2019-08</t>
        </is>
      </c>
      <c r="C1152" t="n">
        <v>49747.9</v>
      </c>
      <c r="D1152" t="n">
        <v>876903.5</v>
      </c>
      <c r="E1152">
        <f>E1151+C1152</f>
        <v/>
      </c>
      <c r="F1152">
        <f>IF(C1152&gt;0,D1152/C1152,NA())</f>
        <v/>
      </c>
    </row>
    <row r="1153">
      <c r="A1153" t="inlineStr">
        <is>
          <t>Los Perales</t>
        </is>
      </c>
      <c r="B1153" t="inlineStr">
        <is>
          <t>2019-09</t>
        </is>
      </c>
      <c r="C1153" t="n">
        <v>48145.3</v>
      </c>
      <c r="D1153" t="n">
        <v>851997</v>
      </c>
      <c r="E1153">
        <f>E1152+C1153</f>
        <v/>
      </c>
      <c r="F1153">
        <f>IF(C1153&gt;0,D1153/C1153,NA())</f>
        <v/>
      </c>
    </row>
    <row r="1154">
      <c r="A1154" t="inlineStr">
        <is>
          <t>Los Perales</t>
        </is>
      </c>
      <c r="B1154" t="inlineStr">
        <is>
          <t>2019-10</t>
        </is>
      </c>
      <c r="C1154" t="n">
        <v>48659.3</v>
      </c>
      <c r="D1154" t="n">
        <v>865648.7</v>
      </c>
      <c r="E1154">
        <f>E1153+C1154</f>
        <v/>
      </c>
      <c r="F1154">
        <f>IF(C1154&gt;0,D1154/C1154,NA())</f>
        <v/>
      </c>
    </row>
    <row r="1155">
      <c r="A1155" t="inlineStr">
        <is>
          <t>Los Perales</t>
        </is>
      </c>
      <c r="B1155" t="inlineStr">
        <is>
          <t>2019-11</t>
        </is>
      </c>
      <c r="C1155" t="n">
        <v>45598.5</v>
      </c>
      <c r="D1155" t="n">
        <v>809289.1</v>
      </c>
      <c r="E1155">
        <f>E1154+C1155</f>
        <v/>
      </c>
      <c r="F1155">
        <f>IF(C1155&gt;0,D1155/C1155,NA())</f>
        <v/>
      </c>
    </row>
    <row r="1156">
      <c r="A1156" t="inlineStr">
        <is>
          <t>Los Perales</t>
        </is>
      </c>
      <c r="B1156" t="inlineStr">
        <is>
          <t>2019-12</t>
        </is>
      </c>
      <c r="C1156" t="n">
        <v>46554.1</v>
      </c>
      <c r="D1156" t="n">
        <v>833108.5</v>
      </c>
      <c r="E1156">
        <f>E1155+C1156</f>
        <v/>
      </c>
      <c r="F1156">
        <f>IF(C1156&gt;0,D1156/C1156,NA())</f>
        <v/>
      </c>
    </row>
    <row r="1157">
      <c r="A1157" t="inlineStr">
        <is>
          <t>Los Perales</t>
        </is>
      </c>
      <c r="B1157" t="inlineStr">
        <is>
          <t>2020-01</t>
        </is>
      </c>
      <c r="C1157" t="n">
        <v>46129.5</v>
      </c>
      <c r="D1157" t="n">
        <v>842916.3</v>
      </c>
      <c r="E1157">
        <f>E1156+C1157</f>
        <v/>
      </c>
      <c r="F1157">
        <f>IF(C1157&gt;0,D1157/C1157,NA())</f>
        <v/>
      </c>
    </row>
    <row r="1158">
      <c r="A1158" t="inlineStr">
        <is>
          <t>Los Perales</t>
        </is>
      </c>
      <c r="B1158" t="inlineStr">
        <is>
          <t>2020-02</t>
        </is>
      </c>
      <c r="C1158" t="n">
        <v>42992.2</v>
      </c>
      <c r="D1158" t="n">
        <v>776757.3</v>
      </c>
      <c r="E1158">
        <f>E1157+C1158</f>
        <v/>
      </c>
      <c r="F1158">
        <f>IF(C1158&gt;0,D1158/C1158,NA())</f>
        <v/>
      </c>
    </row>
    <row r="1159">
      <c r="A1159" t="inlineStr">
        <is>
          <t>Los Perales</t>
        </is>
      </c>
      <c r="B1159" t="inlineStr">
        <is>
          <t>2020-03</t>
        </is>
      </c>
      <c r="C1159" t="n">
        <v>45584.1</v>
      </c>
      <c r="D1159" t="n">
        <v>828393.6</v>
      </c>
      <c r="E1159">
        <f>E1158+C1159</f>
        <v/>
      </c>
      <c r="F1159">
        <f>IF(C1159&gt;0,D1159/C1159,NA())</f>
        <v/>
      </c>
    </row>
    <row r="1160">
      <c r="A1160" t="inlineStr">
        <is>
          <t>Los Perales</t>
        </is>
      </c>
      <c r="B1160" t="inlineStr">
        <is>
          <t>2020-04</t>
        </is>
      </c>
      <c r="C1160" t="n">
        <v>43201.4</v>
      </c>
      <c r="D1160" t="n">
        <v>811195.5</v>
      </c>
      <c r="E1160">
        <f>E1159+C1160</f>
        <v/>
      </c>
      <c r="F1160">
        <f>IF(C1160&gt;0,D1160/C1160,NA())</f>
        <v/>
      </c>
    </row>
    <row r="1161">
      <c r="A1161" t="inlineStr">
        <is>
          <t>Los Perales</t>
        </is>
      </c>
      <c r="B1161" t="inlineStr">
        <is>
          <t>2020-05</t>
        </is>
      </c>
      <c r="C1161" t="n">
        <v>41046.9</v>
      </c>
      <c r="D1161" t="n">
        <v>781172.5</v>
      </c>
      <c r="E1161">
        <f>E1160+C1161</f>
        <v/>
      </c>
      <c r="F1161">
        <f>IF(C1161&gt;0,D1161/C1161,NA())</f>
        <v/>
      </c>
    </row>
    <row r="1162">
      <c r="A1162" t="inlineStr">
        <is>
          <t>Los Perales</t>
        </is>
      </c>
      <c r="B1162" t="inlineStr">
        <is>
          <t>2020-06</t>
        </is>
      </c>
      <c r="C1162" t="n">
        <v>41920.1</v>
      </c>
      <c r="D1162" t="n">
        <v>771831.7</v>
      </c>
      <c r="E1162">
        <f>E1161+C1162</f>
        <v/>
      </c>
      <c r="F1162">
        <f>IF(C1162&gt;0,D1162/C1162,NA())</f>
        <v/>
      </c>
    </row>
    <row r="1163">
      <c r="A1163" t="inlineStr">
        <is>
          <t>Los Perales</t>
        </is>
      </c>
      <c r="B1163" t="inlineStr">
        <is>
          <t>2020-07</t>
        </is>
      </c>
      <c r="C1163" t="n">
        <v>41000.4</v>
      </c>
      <c r="D1163" t="n">
        <v>782190.8</v>
      </c>
      <c r="E1163">
        <f>E1162+C1163</f>
        <v/>
      </c>
      <c r="F1163">
        <f>IF(C1163&gt;0,D1163/C1163,NA())</f>
        <v/>
      </c>
    </row>
    <row r="1164">
      <c r="A1164" t="inlineStr">
        <is>
          <t>Los Perales</t>
        </is>
      </c>
      <c r="B1164" t="inlineStr">
        <is>
          <t>2020-08</t>
        </is>
      </c>
      <c r="C1164" t="n">
        <v>41211.1</v>
      </c>
      <c r="D1164" t="n">
        <v>778513.9</v>
      </c>
      <c r="E1164">
        <f>E1163+C1164</f>
        <v/>
      </c>
      <c r="F1164">
        <f>IF(C1164&gt;0,D1164/C1164,NA())</f>
        <v/>
      </c>
    </row>
    <row r="1165">
      <c r="A1165" t="inlineStr">
        <is>
          <t>Los Perales</t>
        </is>
      </c>
      <c r="B1165" t="inlineStr">
        <is>
          <t>2020-09</t>
        </is>
      </c>
      <c r="C1165" t="n">
        <v>41182.1</v>
      </c>
      <c r="D1165" t="n">
        <v>780554.2</v>
      </c>
      <c r="E1165">
        <f>E1164+C1165</f>
        <v/>
      </c>
      <c r="F1165">
        <f>IF(C1165&gt;0,D1165/C1165,NA())</f>
        <v/>
      </c>
    </row>
    <row r="1166">
      <c r="A1166" t="inlineStr">
        <is>
          <t>Los Perales</t>
        </is>
      </c>
      <c r="B1166" t="inlineStr">
        <is>
          <t>2020-10</t>
        </is>
      </c>
      <c r="C1166" t="n">
        <v>42962.6</v>
      </c>
      <c r="D1166" t="n">
        <v>769203.2</v>
      </c>
      <c r="E1166">
        <f>E1165+C1166</f>
        <v/>
      </c>
      <c r="F1166">
        <f>IF(C1166&gt;0,D1166/C1166,NA())</f>
        <v/>
      </c>
    </row>
    <row r="1167">
      <c r="A1167" t="inlineStr">
        <is>
          <t>Los Perales</t>
        </is>
      </c>
      <c r="B1167" t="inlineStr">
        <is>
          <t>2020-11</t>
        </is>
      </c>
      <c r="C1167" t="n">
        <v>39760.9</v>
      </c>
      <c r="D1167" t="n">
        <v>748908.8</v>
      </c>
      <c r="E1167">
        <f>E1166+C1167</f>
        <v/>
      </c>
      <c r="F1167">
        <f>IF(C1167&gt;0,D1167/C1167,NA())</f>
        <v/>
      </c>
    </row>
    <row r="1168">
      <c r="A1168" t="inlineStr">
        <is>
          <t>Los Perales</t>
        </is>
      </c>
      <c r="B1168" t="inlineStr">
        <is>
          <t>2020-12</t>
        </is>
      </c>
      <c r="C1168" t="n">
        <v>42044.5</v>
      </c>
      <c r="D1168" t="n">
        <v>765162.6</v>
      </c>
      <c r="E1168">
        <f>E1167+C1168</f>
        <v/>
      </c>
      <c r="F1168">
        <f>IF(C1168&gt;0,D1168/C1168,NA())</f>
        <v/>
      </c>
    </row>
    <row r="1169">
      <c r="A1169" t="inlineStr">
        <is>
          <t>Los Perales</t>
        </is>
      </c>
      <c r="B1169" t="inlineStr">
        <is>
          <t>2021-01</t>
        </is>
      </c>
      <c r="C1169" t="n">
        <v>41858.8</v>
      </c>
      <c r="D1169" t="n">
        <v>743891</v>
      </c>
      <c r="E1169">
        <f>E1168+C1169</f>
        <v/>
      </c>
      <c r="F1169">
        <f>IF(C1169&gt;0,D1169/C1169,NA())</f>
        <v/>
      </c>
    </row>
    <row r="1170">
      <c r="A1170" t="inlineStr">
        <is>
          <t>Los Perales</t>
        </is>
      </c>
      <c r="B1170" t="inlineStr">
        <is>
          <t>2021-02</t>
        </is>
      </c>
      <c r="C1170" t="n">
        <v>36905.7</v>
      </c>
      <c r="D1170" t="n">
        <v>649418.5</v>
      </c>
      <c r="E1170">
        <f>E1169+C1170</f>
        <v/>
      </c>
      <c r="F1170">
        <f>IF(C1170&gt;0,D1170/C1170,NA())</f>
        <v/>
      </c>
    </row>
    <row r="1171">
      <c r="A1171" t="inlineStr">
        <is>
          <t>Los Perales</t>
        </is>
      </c>
      <c r="B1171" t="inlineStr">
        <is>
          <t>2021-03</t>
        </is>
      </c>
      <c r="C1171" t="n">
        <v>41885.7</v>
      </c>
      <c r="D1171" t="n">
        <v>725018.4</v>
      </c>
      <c r="E1171">
        <f>E1170+C1171</f>
        <v/>
      </c>
      <c r="F1171">
        <f>IF(C1171&gt;0,D1171/C1171,NA())</f>
        <v/>
      </c>
    </row>
    <row r="1172">
      <c r="A1172" t="inlineStr">
        <is>
          <t>Los Perales</t>
        </is>
      </c>
      <c r="B1172" t="inlineStr">
        <is>
          <t>2021-04</t>
        </is>
      </c>
      <c r="C1172" t="n">
        <v>40583.9</v>
      </c>
      <c r="D1172" t="n">
        <v>687483.1</v>
      </c>
      <c r="E1172">
        <f>E1171+C1172</f>
        <v/>
      </c>
      <c r="F1172">
        <f>IF(C1172&gt;0,D1172/C1172,NA())</f>
        <v/>
      </c>
    </row>
    <row r="1173">
      <c r="A1173" t="inlineStr">
        <is>
          <t>Los Perales</t>
        </is>
      </c>
      <c r="B1173" t="inlineStr">
        <is>
          <t>2021-05</t>
        </is>
      </c>
      <c r="C1173" t="n">
        <v>40799.8</v>
      </c>
      <c r="D1173" t="n">
        <v>705985.4</v>
      </c>
      <c r="E1173">
        <f>E1172+C1173</f>
        <v/>
      </c>
      <c r="F1173">
        <f>IF(C1173&gt;0,D1173/C1173,NA())</f>
        <v/>
      </c>
    </row>
    <row r="1174">
      <c r="A1174" t="inlineStr">
        <is>
          <t>Los Perales</t>
        </is>
      </c>
      <c r="B1174" t="inlineStr">
        <is>
          <t>2021-06</t>
        </is>
      </c>
      <c r="C1174" t="n">
        <v>38701.1</v>
      </c>
      <c r="D1174" t="n">
        <v>702930.6</v>
      </c>
      <c r="E1174">
        <f>E1173+C1174</f>
        <v/>
      </c>
      <c r="F1174">
        <f>IF(C1174&gt;0,D1174/C1174,NA())</f>
        <v/>
      </c>
    </row>
    <row r="1175">
      <c r="A1175" t="inlineStr">
        <is>
          <t>Los Perales</t>
        </is>
      </c>
      <c r="B1175" t="inlineStr">
        <is>
          <t>2021-07</t>
        </is>
      </c>
      <c r="C1175" t="n">
        <v>40178.2</v>
      </c>
      <c r="D1175" t="n">
        <v>703401.6</v>
      </c>
      <c r="E1175">
        <f>E1174+C1175</f>
        <v/>
      </c>
      <c r="F1175">
        <f>IF(C1175&gt;0,D1175/C1175,NA())</f>
        <v/>
      </c>
    </row>
    <row r="1176">
      <c r="A1176" t="inlineStr">
        <is>
          <t>Los Perales</t>
        </is>
      </c>
      <c r="B1176" t="inlineStr">
        <is>
          <t>2021-08</t>
        </is>
      </c>
      <c r="C1176" t="n">
        <v>39881.8</v>
      </c>
      <c r="D1176" t="n">
        <v>685595.8</v>
      </c>
      <c r="E1176">
        <f>E1175+C1176</f>
        <v/>
      </c>
      <c r="F1176">
        <f>IF(C1176&gt;0,D1176/C1176,NA())</f>
        <v/>
      </c>
    </row>
    <row r="1177">
      <c r="A1177" t="inlineStr">
        <is>
          <t>Los Perales</t>
        </is>
      </c>
      <c r="B1177" t="inlineStr">
        <is>
          <t>2021-09</t>
        </is>
      </c>
      <c r="C1177" t="n">
        <v>38181.7</v>
      </c>
      <c r="D1177" t="n">
        <v>736491.6</v>
      </c>
      <c r="E1177">
        <f>E1176+C1177</f>
        <v/>
      </c>
      <c r="F1177">
        <f>IF(C1177&gt;0,D1177/C1177,NA())</f>
        <v/>
      </c>
    </row>
    <row r="1178">
      <c r="A1178" t="inlineStr">
        <is>
          <t>Los Perales</t>
        </is>
      </c>
      <c r="B1178" t="inlineStr">
        <is>
          <t>2021-10</t>
        </is>
      </c>
      <c r="C1178" t="n">
        <v>36333.8</v>
      </c>
      <c r="D1178" t="n">
        <v>692249</v>
      </c>
      <c r="E1178">
        <f>E1177+C1178</f>
        <v/>
      </c>
      <c r="F1178">
        <f>IF(C1178&gt;0,D1178/C1178,NA())</f>
        <v/>
      </c>
    </row>
    <row r="1179">
      <c r="A1179" t="inlineStr">
        <is>
          <t>Los Perales</t>
        </is>
      </c>
      <c r="B1179" t="inlineStr">
        <is>
          <t>2021-11</t>
        </is>
      </c>
      <c r="C1179" t="n">
        <v>37521.2</v>
      </c>
      <c r="D1179" t="n">
        <v>715591.9</v>
      </c>
      <c r="E1179">
        <f>E1178+C1179</f>
        <v/>
      </c>
      <c r="F1179">
        <f>IF(C1179&gt;0,D1179/C1179,NA())</f>
        <v/>
      </c>
    </row>
    <row r="1180">
      <c r="A1180" t="inlineStr">
        <is>
          <t>Los Perales</t>
        </is>
      </c>
      <c r="B1180" t="inlineStr">
        <is>
          <t>2021-12</t>
        </is>
      </c>
      <c r="C1180" t="n">
        <v>40361.1</v>
      </c>
      <c r="D1180" t="n">
        <v>732590.3</v>
      </c>
      <c r="E1180">
        <f>E1179+C1180</f>
        <v/>
      </c>
      <c r="F1180">
        <f>IF(C1180&gt;0,D1180/C1180,NA())</f>
        <v/>
      </c>
    </row>
    <row r="1181">
      <c r="A1181" t="inlineStr">
        <is>
          <t>Los Perales</t>
        </is>
      </c>
      <c r="B1181" t="inlineStr">
        <is>
          <t>2022-01</t>
        </is>
      </c>
      <c r="C1181" t="n">
        <v>39246.2</v>
      </c>
      <c r="D1181" t="n">
        <v>728433.9</v>
      </c>
      <c r="E1181">
        <f>E1180+C1181</f>
        <v/>
      </c>
      <c r="F1181">
        <f>IF(C1181&gt;0,D1181/C1181,NA())</f>
        <v/>
      </c>
    </row>
    <row r="1182">
      <c r="A1182" t="inlineStr">
        <is>
          <t>Los Perales</t>
        </is>
      </c>
      <c r="B1182" t="inlineStr">
        <is>
          <t>2022-02</t>
        </is>
      </c>
      <c r="C1182" t="n">
        <v>35438</v>
      </c>
      <c r="D1182" t="n">
        <v>662463.2</v>
      </c>
      <c r="E1182">
        <f>E1181+C1182</f>
        <v/>
      </c>
      <c r="F1182">
        <f>IF(C1182&gt;0,D1182/C1182,NA())</f>
        <v/>
      </c>
    </row>
    <row r="1183">
      <c r="A1183" t="inlineStr">
        <is>
          <t>Los Perales</t>
        </is>
      </c>
      <c r="B1183" t="inlineStr">
        <is>
          <t>2022-03</t>
        </is>
      </c>
      <c r="C1183" t="n">
        <v>38916.6</v>
      </c>
      <c r="D1183" t="n">
        <v>731963.6</v>
      </c>
      <c r="E1183">
        <f>E1182+C1183</f>
        <v/>
      </c>
      <c r="F1183">
        <f>IF(C1183&gt;0,D1183/C1183,NA())</f>
        <v/>
      </c>
    </row>
    <row r="1184">
      <c r="A1184" t="inlineStr">
        <is>
          <t>Los Perales</t>
        </is>
      </c>
      <c r="B1184" t="inlineStr">
        <is>
          <t>2022-04</t>
        </is>
      </c>
      <c r="C1184" t="n">
        <v>37445.3</v>
      </c>
      <c r="D1184" t="n">
        <v>688127.9</v>
      </c>
      <c r="E1184">
        <f>E1183+C1184</f>
        <v/>
      </c>
      <c r="F1184">
        <f>IF(C1184&gt;0,D1184/C1184,NA())</f>
        <v/>
      </c>
    </row>
    <row r="1185">
      <c r="A1185" t="inlineStr">
        <is>
          <t>Los Perales</t>
        </is>
      </c>
      <c r="B1185" t="inlineStr">
        <is>
          <t>2022-05</t>
        </is>
      </c>
      <c r="C1185" t="n">
        <v>38823.2</v>
      </c>
      <c r="D1185" t="n">
        <v>729572.6</v>
      </c>
      <c r="E1185">
        <f>E1184+C1185</f>
        <v/>
      </c>
      <c r="F1185">
        <f>IF(C1185&gt;0,D1185/C1185,NA())</f>
        <v/>
      </c>
    </row>
    <row r="1186">
      <c r="A1186" t="inlineStr">
        <is>
          <t>Los Perales</t>
        </is>
      </c>
      <c r="B1186" t="inlineStr">
        <is>
          <t>2022-06</t>
        </is>
      </c>
      <c r="C1186" t="n">
        <v>37109.9</v>
      </c>
      <c r="D1186" t="n">
        <v>685850.3</v>
      </c>
      <c r="E1186">
        <f>E1185+C1186</f>
        <v/>
      </c>
      <c r="F1186">
        <f>IF(C1186&gt;0,D1186/C1186,NA())</f>
        <v/>
      </c>
    </row>
    <row r="1187">
      <c r="A1187" t="inlineStr">
        <is>
          <t>Los Perales</t>
        </is>
      </c>
      <c r="B1187" t="inlineStr">
        <is>
          <t>2022-07</t>
        </is>
      </c>
      <c r="C1187" t="n">
        <v>37416.8</v>
      </c>
      <c r="D1187" t="n">
        <v>704578.9</v>
      </c>
      <c r="E1187">
        <f>E1186+C1187</f>
        <v/>
      </c>
      <c r="F1187">
        <f>IF(C1187&gt;0,D1187/C1187,NA())</f>
        <v/>
      </c>
    </row>
    <row r="1188">
      <c r="A1188" t="inlineStr">
        <is>
          <t>Los Perales</t>
        </is>
      </c>
      <c r="B1188" t="inlineStr">
        <is>
          <t>2022-08</t>
        </is>
      </c>
      <c r="C1188" t="n">
        <v>37810.8</v>
      </c>
      <c r="D1188" t="n">
        <v>744747.4</v>
      </c>
      <c r="E1188">
        <f>E1187+C1188</f>
        <v/>
      </c>
      <c r="F1188">
        <f>IF(C1188&gt;0,D1188/C1188,NA())</f>
        <v/>
      </c>
    </row>
    <row r="1189">
      <c r="A1189" t="inlineStr">
        <is>
          <t>Los Perales</t>
        </is>
      </c>
      <c r="B1189" t="inlineStr">
        <is>
          <t>2022-09</t>
        </is>
      </c>
      <c r="C1189" t="n">
        <v>37448.7</v>
      </c>
      <c r="D1189" t="n">
        <v>728360.4</v>
      </c>
      <c r="E1189">
        <f>E1188+C1189</f>
        <v/>
      </c>
      <c r="F1189">
        <f>IF(C1189&gt;0,D1189/C1189,NA())</f>
        <v/>
      </c>
    </row>
    <row r="1190">
      <c r="A1190" t="inlineStr">
        <is>
          <t>Los Perales</t>
        </is>
      </c>
      <c r="B1190" t="inlineStr">
        <is>
          <t>2022-10</t>
        </is>
      </c>
      <c r="C1190" t="n">
        <v>38740.8</v>
      </c>
      <c r="D1190" t="n">
        <v>765942.6</v>
      </c>
      <c r="E1190">
        <f>E1189+C1190</f>
        <v/>
      </c>
      <c r="F1190">
        <f>IF(C1190&gt;0,D1190/C1190,NA())</f>
        <v/>
      </c>
    </row>
    <row r="1191">
      <c r="A1191" t="inlineStr">
        <is>
          <t>Los Perales</t>
        </is>
      </c>
      <c r="B1191" t="inlineStr">
        <is>
          <t>2022-11</t>
        </is>
      </c>
      <c r="C1191" t="n">
        <v>37768.8</v>
      </c>
      <c r="D1191" t="n">
        <v>720582.8</v>
      </c>
      <c r="E1191">
        <f>E1190+C1191</f>
        <v/>
      </c>
      <c r="F1191">
        <f>IF(C1191&gt;0,D1191/C1191,NA())</f>
        <v/>
      </c>
    </row>
    <row r="1192">
      <c r="A1192" t="inlineStr">
        <is>
          <t>Los Perales</t>
        </is>
      </c>
      <c r="B1192" t="inlineStr">
        <is>
          <t>2022-12</t>
        </is>
      </c>
      <c r="C1192" t="n">
        <v>38909.8</v>
      </c>
      <c r="D1192" t="n">
        <v>741626.8</v>
      </c>
      <c r="E1192">
        <f>E1191+C1192</f>
        <v/>
      </c>
      <c r="F1192">
        <f>IF(C1192&gt;0,D1192/C1192,NA())</f>
        <v/>
      </c>
    </row>
    <row r="1193">
      <c r="A1193" t="inlineStr">
        <is>
          <t>Los Perales</t>
        </is>
      </c>
      <c r="B1193" t="inlineStr">
        <is>
          <t>2023-01</t>
        </is>
      </c>
      <c r="C1193" t="n">
        <v>38963</v>
      </c>
      <c r="D1193" t="n">
        <v>767009.4</v>
      </c>
      <c r="E1193">
        <f>E1192+C1193</f>
        <v/>
      </c>
      <c r="F1193">
        <f>IF(C1193&gt;0,D1193/C1193,NA())</f>
        <v/>
      </c>
    </row>
    <row r="1194">
      <c r="A1194" t="inlineStr">
        <is>
          <t>Los Perales</t>
        </is>
      </c>
      <c r="B1194" t="inlineStr">
        <is>
          <t>2023-02</t>
        </is>
      </c>
      <c r="C1194" t="n">
        <v>35413.8</v>
      </c>
      <c r="D1194" t="n">
        <v>683898.6</v>
      </c>
      <c r="E1194">
        <f>E1193+C1194</f>
        <v/>
      </c>
      <c r="F1194">
        <f>IF(C1194&gt;0,D1194/C1194,NA())</f>
        <v/>
      </c>
    </row>
    <row r="1195">
      <c r="A1195" t="inlineStr">
        <is>
          <t>Los Perales</t>
        </is>
      </c>
      <c r="B1195" t="inlineStr">
        <is>
          <t>2023-03</t>
        </is>
      </c>
      <c r="C1195" t="n">
        <v>38588.1</v>
      </c>
      <c r="D1195" t="n">
        <v>746540.3</v>
      </c>
      <c r="E1195">
        <f>E1194+C1195</f>
        <v/>
      </c>
      <c r="F1195">
        <f>IF(C1195&gt;0,D1195/C1195,NA())</f>
        <v/>
      </c>
    </row>
    <row r="1196">
      <c r="A1196" t="inlineStr">
        <is>
          <t>Los Perales</t>
        </is>
      </c>
      <c r="B1196" t="inlineStr">
        <is>
          <t>2023-04</t>
        </is>
      </c>
      <c r="C1196" t="n">
        <v>38685.8</v>
      </c>
      <c r="D1196" t="n">
        <v>736704.5</v>
      </c>
      <c r="E1196">
        <f>E1195+C1196</f>
        <v/>
      </c>
      <c r="F1196">
        <f>IF(C1196&gt;0,D1196/C1196,NA())</f>
        <v/>
      </c>
    </row>
    <row r="1197">
      <c r="A1197" t="inlineStr">
        <is>
          <t>Los Perales</t>
        </is>
      </c>
      <c r="B1197" t="inlineStr">
        <is>
          <t>2023-05</t>
        </is>
      </c>
      <c r="C1197" t="n">
        <v>40010.4</v>
      </c>
      <c r="D1197" t="n">
        <v>776407.1</v>
      </c>
      <c r="E1197">
        <f>E1196+C1197</f>
        <v/>
      </c>
      <c r="F1197">
        <f>IF(C1197&gt;0,D1197/C1197,NA())</f>
        <v/>
      </c>
    </row>
    <row r="1198">
      <c r="A1198" t="inlineStr">
        <is>
          <t>Los Perales</t>
        </is>
      </c>
      <c r="B1198" t="inlineStr">
        <is>
          <t>2023-06</t>
        </is>
      </c>
      <c r="C1198" t="n">
        <v>38971.1</v>
      </c>
      <c r="D1198" t="n">
        <v>724883.2</v>
      </c>
      <c r="E1198">
        <f>E1197+C1198</f>
        <v/>
      </c>
      <c r="F1198">
        <f>IF(C1198&gt;0,D1198/C1198,NA())</f>
        <v/>
      </c>
    </row>
    <row r="1199">
      <c r="A1199" t="inlineStr">
        <is>
          <t>Los Perales</t>
        </is>
      </c>
      <c r="B1199" t="inlineStr">
        <is>
          <t>2023-07</t>
        </is>
      </c>
      <c r="C1199" t="n">
        <v>38920.4</v>
      </c>
      <c r="D1199" t="n">
        <v>744577.9</v>
      </c>
      <c r="E1199">
        <f>E1198+C1199</f>
        <v/>
      </c>
      <c r="F1199">
        <f>IF(C1199&gt;0,D1199/C1199,NA())</f>
        <v/>
      </c>
    </row>
    <row r="1200">
      <c r="A1200" t="inlineStr">
        <is>
          <t>Los Perales</t>
        </is>
      </c>
      <c r="B1200" t="inlineStr">
        <is>
          <t>2023-08</t>
        </is>
      </c>
      <c r="C1200" t="n">
        <v>38589.4</v>
      </c>
      <c r="D1200" t="n">
        <v>728675.6</v>
      </c>
      <c r="E1200">
        <f>E1199+C1200</f>
        <v/>
      </c>
      <c r="F1200">
        <f>IF(C1200&gt;0,D1200/C1200,NA())</f>
        <v/>
      </c>
    </row>
    <row r="1201">
      <c r="A1201" t="inlineStr">
        <is>
          <t>Los Perales</t>
        </is>
      </c>
      <c r="B1201" t="inlineStr">
        <is>
          <t>2023-09</t>
        </is>
      </c>
      <c r="C1201" t="n">
        <v>37050.3</v>
      </c>
      <c r="D1201" t="n">
        <v>712350.1</v>
      </c>
      <c r="E1201">
        <f>E1200+C1201</f>
        <v/>
      </c>
      <c r="F1201">
        <f>IF(C1201&gt;0,D1201/C1201,NA())</f>
        <v/>
      </c>
    </row>
    <row r="1202">
      <c r="A1202" t="inlineStr">
        <is>
          <t>Los Perales</t>
        </is>
      </c>
      <c r="B1202" t="inlineStr">
        <is>
          <t>2023-10</t>
        </is>
      </c>
      <c r="C1202" t="n">
        <v>39073</v>
      </c>
      <c r="D1202" t="n">
        <v>735082.8</v>
      </c>
      <c r="E1202">
        <f>E1201+C1202</f>
        <v/>
      </c>
      <c r="F1202">
        <f>IF(C1202&gt;0,D1202/C1202,NA())</f>
        <v/>
      </c>
    </row>
    <row r="1203">
      <c r="A1203" t="inlineStr">
        <is>
          <t>Los Perales</t>
        </is>
      </c>
      <c r="B1203" t="inlineStr">
        <is>
          <t>2023-11</t>
        </is>
      </c>
      <c r="C1203" t="n">
        <v>37611.7</v>
      </c>
      <c r="D1203" t="n">
        <v>727218.8</v>
      </c>
      <c r="E1203">
        <f>E1202+C1203</f>
        <v/>
      </c>
      <c r="F1203">
        <f>IF(C1203&gt;0,D1203/C1203,NA())</f>
        <v/>
      </c>
    </row>
    <row r="1204">
      <c r="A1204" t="inlineStr">
        <is>
          <t>Los Perales</t>
        </is>
      </c>
      <c r="B1204" t="inlineStr">
        <is>
          <t>2023-12</t>
        </is>
      </c>
      <c r="C1204" t="n">
        <v>37910.5</v>
      </c>
      <c r="D1204" t="n">
        <v>743028.8</v>
      </c>
      <c r="E1204">
        <f>E1203+C1204</f>
        <v/>
      </c>
      <c r="F1204">
        <f>IF(C1204&gt;0,D1204/C1204,NA())</f>
        <v/>
      </c>
    </row>
    <row r="1205">
      <c r="A1205" t="inlineStr">
        <is>
          <t>Los Perales</t>
        </is>
      </c>
      <c r="B1205" t="inlineStr">
        <is>
          <t>2024-01</t>
        </is>
      </c>
      <c r="C1205" t="n">
        <v>38261.8</v>
      </c>
      <c r="D1205" t="n">
        <v>757648.1</v>
      </c>
      <c r="E1205">
        <f>E1204+C1205</f>
        <v/>
      </c>
      <c r="F1205">
        <f>IF(C1205&gt;0,D1205/C1205,NA())</f>
        <v/>
      </c>
    </row>
    <row r="1206">
      <c r="A1206" t="inlineStr">
        <is>
          <t>Los Perales</t>
        </is>
      </c>
      <c r="B1206" t="inlineStr">
        <is>
          <t>2024-02</t>
        </is>
      </c>
      <c r="C1206" t="n">
        <v>35057.7</v>
      </c>
      <c r="D1206" t="n">
        <v>691930</v>
      </c>
      <c r="E1206">
        <f>E1205+C1206</f>
        <v/>
      </c>
      <c r="F1206">
        <f>IF(C1206&gt;0,D1206/C1206,NA())</f>
        <v/>
      </c>
    </row>
    <row r="1207">
      <c r="A1207" t="inlineStr">
        <is>
          <t>Los Perales</t>
        </is>
      </c>
      <c r="B1207" t="inlineStr">
        <is>
          <t>2024-03</t>
        </is>
      </c>
      <c r="C1207" t="n">
        <v>37857.5</v>
      </c>
      <c r="D1207" t="n">
        <v>723436.8</v>
      </c>
      <c r="E1207">
        <f>E1206+C1207</f>
        <v/>
      </c>
      <c r="F1207">
        <f>IF(C1207&gt;0,D1207/C1207,NA())</f>
        <v/>
      </c>
    </row>
    <row r="1208">
      <c r="A1208" t="inlineStr">
        <is>
          <t>Los Perales</t>
        </is>
      </c>
      <c r="B1208" t="inlineStr">
        <is>
          <t>2024-04</t>
        </is>
      </c>
      <c r="C1208" t="n">
        <v>35800.2</v>
      </c>
      <c r="D1208" t="n">
        <v>660269.8</v>
      </c>
      <c r="E1208">
        <f>E1207+C1208</f>
        <v/>
      </c>
      <c r="F1208">
        <f>IF(C1208&gt;0,D1208/C1208,NA())</f>
        <v/>
      </c>
    </row>
    <row r="1209">
      <c r="A1209" t="inlineStr">
        <is>
          <t>Los Perales</t>
        </is>
      </c>
      <c r="B1209" t="inlineStr">
        <is>
          <t>2024-05</t>
        </is>
      </c>
      <c r="C1209" t="n">
        <v>36531.7</v>
      </c>
      <c r="D1209" t="n">
        <v>681573.2</v>
      </c>
      <c r="E1209">
        <f>E1208+C1209</f>
        <v/>
      </c>
      <c r="F1209">
        <f>IF(C1209&gt;0,D1209/C1209,NA())</f>
        <v/>
      </c>
    </row>
    <row r="1210">
      <c r="A1210" t="inlineStr">
        <is>
          <t>Los Perales</t>
        </is>
      </c>
      <c r="B1210" t="inlineStr">
        <is>
          <t>2024-06</t>
        </is>
      </c>
      <c r="C1210" t="n">
        <v>32612.7</v>
      </c>
      <c r="D1210" t="n">
        <v>633248.7</v>
      </c>
      <c r="E1210">
        <f>E1209+C1210</f>
        <v/>
      </c>
      <c r="F1210">
        <f>IF(C1210&gt;0,D1210/C1210,NA())</f>
        <v/>
      </c>
    </row>
    <row r="1211">
      <c r="A1211" t="inlineStr">
        <is>
          <t>Los Perales</t>
        </is>
      </c>
      <c r="B1211" t="inlineStr">
        <is>
          <t>2024-07</t>
        </is>
      </c>
      <c r="C1211" t="n">
        <v>29260.8</v>
      </c>
      <c r="D1211" t="n">
        <v>576491.4</v>
      </c>
      <c r="E1211">
        <f>E1210+C1211</f>
        <v/>
      </c>
      <c r="F1211">
        <f>IF(C1211&gt;0,D1211/C1211,NA())</f>
        <v/>
      </c>
    </row>
    <row r="1212">
      <c r="A1212" t="inlineStr">
        <is>
          <t>Los Perales</t>
        </is>
      </c>
      <c r="B1212" t="inlineStr">
        <is>
          <t>2024-08</t>
        </is>
      </c>
      <c r="C1212" t="n">
        <v>33630.8</v>
      </c>
      <c r="D1212" t="n">
        <v>650305.6</v>
      </c>
      <c r="E1212">
        <f>E1211+C1212</f>
        <v/>
      </c>
      <c r="F1212">
        <f>IF(C1212&gt;0,D1212/C1212,NA())</f>
        <v/>
      </c>
    </row>
    <row r="1213">
      <c r="A1213" t="inlineStr">
        <is>
          <t>Los Perales</t>
        </is>
      </c>
      <c r="B1213" t="inlineStr">
        <is>
          <t>2024-09</t>
        </is>
      </c>
      <c r="C1213" t="n">
        <v>33142</v>
      </c>
      <c r="D1213" t="n">
        <v>644699.8</v>
      </c>
      <c r="E1213">
        <f>E1212+C1213</f>
        <v/>
      </c>
      <c r="F1213">
        <f>IF(C1213&gt;0,D1213/C1213,NA())</f>
        <v/>
      </c>
    </row>
    <row r="1214">
      <c r="A1214" t="inlineStr">
        <is>
          <t>Los Perales</t>
        </is>
      </c>
      <c r="B1214" t="inlineStr">
        <is>
          <t>2024-10</t>
        </is>
      </c>
      <c r="C1214" t="n">
        <v>34416.7</v>
      </c>
      <c r="D1214" t="n">
        <v>675892.8</v>
      </c>
      <c r="E1214">
        <f>E1213+C1214</f>
        <v/>
      </c>
      <c r="F1214">
        <f>IF(C1214&gt;0,D1214/C1214,NA())</f>
        <v/>
      </c>
    </row>
    <row r="1215">
      <c r="A1215" t="inlineStr">
        <is>
          <t>Los Perales</t>
        </is>
      </c>
      <c r="B1215" t="inlineStr">
        <is>
          <t>2024-11</t>
        </is>
      </c>
      <c r="C1215" t="n">
        <v>33458.7</v>
      </c>
      <c r="D1215" t="n">
        <v>657991.6</v>
      </c>
      <c r="E1215">
        <f>E1214+C1215</f>
        <v/>
      </c>
      <c r="F1215">
        <f>IF(C1215&gt;0,D1215/C1215,NA())</f>
        <v/>
      </c>
    </row>
    <row r="1216">
      <c r="A1216" t="inlineStr">
        <is>
          <t>Los Perales</t>
        </is>
      </c>
      <c r="B1216" t="inlineStr">
        <is>
          <t>2024-12</t>
        </is>
      </c>
      <c r="C1216" t="n">
        <v>33999.8</v>
      </c>
      <c r="D1216" t="n">
        <v>666732.6</v>
      </c>
      <c r="E1216">
        <f>E1215+C1216</f>
        <v/>
      </c>
      <c r="F1216">
        <f>IF(C1216&gt;0,D1216/C1216,NA())</f>
        <v/>
      </c>
    </row>
    <row r="1217">
      <c r="A1217" t="inlineStr">
        <is>
          <t>Los Perales</t>
        </is>
      </c>
      <c r="B1217" t="inlineStr">
        <is>
          <t>2025-01</t>
        </is>
      </c>
      <c r="C1217" t="n">
        <v>33176.7</v>
      </c>
      <c r="D1217" t="n">
        <v>646430.8</v>
      </c>
      <c r="E1217">
        <f>E1216+C1217</f>
        <v/>
      </c>
      <c r="F1217">
        <f>IF(C1217&gt;0,D1217/C1217,NA())</f>
        <v/>
      </c>
    </row>
    <row r="1218">
      <c r="A1218" t="inlineStr">
        <is>
          <t>Los Perales</t>
        </is>
      </c>
      <c r="B1218" t="inlineStr">
        <is>
          <t>2025-02</t>
        </is>
      </c>
      <c r="C1218" t="n">
        <v>29601</v>
      </c>
      <c r="D1218" t="n">
        <v>590499.9</v>
      </c>
      <c r="E1218">
        <f>E1217+C1218</f>
        <v/>
      </c>
      <c r="F1218">
        <f>IF(C1218&gt;0,D1218/C1218,NA())</f>
        <v/>
      </c>
    </row>
    <row r="1219">
      <c r="A1219" t="inlineStr">
        <is>
          <t>Los Perales</t>
        </is>
      </c>
      <c r="B1219" t="inlineStr">
        <is>
          <t>2025-03</t>
        </is>
      </c>
      <c r="C1219" t="n">
        <v>32604.4</v>
      </c>
      <c r="D1219" t="n">
        <v>677733.4</v>
      </c>
      <c r="E1219">
        <f>E1218+C1219</f>
        <v/>
      </c>
      <c r="F1219">
        <f>IF(C1219&gt;0,D1219/C1219,NA())</f>
        <v/>
      </c>
    </row>
    <row r="1220">
      <c r="A1220" t="inlineStr">
        <is>
          <t>Los Perales</t>
        </is>
      </c>
      <c r="B1220" t="inlineStr">
        <is>
          <t>2025-04</t>
        </is>
      </c>
      <c r="C1220" t="n">
        <v>30553.8</v>
      </c>
      <c r="D1220" t="n">
        <v>662839.3</v>
      </c>
      <c r="E1220">
        <f>E1219+C1220</f>
        <v/>
      </c>
      <c r="F1220">
        <f>IF(C1220&gt;0,D1220/C1220,NA())</f>
        <v/>
      </c>
    </row>
    <row r="1221">
      <c r="A1221" t="inlineStr">
        <is>
          <t>Los Perales</t>
        </is>
      </c>
      <c r="B1221" t="inlineStr">
        <is>
          <t>2025-05</t>
        </is>
      </c>
      <c r="C1221" t="n">
        <v>32581.9</v>
      </c>
      <c r="D1221" t="n">
        <v>680044.6</v>
      </c>
      <c r="E1221">
        <f>E1220+C1221</f>
        <v/>
      </c>
      <c r="F1221">
        <f>IF(C1221&gt;0,D1221/C1221,NA())</f>
        <v/>
      </c>
    </row>
    <row r="1222">
      <c r="A1222" t="inlineStr">
        <is>
          <t>Los Perales</t>
        </is>
      </c>
      <c r="B1222" t="inlineStr">
        <is>
          <t>2025-06</t>
        </is>
      </c>
      <c r="C1222" t="n">
        <v>29681.8</v>
      </c>
      <c r="D1222" t="n">
        <v>669469</v>
      </c>
      <c r="E1222">
        <f>E1221+C1222</f>
        <v/>
      </c>
      <c r="F1222">
        <f>IF(C1222&gt;0,D1222/C1222,NA())</f>
        <v/>
      </c>
    </row>
    <row r="1223">
      <c r="A1223" t="inlineStr">
        <is>
          <t>Los Perales</t>
        </is>
      </c>
      <c r="B1223" t="inlineStr">
        <is>
          <t>2025-07</t>
        </is>
      </c>
      <c r="C1223" t="n">
        <v>29363.7</v>
      </c>
      <c r="D1223" t="n">
        <v>663557.6</v>
      </c>
      <c r="E1223">
        <f>E1222+C1223</f>
        <v/>
      </c>
      <c r="F1223">
        <f>IF(C1223&gt;0,D1223/C1223,NA())</f>
        <v/>
      </c>
    </row>
    <row r="1224">
      <c r="A1224" t="inlineStr">
        <is>
          <t>Los Perales</t>
        </is>
      </c>
      <c r="B1224" t="inlineStr">
        <is>
          <t>2025-08</t>
        </is>
      </c>
      <c r="C1224" t="n">
        <v>29656.3</v>
      </c>
      <c r="D1224" t="n">
        <v>641664.9</v>
      </c>
      <c r="E1224">
        <f>E1223+C1224</f>
        <v/>
      </c>
      <c r="F1224">
        <f>IF(C1224&gt;0,D1224/C1224,NA())</f>
        <v/>
      </c>
    </row>
    <row r="1225">
      <c r="A1225" t="inlineStr">
        <is>
          <t>Los Perales</t>
        </is>
      </c>
      <c r="B1225" t="inlineStr">
        <is>
          <t>2025-09</t>
        </is>
      </c>
      <c r="C1225" t="n">
        <v>26925.6</v>
      </c>
      <c r="D1225" t="n">
        <v>609670.9</v>
      </c>
      <c r="E1225">
        <f>E1224+C1225</f>
        <v/>
      </c>
      <c r="F1225">
        <f>IF(C1225&gt;0,D1225/C1225,NA())</f>
        <v/>
      </c>
    </row>
    <row r="1226">
      <c r="A1226" t="inlineStr">
        <is>
          <t>Los Perales</t>
        </is>
      </c>
      <c r="B1226" t="inlineStr">
        <is>
          <t>2025-10</t>
        </is>
      </c>
      <c r="C1226" t="n">
        <v>29143.3</v>
      </c>
      <c r="D1226" t="n">
        <v>629328</v>
      </c>
      <c r="E1226">
        <f>E1225+C1226</f>
        <v/>
      </c>
      <c r="F1226">
        <f>IF(C1226&gt;0,D1226/C1226,NA())</f>
        <v/>
      </c>
    </row>
    <row r="1227">
      <c r="A1227" t="inlineStr">
        <is>
          <t>Los Perales</t>
        </is>
      </c>
      <c r="B1227" t="inlineStr">
        <is>
          <t>2025-11</t>
        </is>
      </c>
      <c r="C1227" t="n">
        <v>27612.3</v>
      </c>
      <c r="D1227" t="n">
        <v>627374.3</v>
      </c>
      <c r="E1227">
        <f>E1226+C1227</f>
        <v/>
      </c>
      <c r="F1227">
        <f>IF(C1227&gt;0,D1227/C1227,NA())</f>
        <v/>
      </c>
    </row>
    <row r="1228">
      <c r="A1228" t="inlineStr">
        <is>
          <t>Los Perales</t>
        </is>
      </c>
      <c r="B1228" t="inlineStr">
        <is>
          <t>2025-12</t>
        </is>
      </c>
      <c r="C1228" t="n">
        <v>27941.9</v>
      </c>
      <c r="D1228" t="n">
        <v>648032.7</v>
      </c>
      <c r="E1228">
        <f>E1227+C1228</f>
        <v/>
      </c>
      <c r="F1228">
        <f>IF(C1228&gt;0,D1228/C1228,NA())</f>
        <v/>
      </c>
    </row>
    <row r="1229">
      <c r="A1229" t="inlineStr">
        <is>
          <t>Los Perales</t>
        </is>
      </c>
      <c r="B1229" t="inlineStr">
        <is>
          <t>2026-01</t>
        </is>
      </c>
      <c r="C1229" t="n">
        <v>28172.9</v>
      </c>
      <c r="D1229" t="n">
        <v>656412.9</v>
      </c>
      <c r="E1229">
        <f>E1228+C1229</f>
        <v/>
      </c>
      <c r="F1229">
        <f>IF(C1229&gt;0,D1229/C1229,NA())</f>
        <v/>
      </c>
    </row>
    <row r="1230">
      <c r="A1230" t="inlineStr">
        <is>
          <t>Los Perales</t>
        </is>
      </c>
      <c r="B1230" t="inlineStr">
        <is>
          <t>2026-02</t>
        </is>
      </c>
      <c r="C1230" t="n">
        <v>25188.2</v>
      </c>
      <c r="D1230" t="n">
        <v>585171.5</v>
      </c>
      <c r="E1230">
        <f>E1229+C1230</f>
        <v/>
      </c>
      <c r="F1230">
        <f>IF(C1230&gt;0,D1230/C1230,NA())</f>
        <v/>
      </c>
    </row>
    <row r="1231">
      <c r="A1231" t="inlineStr">
        <is>
          <t>Los Perales</t>
        </is>
      </c>
      <c r="B1231" t="inlineStr">
        <is>
          <t>2026-03</t>
        </is>
      </c>
      <c r="C1231" t="n">
        <v>27722.2</v>
      </c>
      <c r="D1231" t="n">
        <v>645413.6</v>
      </c>
      <c r="E1231">
        <f>E1230+C1231</f>
        <v/>
      </c>
      <c r="F1231">
        <f>IF(C1231&gt;0,D1231/C1231,NA())</f>
        <v/>
      </c>
    </row>
    <row r="1232">
      <c r="A1232" t="inlineStr">
        <is>
          <t>Los Perales</t>
        </is>
      </c>
      <c r="B1232" t="inlineStr">
        <is>
          <t>2026-04</t>
        </is>
      </c>
      <c r="C1232" t="n">
        <v>26298.2</v>
      </c>
      <c r="D1232" t="n">
        <v>624584.6</v>
      </c>
      <c r="E1232">
        <f>E1231+C1232</f>
        <v/>
      </c>
      <c r="F1232">
        <f>IF(C1232&gt;0,D1232/C1232,NA())</f>
        <v/>
      </c>
    </row>
    <row r="1233">
      <c r="A1233" t="inlineStr">
        <is>
          <t>Los Perales</t>
        </is>
      </c>
      <c r="B1233" t="inlineStr">
        <is>
          <t>2026-05</t>
        </is>
      </c>
      <c r="C1233" t="n">
        <v>27339.8</v>
      </c>
      <c r="D1233" t="n">
        <v>646994.4</v>
      </c>
      <c r="E1233">
        <f>E1232+C1233</f>
        <v/>
      </c>
      <c r="F1233">
        <f>IF(C1233&gt;0,D1233/C1233,NA())</f>
        <v/>
      </c>
    </row>
    <row r="1234">
      <c r="A1234" t="inlineStr">
        <is>
          <t>Los Perales</t>
        </is>
      </c>
      <c r="B1234" t="inlineStr">
        <is>
          <t>2026-06</t>
        </is>
      </c>
      <c r="C1234" t="n">
        <v>26137.3</v>
      </c>
      <c r="D1234" t="n">
        <v>619222.4</v>
      </c>
      <c r="E1234">
        <f>E1233+C1234</f>
        <v/>
      </c>
      <c r="F1234">
        <f>IF(C1234&gt;0,D1234/C1234,NA())</f>
        <v/>
      </c>
    </row>
    <row r="1235">
      <c r="A1235" t="inlineStr">
        <is>
          <t>Los Perales</t>
        </is>
      </c>
      <c r="B1235" t="inlineStr">
        <is>
          <t>2026-07</t>
        </is>
      </c>
      <c r="C1235" t="n">
        <v>25349.5</v>
      </c>
      <c r="D1235" t="n">
        <v>618022.2</v>
      </c>
      <c r="E1235">
        <f>E1234+C1235</f>
        <v/>
      </c>
      <c r="F1235">
        <f>IF(C1235&gt;0,D1235/C1235,NA())</f>
        <v/>
      </c>
    </row>
    <row r="1236">
      <c r="A1236" t="inlineStr">
        <is>
          <t>Manantiales Behr</t>
        </is>
      </c>
      <c r="B1236" t="inlineStr">
        <is>
          <t>2006-01</t>
        </is>
      </c>
      <c r="C1236" t="n">
        <v>75885.5</v>
      </c>
      <c r="D1236" t="n">
        <v>253704.6</v>
      </c>
      <c r="E1236">
        <f>C1236</f>
        <v/>
      </c>
      <c r="F1236">
        <f>IF(C1236&gt;0,D1236/C1236,NA())</f>
        <v/>
      </c>
    </row>
    <row r="1237">
      <c r="A1237" t="inlineStr">
        <is>
          <t>Manantiales Behr</t>
        </is>
      </c>
      <c r="B1237" t="inlineStr">
        <is>
          <t>2006-02</t>
        </is>
      </c>
      <c r="C1237" t="n">
        <v>68626.5</v>
      </c>
      <c r="D1237" t="n">
        <v>226337.5</v>
      </c>
      <c r="E1237">
        <f>E1236+C1237</f>
        <v/>
      </c>
      <c r="F1237">
        <f>IF(C1237&gt;0,D1237/C1237,NA())</f>
        <v/>
      </c>
    </row>
    <row r="1238">
      <c r="A1238" t="inlineStr">
        <is>
          <t>Manantiales Behr</t>
        </is>
      </c>
      <c r="B1238" t="inlineStr">
        <is>
          <t>2006-03</t>
        </is>
      </c>
      <c r="C1238" t="n">
        <v>78046.10000000001</v>
      </c>
      <c r="D1238" t="n">
        <v>239640</v>
      </c>
      <c r="E1238">
        <f>E1237+C1238</f>
        <v/>
      </c>
      <c r="F1238">
        <f>IF(C1238&gt;0,D1238/C1238,NA())</f>
        <v/>
      </c>
    </row>
    <row r="1239">
      <c r="A1239" t="inlineStr">
        <is>
          <t>Manantiales Behr</t>
        </is>
      </c>
      <c r="B1239" t="inlineStr">
        <is>
          <t>2006-04</t>
        </is>
      </c>
      <c r="C1239" t="n">
        <v>75749.2</v>
      </c>
      <c r="D1239" t="n">
        <v>235121.4</v>
      </c>
      <c r="E1239">
        <f>E1238+C1239</f>
        <v/>
      </c>
      <c r="F1239">
        <f>IF(C1239&gt;0,D1239/C1239,NA())</f>
        <v/>
      </c>
    </row>
    <row r="1240">
      <c r="A1240" t="inlineStr">
        <is>
          <t>Manantiales Behr</t>
        </is>
      </c>
      <c r="B1240" t="inlineStr">
        <is>
          <t>2006-05</t>
        </is>
      </c>
      <c r="C1240" t="n">
        <v>80787.10000000001</v>
      </c>
      <c r="D1240" t="n">
        <v>240347.2</v>
      </c>
      <c r="E1240">
        <f>E1239+C1240</f>
        <v/>
      </c>
      <c r="F1240">
        <f>IF(C1240&gt;0,D1240/C1240,NA())</f>
        <v/>
      </c>
    </row>
    <row r="1241">
      <c r="A1241" t="inlineStr">
        <is>
          <t>Manantiales Behr</t>
        </is>
      </c>
      <c r="B1241" t="inlineStr">
        <is>
          <t>2006-06</t>
        </is>
      </c>
      <c r="C1241" t="n">
        <v>76556.10000000001</v>
      </c>
      <c r="D1241" t="n">
        <v>233857</v>
      </c>
      <c r="E1241">
        <f>E1240+C1241</f>
        <v/>
      </c>
      <c r="F1241">
        <f>IF(C1241&gt;0,D1241/C1241,NA())</f>
        <v/>
      </c>
    </row>
    <row r="1242">
      <c r="A1242" t="inlineStr">
        <is>
          <t>Manantiales Behr</t>
        </is>
      </c>
      <c r="B1242" t="inlineStr">
        <is>
          <t>2006-07</t>
        </is>
      </c>
      <c r="C1242" t="n">
        <v>82333.60000000001</v>
      </c>
      <c r="D1242" t="n">
        <v>235120.9</v>
      </c>
      <c r="E1242">
        <f>E1241+C1242</f>
        <v/>
      </c>
      <c r="F1242">
        <f>IF(C1242&gt;0,D1242/C1242,NA())</f>
        <v/>
      </c>
    </row>
    <row r="1243">
      <c r="A1243" t="inlineStr">
        <is>
          <t>Manantiales Behr</t>
        </is>
      </c>
      <c r="B1243" t="inlineStr">
        <is>
          <t>2006-08</t>
        </is>
      </c>
      <c r="C1243" t="n">
        <v>80948.3</v>
      </c>
      <c r="D1243" t="n">
        <v>231235.6</v>
      </c>
      <c r="E1243">
        <f>E1242+C1243</f>
        <v/>
      </c>
      <c r="F1243">
        <f>IF(C1243&gt;0,D1243/C1243,NA())</f>
        <v/>
      </c>
    </row>
    <row r="1244">
      <c r="A1244" t="inlineStr">
        <is>
          <t>Manantiales Behr</t>
        </is>
      </c>
      <c r="B1244" t="inlineStr">
        <is>
          <t>2006-09</t>
        </is>
      </c>
      <c r="C1244" t="n">
        <v>77530.10000000001</v>
      </c>
      <c r="D1244" t="n">
        <v>216525.8</v>
      </c>
      <c r="E1244">
        <f>E1243+C1244</f>
        <v/>
      </c>
      <c r="F1244">
        <f>IF(C1244&gt;0,D1244/C1244,NA())</f>
        <v/>
      </c>
    </row>
    <row r="1245">
      <c r="A1245" t="inlineStr">
        <is>
          <t>Manantiales Behr</t>
        </is>
      </c>
      <c r="B1245" t="inlineStr">
        <is>
          <t>2006-10</t>
        </is>
      </c>
      <c r="C1245" t="n">
        <v>80660</v>
      </c>
      <c r="D1245" t="n">
        <v>225320.8</v>
      </c>
      <c r="E1245">
        <f>E1244+C1245</f>
        <v/>
      </c>
      <c r="F1245">
        <f>IF(C1245&gt;0,D1245/C1245,NA())</f>
        <v/>
      </c>
    </row>
    <row r="1246">
      <c r="A1246" t="inlineStr">
        <is>
          <t>Manantiales Behr</t>
        </is>
      </c>
      <c r="B1246" t="inlineStr">
        <is>
          <t>2006-11</t>
        </is>
      </c>
      <c r="C1246" t="n">
        <v>67403.10000000001</v>
      </c>
      <c r="D1246" t="n">
        <v>194796.5</v>
      </c>
      <c r="E1246">
        <f>E1245+C1246</f>
        <v/>
      </c>
      <c r="F1246">
        <f>IF(C1246&gt;0,D1246/C1246,NA())</f>
        <v/>
      </c>
    </row>
    <row r="1247">
      <c r="A1247" t="inlineStr">
        <is>
          <t>Manantiales Behr</t>
        </is>
      </c>
      <c r="B1247" t="inlineStr">
        <is>
          <t>2006-12</t>
        </is>
      </c>
      <c r="C1247" t="n">
        <v>80671</v>
      </c>
      <c r="D1247" t="n">
        <v>235863</v>
      </c>
      <c r="E1247">
        <f>E1246+C1247</f>
        <v/>
      </c>
      <c r="F1247">
        <f>IF(C1247&gt;0,D1247/C1247,NA())</f>
        <v/>
      </c>
    </row>
    <row r="1248">
      <c r="A1248" t="inlineStr">
        <is>
          <t>Manantiales Behr</t>
        </is>
      </c>
      <c r="B1248" t="inlineStr">
        <is>
          <t>2007-01</t>
        </is>
      </c>
      <c r="C1248" t="n">
        <v>81465.60000000001</v>
      </c>
      <c r="D1248" t="n">
        <v>230773.1</v>
      </c>
      <c r="E1248">
        <f>E1247+C1248</f>
        <v/>
      </c>
      <c r="F1248">
        <f>IF(C1248&gt;0,D1248/C1248,NA())</f>
        <v/>
      </c>
    </row>
    <row r="1249">
      <c r="A1249" t="inlineStr">
        <is>
          <t>Manantiales Behr</t>
        </is>
      </c>
      <c r="B1249" t="inlineStr">
        <is>
          <t>2007-02</t>
        </is>
      </c>
      <c r="C1249" t="n">
        <v>74538.39999999999</v>
      </c>
      <c r="D1249" t="n">
        <v>191626.4</v>
      </c>
      <c r="E1249">
        <f>E1248+C1249</f>
        <v/>
      </c>
      <c r="F1249">
        <f>IF(C1249&gt;0,D1249/C1249,NA())</f>
        <v/>
      </c>
    </row>
    <row r="1250">
      <c r="A1250" t="inlineStr">
        <is>
          <t>Manantiales Behr</t>
        </is>
      </c>
      <c r="B1250" t="inlineStr">
        <is>
          <t>2007-03</t>
        </is>
      </c>
      <c r="C1250" t="n">
        <v>81104.39999999999</v>
      </c>
      <c r="D1250" t="n">
        <v>233509</v>
      </c>
      <c r="E1250">
        <f>E1249+C1250</f>
        <v/>
      </c>
      <c r="F1250">
        <f>IF(C1250&gt;0,D1250/C1250,NA())</f>
        <v/>
      </c>
    </row>
    <row r="1251">
      <c r="A1251" t="inlineStr">
        <is>
          <t>Manantiales Behr</t>
        </is>
      </c>
      <c r="B1251" t="inlineStr">
        <is>
          <t>2007-04</t>
        </is>
      </c>
      <c r="C1251" t="n">
        <v>79370.10000000001</v>
      </c>
      <c r="D1251" t="n">
        <v>237359.2</v>
      </c>
      <c r="E1251">
        <f>E1250+C1251</f>
        <v/>
      </c>
      <c r="F1251">
        <f>IF(C1251&gt;0,D1251/C1251,NA())</f>
        <v/>
      </c>
    </row>
    <row r="1252">
      <c r="A1252" t="inlineStr">
        <is>
          <t>Manantiales Behr</t>
        </is>
      </c>
      <c r="B1252" t="inlineStr">
        <is>
          <t>2007-05</t>
        </is>
      </c>
      <c r="C1252" t="n">
        <v>82200.39999999999</v>
      </c>
      <c r="D1252" t="n">
        <v>250132.6</v>
      </c>
      <c r="E1252">
        <f>E1251+C1252</f>
        <v/>
      </c>
      <c r="F1252">
        <f>IF(C1252&gt;0,D1252/C1252,NA())</f>
        <v/>
      </c>
    </row>
    <row r="1253">
      <c r="A1253" t="inlineStr">
        <is>
          <t>Manantiales Behr</t>
        </is>
      </c>
      <c r="B1253" t="inlineStr">
        <is>
          <t>2007-06</t>
        </is>
      </c>
      <c r="C1253" t="n">
        <v>79692.10000000001</v>
      </c>
      <c r="D1253" t="n">
        <v>238006.1</v>
      </c>
      <c r="E1253">
        <f>E1252+C1253</f>
        <v/>
      </c>
      <c r="F1253">
        <f>IF(C1253&gt;0,D1253/C1253,NA())</f>
        <v/>
      </c>
    </row>
    <row r="1254">
      <c r="A1254" t="inlineStr">
        <is>
          <t>Manantiales Behr</t>
        </is>
      </c>
      <c r="B1254" t="inlineStr">
        <is>
          <t>2007-07</t>
        </is>
      </c>
      <c r="C1254" t="n">
        <v>68848.60000000001</v>
      </c>
      <c r="D1254" t="n">
        <v>219280.2</v>
      </c>
      <c r="E1254">
        <f>E1253+C1254</f>
        <v/>
      </c>
      <c r="F1254">
        <f>IF(C1254&gt;0,D1254/C1254,NA())</f>
        <v/>
      </c>
    </row>
    <row r="1255">
      <c r="A1255" t="inlineStr">
        <is>
          <t>Manantiales Behr</t>
        </is>
      </c>
      <c r="B1255" t="inlineStr">
        <is>
          <t>2007-08</t>
        </is>
      </c>
      <c r="C1255" t="n">
        <v>80312.7</v>
      </c>
      <c r="D1255" t="n">
        <v>227731</v>
      </c>
      <c r="E1255">
        <f>E1254+C1255</f>
        <v/>
      </c>
      <c r="F1255">
        <f>IF(C1255&gt;0,D1255/C1255,NA())</f>
        <v/>
      </c>
    </row>
    <row r="1256">
      <c r="A1256" t="inlineStr">
        <is>
          <t>Manantiales Behr</t>
        </is>
      </c>
      <c r="B1256" t="inlineStr">
        <is>
          <t>2007-09</t>
        </is>
      </c>
      <c r="C1256" t="n">
        <v>80886.5</v>
      </c>
      <c r="D1256" t="n">
        <v>214913.8</v>
      </c>
      <c r="E1256">
        <f>E1255+C1256</f>
        <v/>
      </c>
      <c r="F1256">
        <f>IF(C1256&gt;0,D1256/C1256,NA())</f>
        <v/>
      </c>
    </row>
    <row r="1257">
      <c r="A1257" t="inlineStr">
        <is>
          <t>Manantiales Behr</t>
        </is>
      </c>
      <c r="B1257" t="inlineStr">
        <is>
          <t>2007-10</t>
        </is>
      </c>
      <c r="C1257" t="n">
        <v>84618.39999999999</v>
      </c>
      <c r="D1257" t="n">
        <v>240487</v>
      </c>
      <c r="E1257">
        <f>E1256+C1257</f>
        <v/>
      </c>
      <c r="F1257">
        <f>IF(C1257&gt;0,D1257/C1257,NA())</f>
        <v/>
      </c>
    </row>
    <row r="1258">
      <c r="A1258" t="inlineStr">
        <is>
          <t>Manantiales Behr</t>
        </is>
      </c>
      <c r="B1258" t="inlineStr">
        <is>
          <t>2007-11</t>
        </is>
      </c>
      <c r="C1258" t="n">
        <v>59792.1</v>
      </c>
      <c r="D1258" t="n">
        <v>170314.2</v>
      </c>
      <c r="E1258">
        <f>E1257+C1258</f>
        <v/>
      </c>
      <c r="F1258">
        <f>IF(C1258&gt;0,D1258/C1258,NA())</f>
        <v/>
      </c>
    </row>
    <row r="1259">
      <c r="A1259" t="inlineStr">
        <is>
          <t>Manantiales Behr</t>
        </is>
      </c>
      <c r="B1259" t="inlineStr">
        <is>
          <t>2007-12</t>
        </is>
      </c>
      <c r="C1259" t="n">
        <v>82883.10000000001</v>
      </c>
      <c r="D1259" t="n">
        <v>224854.8</v>
      </c>
      <c r="E1259">
        <f>E1258+C1259</f>
        <v/>
      </c>
      <c r="F1259">
        <f>IF(C1259&gt;0,D1259/C1259,NA())</f>
        <v/>
      </c>
    </row>
    <row r="1260">
      <c r="A1260" t="inlineStr">
        <is>
          <t>Manantiales Behr</t>
        </is>
      </c>
      <c r="B1260" t="inlineStr">
        <is>
          <t>2008-01</t>
        </is>
      </c>
      <c r="C1260" t="n">
        <v>79097.5</v>
      </c>
      <c r="D1260" t="n">
        <v>220073.6</v>
      </c>
      <c r="E1260">
        <f>E1259+C1260</f>
        <v/>
      </c>
      <c r="F1260">
        <f>IF(C1260&gt;0,D1260/C1260,NA())</f>
        <v/>
      </c>
    </row>
    <row r="1261">
      <c r="A1261" t="inlineStr">
        <is>
          <t>Manantiales Behr</t>
        </is>
      </c>
      <c r="B1261" t="inlineStr">
        <is>
          <t>2008-02</t>
        </is>
      </c>
      <c r="C1261" t="n">
        <v>78113.89999999999</v>
      </c>
      <c r="D1261" t="n">
        <v>196964</v>
      </c>
      <c r="E1261">
        <f>E1260+C1261</f>
        <v/>
      </c>
      <c r="F1261">
        <f>IF(C1261&gt;0,D1261/C1261,NA())</f>
        <v/>
      </c>
    </row>
    <row r="1262">
      <c r="A1262" t="inlineStr">
        <is>
          <t>Manantiales Behr</t>
        </is>
      </c>
      <c r="B1262" t="inlineStr">
        <is>
          <t>2008-03</t>
        </is>
      </c>
      <c r="C1262" t="n">
        <v>82602.5</v>
      </c>
      <c r="D1262" t="n">
        <v>243084.6</v>
      </c>
      <c r="E1262">
        <f>E1261+C1262</f>
        <v/>
      </c>
      <c r="F1262">
        <f>IF(C1262&gt;0,D1262/C1262,NA())</f>
        <v/>
      </c>
    </row>
    <row r="1263">
      <c r="A1263" t="inlineStr">
        <is>
          <t>Manantiales Behr</t>
        </is>
      </c>
      <c r="B1263" t="inlineStr">
        <is>
          <t>2008-04</t>
        </is>
      </c>
      <c r="C1263" t="n">
        <v>77920.39999999999</v>
      </c>
      <c r="D1263" t="n">
        <v>249544.2</v>
      </c>
      <c r="E1263">
        <f>E1262+C1263</f>
        <v/>
      </c>
      <c r="F1263">
        <f>IF(C1263&gt;0,D1263/C1263,NA())</f>
        <v/>
      </c>
    </row>
    <row r="1264">
      <c r="A1264" t="inlineStr">
        <is>
          <t>Manantiales Behr</t>
        </is>
      </c>
      <c r="B1264" t="inlineStr">
        <is>
          <t>2008-05</t>
        </is>
      </c>
      <c r="C1264" t="n">
        <v>65650</v>
      </c>
      <c r="D1264" t="n">
        <v>191369.6</v>
      </c>
      <c r="E1264">
        <f>E1263+C1264</f>
        <v/>
      </c>
      <c r="F1264">
        <f>IF(C1264&gt;0,D1264/C1264,NA())</f>
        <v/>
      </c>
    </row>
    <row r="1265">
      <c r="A1265" t="inlineStr">
        <is>
          <t>Manantiales Behr</t>
        </is>
      </c>
      <c r="B1265" t="inlineStr">
        <is>
          <t>2008-06</t>
        </is>
      </c>
      <c r="C1265" t="n">
        <v>74507.39999999999</v>
      </c>
      <c r="D1265" t="n">
        <v>248019.4</v>
      </c>
      <c r="E1265">
        <f>E1264+C1265</f>
        <v/>
      </c>
      <c r="F1265">
        <f>IF(C1265&gt;0,D1265/C1265,NA())</f>
        <v/>
      </c>
    </row>
    <row r="1266">
      <c r="A1266" t="inlineStr">
        <is>
          <t>Manantiales Behr</t>
        </is>
      </c>
      <c r="B1266" t="inlineStr">
        <is>
          <t>2008-07</t>
        </is>
      </c>
      <c r="C1266" t="n">
        <v>75894.5</v>
      </c>
      <c r="D1266" t="n">
        <v>236258.1</v>
      </c>
      <c r="E1266">
        <f>E1265+C1266</f>
        <v/>
      </c>
      <c r="F1266">
        <f>IF(C1266&gt;0,D1266/C1266,NA())</f>
        <v/>
      </c>
    </row>
    <row r="1267">
      <c r="A1267" t="inlineStr">
        <is>
          <t>Manantiales Behr</t>
        </is>
      </c>
      <c r="B1267" t="inlineStr">
        <is>
          <t>2008-08</t>
        </is>
      </c>
      <c r="C1267" t="n">
        <v>80549.60000000001</v>
      </c>
      <c r="D1267" t="n">
        <v>250231.7</v>
      </c>
      <c r="E1267">
        <f>E1266+C1267</f>
        <v/>
      </c>
      <c r="F1267">
        <f>IF(C1267&gt;0,D1267/C1267,NA())</f>
        <v/>
      </c>
    </row>
    <row r="1268">
      <c r="A1268" t="inlineStr">
        <is>
          <t>Manantiales Behr</t>
        </is>
      </c>
      <c r="B1268" t="inlineStr">
        <is>
          <t>2008-09</t>
        </is>
      </c>
      <c r="C1268" t="n">
        <v>79078.2</v>
      </c>
      <c r="D1268" t="n">
        <v>251332.2</v>
      </c>
      <c r="E1268">
        <f>E1267+C1268</f>
        <v/>
      </c>
      <c r="F1268">
        <f>IF(C1268&gt;0,D1268/C1268,NA())</f>
        <v/>
      </c>
    </row>
    <row r="1269">
      <c r="A1269" t="inlineStr">
        <is>
          <t>Manantiales Behr</t>
        </is>
      </c>
      <c r="B1269" t="inlineStr">
        <is>
          <t>2008-10</t>
        </is>
      </c>
      <c r="C1269" t="n">
        <v>82506</v>
      </c>
      <c r="D1269" t="n">
        <v>249941.1</v>
      </c>
      <c r="E1269">
        <f>E1268+C1269</f>
        <v/>
      </c>
      <c r="F1269">
        <f>IF(C1269&gt;0,D1269/C1269,NA())</f>
        <v/>
      </c>
    </row>
    <row r="1270">
      <c r="A1270" t="inlineStr">
        <is>
          <t>Manantiales Behr</t>
        </is>
      </c>
      <c r="B1270" t="inlineStr">
        <is>
          <t>2008-11</t>
        </is>
      </c>
      <c r="C1270" t="n">
        <v>78442.8</v>
      </c>
      <c r="D1270" t="n">
        <v>241756.9</v>
      </c>
      <c r="E1270">
        <f>E1269+C1270</f>
        <v/>
      </c>
      <c r="F1270">
        <f>IF(C1270&gt;0,D1270/C1270,NA())</f>
        <v/>
      </c>
    </row>
    <row r="1271">
      <c r="A1271" t="inlineStr">
        <is>
          <t>Manantiales Behr</t>
        </is>
      </c>
      <c r="B1271" t="inlineStr">
        <is>
          <t>2008-12</t>
        </is>
      </c>
      <c r="C1271" t="n">
        <v>81717.89999999999</v>
      </c>
      <c r="D1271" t="n">
        <v>252127.2</v>
      </c>
      <c r="E1271">
        <f>E1270+C1271</f>
        <v/>
      </c>
      <c r="F1271">
        <f>IF(C1271&gt;0,D1271/C1271,NA())</f>
        <v/>
      </c>
    </row>
    <row r="1272">
      <c r="A1272" t="inlineStr">
        <is>
          <t>Manantiales Behr</t>
        </is>
      </c>
      <c r="B1272" t="inlineStr">
        <is>
          <t>2009-01</t>
        </is>
      </c>
      <c r="C1272" t="n">
        <v>83516.2</v>
      </c>
      <c r="D1272" t="n">
        <v>248817.8</v>
      </c>
      <c r="E1272">
        <f>E1271+C1272</f>
        <v/>
      </c>
      <c r="F1272">
        <f>IF(C1272&gt;0,D1272/C1272,NA())</f>
        <v/>
      </c>
    </row>
    <row r="1273">
      <c r="A1273" t="inlineStr">
        <is>
          <t>Manantiales Behr</t>
        </is>
      </c>
      <c r="B1273" t="inlineStr">
        <is>
          <t>2009-02</t>
        </is>
      </c>
      <c r="C1273" t="n">
        <v>77839.60000000001</v>
      </c>
      <c r="D1273" t="n">
        <v>224845.9</v>
      </c>
      <c r="E1273">
        <f>E1272+C1273</f>
        <v/>
      </c>
      <c r="F1273">
        <f>IF(C1273&gt;0,D1273/C1273,NA())</f>
        <v/>
      </c>
    </row>
    <row r="1274">
      <c r="A1274" t="inlineStr">
        <is>
          <t>Manantiales Behr</t>
        </is>
      </c>
      <c r="B1274" t="inlineStr">
        <is>
          <t>2009-03</t>
        </is>
      </c>
      <c r="C1274" t="n">
        <v>87120.39999999999</v>
      </c>
      <c r="D1274" t="n">
        <v>249388.4</v>
      </c>
      <c r="E1274">
        <f>E1273+C1274</f>
        <v/>
      </c>
      <c r="F1274">
        <f>IF(C1274&gt;0,D1274/C1274,NA())</f>
        <v/>
      </c>
    </row>
    <row r="1275">
      <c r="A1275" t="inlineStr">
        <is>
          <t>Manantiales Behr</t>
        </is>
      </c>
      <c r="B1275" t="inlineStr">
        <is>
          <t>2009-04</t>
        </is>
      </c>
      <c r="C1275" t="n">
        <v>84153.5</v>
      </c>
      <c r="D1275" t="n">
        <v>240230.8</v>
      </c>
      <c r="E1275">
        <f>E1274+C1275</f>
        <v/>
      </c>
      <c r="F1275">
        <f>IF(C1275&gt;0,D1275/C1275,NA())</f>
        <v/>
      </c>
    </row>
    <row r="1276">
      <c r="A1276" t="inlineStr">
        <is>
          <t>Manantiales Behr</t>
        </is>
      </c>
      <c r="B1276" t="inlineStr">
        <is>
          <t>2009-05</t>
        </is>
      </c>
      <c r="C1276" t="n">
        <v>87327.5</v>
      </c>
      <c r="D1276" t="n">
        <v>271953.2</v>
      </c>
      <c r="E1276">
        <f>E1275+C1276</f>
        <v/>
      </c>
      <c r="F1276">
        <f>IF(C1276&gt;0,D1276/C1276,NA())</f>
        <v/>
      </c>
    </row>
    <row r="1277">
      <c r="A1277" t="inlineStr">
        <is>
          <t>Manantiales Behr</t>
        </is>
      </c>
      <c r="B1277" t="inlineStr">
        <is>
          <t>2009-06</t>
        </is>
      </c>
      <c r="C1277" t="n">
        <v>82616.2</v>
      </c>
      <c r="D1277" t="n">
        <v>273193.7</v>
      </c>
      <c r="E1277">
        <f>E1276+C1277</f>
        <v/>
      </c>
      <c r="F1277">
        <f>IF(C1277&gt;0,D1277/C1277,NA())</f>
        <v/>
      </c>
    </row>
    <row r="1278">
      <c r="A1278" t="inlineStr">
        <is>
          <t>Manantiales Behr</t>
        </is>
      </c>
      <c r="B1278" t="inlineStr">
        <is>
          <t>2009-07</t>
        </is>
      </c>
      <c r="C1278" t="n">
        <v>85206.89999999999</v>
      </c>
      <c r="D1278" t="n">
        <v>278457.8</v>
      </c>
      <c r="E1278">
        <f>E1277+C1278</f>
        <v/>
      </c>
      <c r="F1278">
        <f>IF(C1278&gt;0,D1278/C1278,NA())</f>
        <v/>
      </c>
    </row>
    <row r="1279">
      <c r="A1279" t="inlineStr">
        <is>
          <t>Manantiales Behr</t>
        </is>
      </c>
      <c r="B1279" t="inlineStr">
        <is>
          <t>2009-08</t>
        </is>
      </c>
      <c r="C1279" t="n">
        <v>86081.3</v>
      </c>
      <c r="D1279" t="n">
        <v>276847.5</v>
      </c>
      <c r="E1279">
        <f>E1278+C1279</f>
        <v/>
      </c>
      <c r="F1279">
        <f>IF(C1279&gt;0,D1279/C1279,NA())</f>
        <v/>
      </c>
    </row>
    <row r="1280">
      <c r="A1280" t="inlineStr">
        <is>
          <t>Manantiales Behr</t>
        </is>
      </c>
      <c r="B1280" t="inlineStr">
        <is>
          <t>2009-09</t>
        </is>
      </c>
      <c r="C1280" t="n">
        <v>76310.3</v>
      </c>
      <c r="D1280" t="n">
        <v>257507.9</v>
      </c>
      <c r="E1280">
        <f>E1279+C1280</f>
        <v/>
      </c>
      <c r="F1280">
        <f>IF(C1280&gt;0,D1280/C1280,NA())</f>
        <v/>
      </c>
    </row>
    <row r="1281">
      <c r="A1281" t="inlineStr">
        <is>
          <t>Manantiales Behr</t>
        </is>
      </c>
      <c r="B1281" t="inlineStr">
        <is>
          <t>2009-10</t>
        </is>
      </c>
      <c r="C1281" t="n">
        <v>85438.8</v>
      </c>
      <c r="D1281" t="n">
        <v>272525.1</v>
      </c>
      <c r="E1281">
        <f>E1280+C1281</f>
        <v/>
      </c>
      <c r="F1281">
        <f>IF(C1281&gt;0,D1281/C1281,NA())</f>
        <v/>
      </c>
    </row>
    <row r="1282">
      <c r="A1282" t="inlineStr">
        <is>
          <t>Manantiales Behr</t>
        </is>
      </c>
      <c r="B1282" t="inlineStr">
        <is>
          <t>2009-11</t>
        </is>
      </c>
      <c r="C1282" t="n">
        <v>74229.8</v>
      </c>
      <c r="D1282" t="n">
        <v>231990.9</v>
      </c>
      <c r="E1282">
        <f>E1281+C1282</f>
        <v/>
      </c>
      <c r="F1282">
        <f>IF(C1282&gt;0,D1282/C1282,NA())</f>
        <v/>
      </c>
    </row>
    <row r="1283">
      <c r="A1283" t="inlineStr">
        <is>
          <t>Manantiales Behr</t>
        </is>
      </c>
      <c r="B1283" t="inlineStr">
        <is>
          <t>2009-12</t>
        </is>
      </c>
      <c r="C1283" t="n">
        <v>77669.39999999999</v>
      </c>
      <c r="D1283" t="n">
        <v>235862.2</v>
      </c>
      <c r="E1283">
        <f>E1282+C1283</f>
        <v/>
      </c>
      <c r="F1283">
        <f>IF(C1283&gt;0,D1283/C1283,NA())</f>
        <v/>
      </c>
    </row>
    <row r="1284">
      <c r="A1284" t="inlineStr">
        <is>
          <t>Manantiales Behr</t>
        </is>
      </c>
      <c r="B1284" t="inlineStr">
        <is>
          <t>2010-01</t>
        </is>
      </c>
      <c r="C1284" t="n">
        <v>91919.8</v>
      </c>
      <c r="D1284" t="n">
        <v>275173</v>
      </c>
      <c r="E1284">
        <f>E1283+C1284</f>
        <v/>
      </c>
      <c r="F1284">
        <f>IF(C1284&gt;0,D1284/C1284,NA())</f>
        <v/>
      </c>
    </row>
    <row r="1285">
      <c r="A1285" t="inlineStr">
        <is>
          <t>Manantiales Behr</t>
        </is>
      </c>
      <c r="B1285" t="inlineStr">
        <is>
          <t>2010-02</t>
        </is>
      </c>
      <c r="C1285" t="n">
        <v>80256.10000000001</v>
      </c>
      <c r="D1285" t="n">
        <v>243720.7</v>
      </c>
      <c r="E1285">
        <f>E1284+C1285</f>
        <v/>
      </c>
      <c r="F1285">
        <f>IF(C1285&gt;0,D1285/C1285,NA())</f>
        <v/>
      </c>
    </row>
    <row r="1286">
      <c r="A1286" t="inlineStr">
        <is>
          <t>Manantiales Behr</t>
        </is>
      </c>
      <c r="B1286" t="inlineStr">
        <is>
          <t>2010-03</t>
        </is>
      </c>
      <c r="C1286" t="n">
        <v>88741.60000000001</v>
      </c>
      <c r="D1286" t="n">
        <v>263859.3</v>
      </c>
      <c r="E1286">
        <f>E1285+C1286</f>
        <v/>
      </c>
      <c r="F1286">
        <f>IF(C1286&gt;0,D1286/C1286,NA())</f>
        <v/>
      </c>
    </row>
    <row r="1287">
      <c r="A1287" t="inlineStr">
        <is>
          <t>Manantiales Behr</t>
        </is>
      </c>
      <c r="B1287" t="inlineStr">
        <is>
          <t>2010-04</t>
        </is>
      </c>
      <c r="C1287" t="n">
        <v>85515.89999999999</v>
      </c>
      <c r="D1287" t="n">
        <v>246429.3</v>
      </c>
      <c r="E1287">
        <f>E1286+C1287</f>
        <v/>
      </c>
      <c r="F1287">
        <f>IF(C1287&gt;0,D1287/C1287,NA())</f>
        <v/>
      </c>
    </row>
    <row r="1288">
      <c r="A1288" t="inlineStr">
        <is>
          <t>Manantiales Behr</t>
        </is>
      </c>
      <c r="B1288" t="inlineStr">
        <is>
          <t>2010-05</t>
        </is>
      </c>
      <c r="C1288" t="n">
        <v>88824.8</v>
      </c>
      <c r="D1288" t="n">
        <v>253671.2</v>
      </c>
      <c r="E1288">
        <f>E1287+C1288</f>
        <v/>
      </c>
      <c r="F1288">
        <f>IF(C1288&gt;0,D1288/C1288,NA())</f>
        <v/>
      </c>
    </row>
    <row r="1289">
      <c r="A1289" t="inlineStr">
        <is>
          <t>Manantiales Behr</t>
        </is>
      </c>
      <c r="B1289" t="inlineStr">
        <is>
          <t>2010-06</t>
        </is>
      </c>
      <c r="C1289" t="n">
        <v>86227.5</v>
      </c>
      <c r="D1289" t="n">
        <v>256670.8</v>
      </c>
      <c r="E1289">
        <f>E1288+C1289</f>
        <v/>
      </c>
      <c r="F1289">
        <f>IF(C1289&gt;0,D1289/C1289,NA())</f>
        <v/>
      </c>
    </row>
    <row r="1290">
      <c r="A1290" t="inlineStr">
        <is>
          <t>Manantiales Behr</t>
        </is>
      </c>
      <c r="B1290" t="inlineStr">
        <is>
          <t>2010-07</t>
        </is>
      </c>
      <c r="C1290" t="n">
        <v>90027.8</v>
      </c>
      <c r="D1290" t="n">
        <v>261605.3</v>
      </c>
      <c r="E1290">
        <f>E1289+C1290</f>
        <v/>
      </c>
      <c r="F1290">
        <f>IF(C1290&gt;0,D1290/C1290,NA())</f>
        <v/>
      </c>
    </row>
    <row r="1291">
      <c r="A1291" t="inlineStr">
        <is>
          <t>Manantiales Behr</t>
        </is>
      </c>
      <c r="B1291" t="inlineStr">
        <is>
          <t>2010-08</t>
        </is>
      </c>
      <c r="C1291" t="n">
        <v>93425.39999999999</v>
      </c>
      <c r="D1291" t="n">
        <v>268041.3</v>
      </c>
      <c r="E1291">
        <f>E1290+C1291</f>
        <v/>
      </c>
      <c r="F1291">
        <f>IF(C1291&gt;0,D1291/C1291,NA())</f>
        <v/>
      </c>
    </row>
    <row r="1292">
      <c r="A1292" t="inlineStr">
        <is>
          <t>Manantiales Behr</t>
        </is>
      </c>
      <c r="B1292" t="inlineStr">
        <is>
          <t>2010-09</t>
        </is>
      </c>
      <c r="C1292" t="n">
        <v>71272.10000000001</v>
      </c>
      <c r="D1292" t="n">
        <v>214313.7</v>
      </c>
      <c r="E1292">
        <f>E1291+C1292</f>
        <v/>
      </c>
      <c r="F1292">
        <f>IF(C1292&gt;0,D1292/C1292,NA())</f>
        <v/>
      </c>
    </row>
    <row r="1293">
      <c r="A1293" t="inlineStr">
        <is>
          <t>Manantiales Behr</t>
        </is>
      </c>
      <c r="B1293" t="inlineStr">
        <is>
          <t>2010-10</t>
        </is>
      </c>
      <c r="C1293" t="n">
        <v>94111.89999999999</v>
      </c>
      <c r="D1293" t="n">
        <v>282310.5</v>
      </c>
      <c r="E1293">
        <f>E1292+C1293</f>
        <v/>
      </c>
      <c r="F1293">
        <f>IF(C1293&gt;0,D1293/C1293,NA())</f>
        <v/>
      </c>
    </row>
    <row r="1294">
      <c r="A1294" t="inlineStr">
        <is>
          <t>Manantiales Behr</t>
        </is>
      </c>
      <c r="B1294" t="inlineStr">
        <is>
          <t>2010-11</t>
        </is>
      </c>
      <c r="C1294" t="n">
        <v>91775.39999999999</v>
      </c>
      <c r="D1294" t="n">
        <v>263521.9</v>
      </c>
      <c r="E1294">
        <f>E1293+C1294</f>
        <v/>
      </c>
      <c r="F1294">
        <f>IF(C1294&gt;0,D1294/C1294,NA())</f>
        <v/>
      </c>
    </row>
    <row r="1295">
      <c r="A1295" t="inlineStr">
        <is>
          <t>Manantiales Behr</t>
        </is>
      </c>
      <c r="B1295" t="inlineStr">
        <is>
          <t>2010-12</t>
        </is>
      </c>
      <c r="C1295" t="n">
        <v>36359.9</v>
      </c>
      <c r="D1295" t="n">
        <v>80642.89999999999</v>
      </c>
      <c r="E1295">
        <f>E1294+C1295</f>
        <v/>
      </c>
      <c r="F1295">
        <f>IF(C1295&gt;0,D1295/C1295,NA())</f>
        <v/>
      </c>
    </row>
    <row r="1296">
      <c r="A1296" t="inlineStr">
        <is>
          <t>Manantiales Behr</t>
        </is>
      </c>
      <c r="B1296" t="inlineStr">
        <is>
          <t>2011-01</t>
        </is>
      </c>
      <c r="C1296" t="n">
        <v>96370.5</v>
      </c>
      <c r="D1296" t="n">
        <v>254997.5</v>
      </c>
      <c r="E1296">
        <f>E1295+C1296</f>
        <v/>
      </c>
      <c r="F1296">
        <f>IF(C1296&gt;0,D1296/C1296,NA())</f>
        <v/>
      </c>
    </row>
    <row r="1297">
      <c r="A1297" t="inlineStr">
        <is>
          <t>Manantiales Behr</t>
        </is>
      </c>
      <c r="B1297" t="inlineStr">
        <is>
          <t>2011-02</t>
        </is>
      </c>
      <c r="C1297" t="n">
        <v>90195.60000000001</v>
      </c>
      <c r="D1297" t="n">
        <v>253989.7</v>
      </c>
      <c r="E1297">
        <f>E1296+C1297</f>
        <v/>
      </c>
      <c r="F1297">
        <f>IF(C1297&gt;0,D1297/C1297,NA())</f>
        <v/>
      </c>
    </row>
    <row r="1298">
      <c r="A1298" t="inlineStr">
        <is>
          <t>Manantiales Behr</t>
        </is>
      </c>
      <c r="B1298" t="inlineStr">
        <is>
          <t>2011-03</t>
        </is>
      </c>
      <c r="C1298" t="n">
        <v>99578</v>
      </c>
      <c r="D1298" t="n">
        <v>277087.5</v>
      </c>
      <c r="E1298">
        <f>E1297+C1298</f>
        <v/>
      </c>
      <c r="F1298">
        <f>IF(C1298&gt;0,D1298/C1298,NA())</f>
        <v/>
      </c>
    </row>
    <row r="1299">
      <c r="A1299" t="inlineStr">
        <is>
          <t>Manantiales Behr</t>
        </is>
      </c>
      <c r="B1299" t="inlineStr">
        <is>
          <t>2011-04</t>
        </is>
      </c>
      <c r="C1299" t="n">
        <v>97599.39999999999</v>
      </c>
      <c r="D1299" t="n">
        <v>262194.2</v>
      </c>
      <c r="E1299">
        <f>E1298+C1299</f>
        <v/>
      </c>
      <c r="F1299">
        <f>IF(C1299&gt;0,D1299/C1299,NA())</f>
        <v/>
      </c>
    </row>
    <row r="1300">
      <c r="A1300" t="inlineStr">
        <is>
          <t>Manantiales Behr</t>
        </is>
      </c>
      <c r="B1300" t="inlineStr">
        <is>
          <t>2011-05</t>
        </is>
      </c>
      <c r="C1300" t="n">
        <v>41750.7</v>
      </c>
      <c r="D1300" t="n">
        <v>103735.8</v>
      </c>
      <c r="E1300">
        <f>E1299+C1300</f>
        <v/>
      </c>
      <c r="F1300">
        <f>IF(C1300&gt;0,D1300/C1300,NA())</f>
        <v/>
      </c>
    </row>
    <row r="1301">
      <c r="A1301" t="inlineStr">
        <is>
          <t>Manantiales Behr</t>
        </is>
      </c>
      <c r="B1301" t="inlineStr">
        <is>
          <t>2011-06</t>
        </is>
      </c>
      <c r="C1301" t="n">
        <v>90321.5</v>
      </c>
      <c r="D1301" t="n">
        <v>222877.6</v>
      </c>
      <c r="E1301">
        <f>E1300+C1301</f>
        <v/>
      </c>
      <c r="F1301">
        <f>IF(C1301&gt;0,D1301/C1301,NA())</f>
        <v/>
      </c>
    </row>
    <row r="1302">
      <c r="A1302" t="inlineStr">
        <is>
          <t>Manantiales Behr</t>
        </is>
      </c>
      <c r="B1302" t="inlineStr">
        <is>
          <t>2011-07</t>
        </is>
      </c>
      <c r="C1302" t="n">
        <v>93220.2</v>
      </c>
      <c r="D1302" t="n">
        <v>246482.8</v>
      </c>
      <c r="E1302">
        <f>E1301+C1302</f>
        <v/>
      </c>
      <c r="F1302">
        <f>IF(C1302&gt;0,D1302/C1302,NA())</f>
        <v/>
      </c>
    </row>
    <row r="1303">
      <c r="A1303" t="inlineStr">
        <is>
          <t>Manantiales Behr</t>
        </is>
      </c>
      <c r="B1303" t="inlineStr">
        <is>
          <t>2011-08</t>
        </is>
      </c>
      <c r="C1303" t="n">
        <v>94998.8</v>
      </c>
      <c r="D1303" t="n">
        <v>241917.9</v>
      </c>
      <c r="E1303">
        <f>E1302+C1303</f>
        <v/>
      </c>
      <c r="F1303">
        <f>IF(C1303&gt;0,D1303/C1303,NA())</f>
        <v/>
      </c>
    </row>
    <row r="1304">
      <c r="A1304" t="inlineStr">
        <is>
          <t>Manantiales Behr</t>
        </is>
      </c>
      <c r="B1304" t="inlineStr">
        <is>
          <t>2011-09</t>
        </is>
      </c>
      <c r="C1304" t="n">
        <v>95183.60000000001</v>
      </c>
      <c r="D1304" t="n">
        <v>232867</v>
      </c>
      <c r="E1304">
        <f>E1303+C1304</f>
        <v/>
      </c>
      <c r="F1304">
        <f>IF(C1304&gt;0,D1304/C1304,NA())</f>
        <v/>
      </c>
    </row>
    <row r="1305">
      <c r="A1305" t="inlineStr">
        <is>
          <t>Manantiales Behr</t>
        </is>
      </c>
      <c r="B1305" t="inlineStr">
        <is>
          <t>2011-10</t>
        </is>
      </c>
      <c r="C1305" t="n">
        <v>100295.1</v>
      </c>
      <c r="D1305" t="n">
        <v>260095.9</v>
      </c>
      <c r="E1305">
        <f>E1304+C1305</f>
        <v/>
      </c>
      <c r="F1305">
        <f>IF(C1305&gt;0,D1305/C1305,NA())</f>
        <v/>
      </c>
    </row>
    <row r="1306">
      <c r="A1306" t="inlineStr">
        <is>
          <t>Manantiales Behr</t>
        </is>
      </c>
      <c r="B1306" t="inlineStr">
        <is>
          <t>2011-11</t>
        </is>
      </c>
      <c r="C1306" t="n">
        <v>92994.8</v>
      </c>
      <c r="D1306" t="n">
        <v>243506</v>
      </c>
      <c r="E1306">
        <f>E1305+C1306</f>
        <v/>
      </c>
      <c r="F1306">
        <f>IF(C1306&gt;0,D1306/C1306,NA())</f>
        <v/>
      </c>
    </row>
    <row r="1307">
      <c r="A1307" t="inlineStr">
        <is>
          <t>Manantiales Behr</t>
        </is>
      </c>
      <c r="B1307" t="inlineStr">
        <is>
          <t>2011-12</t>
        </is>
      </c>
      <c r="C1307" t="n">
        <v>95203.10000000001</v>
      </c>
      <c r="D1307" t="n">
        <v>251234.8</v>
      </c>
      <c r="E1307">
        <f>E1306+C1307</f>
        <v/>
      </c>
      <c r="F1307">
        <f>IF(C1307&gt;0,D1307/C1307,NA())</f>
        <v/>
      </c>
    </row>
    <row r="1308">
      <c r="A1308" t="inlineStr">
        <is>
          <t>Manantiales Behr</t>
        </is>
      </c>
      <c r="B1308" t="inlineStr">
        <is>
          <t>2012-01</t>
        </is>
      </c>
      <c r="C1308" t="n">
        <v>92886.8</v>
      </c>
      <c r="D1308" t="n">
        <v>252661.2</v>
      </c>
      <c r="E1308">
        <f>E1307+C1308</f>
        <v/>
      </c>
      <c r="F1308">
        <f>IF(C1308&gt;0,D1308/C1308,NA())</f>
        <v/>
      </c>
    </row>
    <row r="1309">
      <c r="A1309" t="inlineStr">
        <is>
          <t>Manantiales Behr</t>
        </is>
      </c>
      <c r="B1309" t="inlineStr">
        <is>
          <t>2012-02</t>
        </is>
      </c>
      <c r="C1309" t="n">
        <v>82437.5</v>
      </c>
      <c r="D1309" t="n">
        <v>222067.6</v>
      </c>
      <c r="E1309">
        <f>E1308+C1309</f>
        <v/>
      </c>
      <c r="F1309">
        <f>IF(C1309&gt;0,D1309/C1309,NA())</f>
        <v/>
      </c>
    </row>
    <row r="1310">
      <c r="A1310" t="inlineStr">
        <is>
          <t>Manantiales Behr</t>
        </is>
      </c>
      <c r="B1310" t="inlineStr">
        <is>
          <t>2012-03</t>
        </is>
      </c>
      <c r="C1310" t="n">
        <v>90793.3</v>
      </c>
      <c r="D1310" t="n">
        <v>247089</v>
      </c>
      <c r="E1310">
        <f>E1309+C1310</f>
        <v/>
      </c>
      <c r="F1310">
        <f>IF(C1310&gt;0,D1310/C1310,NA())</f>
        <v/>
      </c>
    </row>
    <row r="1311">
      <c r="A1311" t="inlineStr">
        <is>
          <t>Manantiales Behr</t>
        </is>
      </c>
      <c r="B1311" t="inlineStr">
        <is>
          <t>2012-04</t>
        </is>
      </c>
      <c r="C1311" t="n">
        <v>87925.39999999999</v>
      </c>
      <c r="D1311" t="n">
        <v>247877.6</v>
      </c>
      <c r="E1311">
        <f>E1310+C1311</f>
        <v/>
      </c>
      <c r="F1311">
        <f>IF(C1311&gt;0,D1311/C1311,NA())</f>
        <v/>
      </c>
    </row>
    <row r="1312">
      <c r="A1312" t="inlineStr">
        <is>
          <t>Manantiales Behr</t>
        </is>
      </c>
      <c r="B1312" t="inlineStr">
        <is>
          <t>2012-05</t>
        </is>
      </c>
      <c r="C1312" t="n">
        <v>95554.5</v>
      </c>
      <c r="D1312" t="n">
        <v>270615.7</v>
      </c>
      <c r="E1312">
        <f>E1311+C1312</f>
        <v/>
      </c>
      <c r="F1312">
        <f>IF(C1312&gt;0,D1312/C1312,NA())</f>
        <v/>
      </c>
    </row>
    <row r="1313">
      <c r="A1313" t="inlineStr">
        <is>
          <t>Manantiales Behr</t>
        </is>
      </c>
      <c r="B1313" t="inlineStr">
        <is>
          <t>2012-06</t>
        </is>
      </c>
      <c r="C1313" t="n">
        <v>91743.39999999999</v>
      </c>
      <c r="D1313" t="n">
        <v>258330.1</v>
      </c>
      <c r="E1313">
        <f>E1312+C1313</f>
        <v/>
      </c>
      <c r="F1313">
        <f>IF(C1313&gt;0,D1313/C1313,NA())</f>
        <v/>
      </c>
    </row>
    <row r="1314">
      <c r="A1314" t="inlineStr">
        <is>
          <t>Manantiales Behr</t>
        </is>
      </c>
      <c r="B1314" t="inlineStr">
        <is>
          <t>2012-07</t>
        </is>
      </c>
      <c r="C1314" t="n">
        <v>89298.2</v>
      </c>
      <c r="D1314" t="n">
        <v>240216.6</v>
      </c>
      <c r="E1314">
        <f>E1313+C1314</f>
        <v/>
      </c>
      <c r="F1314">
        <f>IF(C1314&gt;0,D1314/C1314,NA())</f>
        <v/>
      </c>
    </row>
    <row r="1315">
      <c r="A1315" t="inlineStr">
        <is>
          <t>Manantiales Behr</t>
        </is>
      </c>
      <c r="B1315" t="inlineStr">
        <is>
          <t>2012-08</t>
        </is>
      </c>
      <c r="C1315" t="n">
        <v>92061.2</v>
      </c>
      <c r="D1315" t="n">
        <v>246188.7</v>
      </c>
      <c r="E1315">
        <f>E1314+C1315</f>
        <v/>
      </c>
      <c r="F1315">
        <f>IF(C1315&gt;0,D1315/C1315,NA())</f>
        <v/>
      </c>
    </row>
    <row r="1316">
      <c r="A1316" t="inlineStr">
        <is>
          <t>Manantiales Behr</t>
        </is>
      </c>
      <c r="B1316" t="inlineStr">
        <is>
          <t>2012-09</t>
        </is>
      </c>
      <c r="C1316" t="n">
        <v>90196</v>
      </c>
      <c r="D1316" t="n">
        <v>260146.3</v>
      </c>
      <c r="E1316">
        <f>E1315+C1316</f>
        <v/>
      </c>
      <c r="F1316">
        <f>IF(C1316&gt;0,D1316/C1316,NA())</f>
        <v/>
      </c>
    </row>
    <row r="1317">
      <c r="A1317" t="inlineStr">
        <is>
          <t>Manantiales Behr</t>
        </is>
      </c>
      <c r="B1317" t="inlineStr">
        <is>
          <t>2012-10</t>
        </is>
      </c>
      <c r="C1317" t="n">
        <v>90624.5</v>
      </c>
      <c r="D1317" t="n">
        <v>265103.2</v>
      </c>
      <c r="E1317">
        <f>E1316+C1317</f>
        <v/>
      </c>
      <c r="F1317">
        <f>IF(C1317&gt;0,D1317/C1317,NA())</f>
        <v/>
      </c>
    </row>
    <row r="1318">
      <c r="A1318" t="inlineStr">
        <is>
          <t>Manantiales Behr</t>
        </is>
      </c>
      <c r="B1318" t="inlineStr">
        <is>
          <t>2012-11</t>
        </is>
      </c>
      <c r="C1318" t="n">
        <v>87148.3</v>
      </c>
      <c r="D1318" t="n">
        <v>259103.1</v>
      </c>
      <c r="E1318">
        <f>E1317+C1318</f>
        <v/>
      </c>
      <c r="F1318">
        <f>IF(C1318&gt;0,D1318/C1318,NA())</f>
        <v/>
      </c>
    </row>
    <row r="1319">
      <c r="A1319" t="inlineStr">
        <is>
          <t>Manantiales Behr</t>
        </is>
      </c>
      <c r="B1319" t="inlineStr">
        <is>
          <t>2012-12</t>
        </is>
      </c>
      <c r="C1319" t="n">
        <v>89439.89999999999</v>
      </c>
      <c r="D1319" t="n">
        <v>280334.6</v>
      </c>
      <c r="E1319">
        <f>E1318+C1319</f>
        <v/>
      </c>
      <c r="F1319">
        <f>IF(C1319&gt;0,D1319/C1319,NA())</f>
        <v/>
      </c>
    </row>
    <row r="1320">
      <c r="A1320" t="inlineStr">
        <is>
          <t>Manantiales Behr</t>
        </is>
      </c>
      <c r="B1320" t="inlineStr">
        <is>
          <t>2013-01</t>
        </is>
      </c>
      <c r="C1320" t="n">
        <v>88265.2</v>
      </c>
      <c r="D1320" t="n">
        <v>301220.3</v>
      </c>
      <c r="E1320">
        <f>E1319+C1320</f>
        <v/>
      </c>
      <c r="F1320">
        <f>IF(C1320&gt;0,D1320/C1320,NA())</f>
        <v/>
      </c>
    </row>
    <row r="1321">
      <c r="A1321" t="inlineStr">
        <is>
          <t>Manantiales Behr</t>
        </is>
      </c>
      <c r="B1321" t="inlineStr">
        <is>
          <t>2013-02</t>
        </is>
      </c>
      <c r="C1321" t="n">
        <v>80382.2</v>
      </c>
      <c r="D1321" t="n">
        <v>284725.3</v>
      </c>
      <c r="E1321">
        <f>E1320+C1321</f>
        <v/>
      </c>
      <c r="F1321">
        <f>IF(C1321&gt;0,D1321/C1321,NA())</f>
        <v/>
      </c>
    </row>
    <row r="1322">
      <c r="A1322" t="inlineStr">
        <is>
          <t>Manantiales Behr</t>
        </is>
      </c>
      <c r="B1322" t="inlineStr">
        <is>
          <t>2013-03</t>
        </is>
      </c>
      <c r="C1322" t="n">
        <v>87870</v>
      </c>
      <c r="D1322" t="n">
        <v>297656.8</v>
      </c>
      <c r="E1322">
        <f>E1321+C1322</f>
        <v/>
      </c>
      <c r="F1322">
        <f>IF(C1322&gt;0,D1322/C1322,NA())</f>
        <v/>
      </c>
    </row>
    <row r="1323">
      <c r="A1323" t="inlineStr">
        <is>
          <t>Manantiales Behr</t>
        </is>
      </c>
      <c r="B1323" t="inlineStr">
        <is>
          <t>2013-04</t>
        </is>
      </c>
      <c r="C1323" t="n">
        <v>87424.89999999999</v>
      </c>
      <c r="D1323" t="n">
        <v>300354.8</v>
      </c>
      <c r="E1323">
        <f>E1322+C1323</f>
        <v/>
      </c>
      <c r="F1323">
        <f>IF(C1323&gt;0,D1323/C1323,NA())</f>
        <v/>
      </c>
    </row>
    <row r="1324">
      <c r="A1324" t="inlineStr">
        <is>
          <t>Manantiales Behr</t>
        </is>
      </c>
      <c r="B1324" t="inlineStr">
        <is>
          <t>2013-05</t>
        </is>
      </c>
      <c r="C1324" t="n">
        <v>91167.60000000001</v>
      </c>
      <c r="D1324" t="n">
        <v>307670.8</v>
      </c>
      <c r="E1324">
        <f>E1323+C1324</f>
        <v/>
      </c>
      <c r="F1324">
        <f>IF(C1324&gt;0,D1324/C1324,NA())</f>
        <v/>
      </c>
    </row>
    <row r="1325">
      <c r="A1325" t="inlineStr">
        <is>
          <t>Manantiales Behr</t>
        </is>
      </c>
      <c r="B1325" t="inlineStr">
        <is>
          <t>2013-06</t>
        </is>
      </c>
      <c r="C1325" t="n">
        <v>90059.8</v>
      </c>
      <c r="D1325" t="n">
        <v>286152.2</v>
      </c>
      <c r="E1325">
        <f>E1324+C1325</f>
        <v/>
      </c>
      <c r="F1325">
        <f>IF(C1325&gt;0,D1325/C1325,NA())</f>
        <v/>
      </c>
    </row>
    <row r="1326">
      <c r="A1326" t="inlineStr">
        <is>
          <t>Manantiales Behr</t>
        </is>
      </c>
      <c r="B1326" t="inlineStr">
        <is>
          <t>2013-07</t>
        </is>
      </c>
      <c r="C1326" t="n">
        <v>93390.10000000001</v>
      </c>
      <c r="D1326" t="n">
        <v>289023.6</v>
      </c>
      <c r="E1326">
        <f>E1325+C1326</f>
        <v/>
      </c>
      <c r="F1326">
        <f>IF(C1326&gt;0,D1326/C1326,NA())</f>
        <v/>
      </c>
    </row>
    <row r="1327">
      <c r="A1327" t="inlineStr">
        <is>
          <t>Manantiales Behr</t>
        </is>
      </c>
      <c r="B1327" t="inlineStr">
        <is>
          <t>2013-08</t>
        </is>
      </c>
      <c r="C1327" t="n">
        <v>93956.8</v>
      </c>
      <c r="D1327" t="n">
        <v>274133.7</v>
      </c>
      <c r="E1327">
        <f>E1326+C1327</f>
        <v/>
      </c>
      <c r="F1327">
        <f>IF(C1327&gt;0,D1327/C1327,NA())</f>
        <v/>
      </c>
    </row>
    <row r="1328">
      <c r="A1328" t="inlineStr">
        <is>
          <t>Manantiales Behr</t>
        </is>
      </c>
      <c r="B1328" t="inlineStr">
        <is>
          <t>2013-09</t>
        </is>
      </c>
      <c r="C1328" t="n">
        <v>94277.8</v>
      </c>
      <c r="D1328" t="n">
        <v>289655.8</v>
      </c>
      <c r="E1328">
        <f>E1327+C1328</f>
        <v/>
      </c>
      <c r="F1328">
        <f>IF(C1328&gt;0,D1328/C1328,NA())</f>
        <v/>
      </c>
    </row>
    <row r="1329">
      <c r="A1329" t="inlineStr">
        <is>
          <t>Manantiales Behr</t>
        </is>
      </c>
      <c r="B1329" t="inlineStr">
        <is>
          <t>2013-10</t>
        </is>
      </c>
      <c r="C1329" t="n">
        <v>97600.10000000001</v>
      </c>
      <c r="D1329" t="n">
        <v>303731.1</v>
      </c>
      <c r="E1329">
        <f>E1328+C1329</f>
        <v/>
      </c>
      <c r="F1329">
        <f>IF(C1329&gt;0,D1329/C1329,NA())</f>
        <v/>
      </c>
    </row>
    <row r="1330">
      <c r="A1330" t="inlineStr">
        <is>
          <t>Manantiales Behr</t>
        </is>
      </c>
      <c r="B1330" t="inlineStr">
        <is>
          <t>2013-11</t>
        </is>
      </c>
      <c r="C1330" t="n">
        <v>96637.3</v>
      </c>
      <c r="D1330" t="n">
        <v>305209.6</v>
      </c>
      <c r="E1330">
        <f>E1329+C1330</f>
        <v/>
      </c>
      <c r="F1330">
        <f>IF(C1330&gt;0,D1330/C1330,NA())</f>
        <v/>
      </c>
    </row>
    <row r="1331">
      <c r="A1331" t="inlineStr">
        <is>
          <t>Manantiales Behr</t>
        </is>
      </c>
      <c r="B1331" t="inlineStr">
        <is>
          <t>2013-12</t>
        </is>
      </c>
      <c r="C1331" t="n">
        <v>97745.8</v>
      </c>
      <c r="D1331" t="n">
        <v>336234.7</v>
      </c>
      <c r="E1331">
        <f>E1330+C1331</f>
        <v/>
      </c>
      <c r="F1331">
        <f>IF(C1331&gt;0,D1331/C1331,NA())</f>
        <v/>
      </c>
    </row>
    <row r="1332">
      <c r="A1332" t="inlineStr">
        <is>
          <t>Manantiales Behr</t>
        </is>
      </c>
      <c r="B1332" t="inlineStr">
        <is>
          <t>2014-01</t>
        </is>
      </c>
      <c r="C1332" t="n">
        <v>97977</v>
      </c>
      <c r="D1332" t="n">
        <v>353106.7</v>
      </c>
      <c r="E1332">
        <f>E1331+C1332</f>
        <v/>
      </c>
      <c r="F1332">
        <f>IF(C1332&gt;0,D1332/C1332,NA())</f>
        <v/>
      </c>
    </row>
    <row r="1333">
      <c r="A1333" t="inlineStr">
        <is>
          <t>Manantiales Behr</t>
        </is>
      </c>
      <c r="B1333" t="inlineStr">
        <is>
          <t>2014-02</t>
        </is>
      </c>
      <c r="C1333" t="n">
        <v>89548.3</v>
      </c>
      <c r="D1333" t="n">
        <v>316364</v>
      </c>
      <c r="E1333">
        <f>E1332+C1333</f>
        <v/>
      </c>
      <c r="F1333">
        <f>IF(C1333&gt;0,D1333/C1333,NA())</f>
        <v/>
      </c>
    </row>
    <row r="1334">
      <c r="A1334" t="inlineStr">
        <is>
          <t>Manantiales Behr</t>
        </is>
      </c>
      <c r="B1334" t="inlineStr">
        <is>
          <t>2014-03</t>
        </is>
      </c>
      <c r="C1334" t="n">
        <v>100261.8</v>
      </c>
      <c r="D1334" t="n">
        <v>366314.5</v>
      </c>
      <c r="E1334">
        <f>E1333+C1334</f>
        <v/>
      </c>
      <c r="F1334">
        <f>IF(C1334&gt;0,D1334/C1334,NA())</f>
        <v/>
      </c>
    </row>
    <row r="1335">
      <c r="A1335" t="inlineStr">
        <is>
          <t>Manantiales Behr</t>
        </is>
      </c>
      <c r="B1335" t="inlineStr">
        <is>
          <t>2014-04</t>
        </is>
      </c>
      <c r="C1335" t="n">
        <v>96914.39999999999</v>
      </c>
      <c r="D1335" t="n">
        <v>358253.7</v>
      </c>
      <c r="E1335">
        <f>E1334+C1335</f>
        <v/>
      </c>
      <c r="F1335">
        <f>IF(C1335&gt;0,D1335/C1335,NA())</f>
        <v/>
      </c>
    </row>
    <row r="1336">
      <c r="A1336" t="inlineStr">
        <is>
          <t>Manantiales Behr</t>
        </is>
      </c>
      <c r="B1336" t="inlineStr">
        <is>
          <t>2014-05</t>
        </is>
      </c>
      <c r="C1336" t="n">
        <v>101630.1</v>
      </c>
      <c r="D1336" t="n">
        <v>399615.6</v>
      </c>
      <c r="E1336">
        <f>E1335+C1336</f>
        <v/>
      </c>
      <c r="F1336">
        <f>IF(C1336&gt;0,D1336/C1336,NA())</f>
        <v/>
      </c>
    </row>
    <row r="1337">
      <c r="A1337" t="inlineStr">
        <is>
          <t>Manantiales Behr</t>
        </is>
      </c>
      <c r="B1337" t="inlineStr">
        <is>
          <t>2014-06</t>
        </is>
      </c>
      <c r="C1337" t="n">
        <v>96920.3</v>
      </c>
      <c r="D1337" t="n">
        <v>386053</v>
      </c>
      <c r="E1337">
        <f>E1336+C1337</f>
        <v/>
      </c>
      <c r="F1337">
        <f>IF(C1337&gt;0,D1337/C1337,NA())</f>
        <v/>
      </c>
    </row>
    <row r="1338">
      <c r="A1338" t="inlineStr">
        <is>
          <t>Manantiales Behr</t>
        </is>
      </c>
      <c r="B1338" t="inlineStr">
        <is>
          <t>2014-07</t>
        </is>
      </c>
      <c r="C1338" t="n">
        <v>101505.6</v>
      </c>
      <c r="D1338" t="n">
        <v>415380.6</v>
      </c>
      <c r="E1338">
        <f>E1337+C1338</f>
        <v/>
      </c>
      <c r="F1338">
        <f>IF(C1338&gt;0,D1338/C1338,NA())</f>
        <v/>
      </c>
    </row>
    <row r="1339">
      <c r="A1339" t="inlineStr">
        <is>
          <t>Manantiales Behr</t>
        </is>
      </c>
      <c r="B1339" t="inlineStr">
        <is>
          <t>2014-08</t>
        </is>
      </c>
      <c r="C1339" t="n">
        <v>100088.6</v>
      </c>
      <c r="D1339" t="n">
        <v>438527.6</v>
      </c>
      <c r="E1339">
        <f>E1338+C1339</f>
        <v/>
      </c>
      <c r="F1339">
        <f>IF(C1339&gt;0,D1339/C1339,NA())</f>
        <v/>
      </c>
    </row>
    <row r="1340">
      <c r="A1340" t="inlineStr">
        <is>
          <t>Manantiales Behr</t>
        </is>
      </c>
      <c r="B1340" t="inlineStr">
        <is>
          <t>2014-09</t>
        </is>
      </c>
      <c r="C1340" t="n">
        <v>94701.10000000001</v>
      </c>
      <c r="D1340" t="n">
        <v>435713.6</v>
      </c>
      <c r="E1340">
        <f>E1339+C1340</f>
        <v/>
      </c>
      <c r="F1340">
        <f>IF(C1340&gt;0,D1340/C1340,NA())</f>
        <v/>
      </c>
    </row>
    <row r="1341">
      <c r="A1341" t="inlineStr">
        <is>
          <t>Manantiales Behr</t>
        </is>
      </c>
      <c r="B1341" t="inlineStr">
        <is>
          <t>2014-10</t>
        </is>
      </c>
      <c r="C1341" t="n">
        <v>100564.9</v>
      </c>
      <c r="D1341" t="n">
        <v>422746.2</v>
      </c>
      <c r="E1341">
        <f>E1340+C1341</f>
        <v/>
      </c>
      <c r="F1341">
        <f>IF(C1341&gt;0,D1341/C1341,NA())</f>
        <v/>
      </c>
    </row>
    <row r="1342">
      <c r="A1342" t="inlineStr">
        <is>
          <t>Manantiales Behr</t>
        </is>
      </c>
      <c r="B1342" t="inlineStr">
        <is>
          <t>2014-11</t>
        </is>
      </c>
      <c r="C1342" t="n">
        <v>98068.10000000001</v>
      </c>
      <c r="D1342" t="n">
        <v>416769.4</v>
      </c>
      <c r="E1342">
        <f>E1341+C1342</f>
        <v/>
      </c>
      <c r="F1342">
        <f>IF(C1342&gt;0,D1342/C1342,NA())</f>
        <v/>
      </c>
    </row>
    <row r="1343">
      <c r="A1343" t="inlineStr">
        <is>
          <t>Manantiales Behr</t>
        </is>
      </c>
      <c r="B1343" t="inlineStr">
        <is>
          <t>2014-12</t>
        </is>
      </c>
      <c r="C1343" t="n">
        <v>97929.2</v>
      </c>
      <c r="D1343" t="n">
        <v>442686.5</v>
      </c>
      <c r="E1343">
        <f>E1342+C1343</f>
        <v/>
      </c>
      <c r="F1343">
        <f>IF(C1343&gt;0,D1343/C1343,NA())</f>
        <v/>
      </c>
    </row>
    <row r="1344">
      <c r="A1344" t="inlineStr">
        <is>
          <t>Manantiales Behr</t>
        </is>
      </c>
      <c r="B1344" t="inlineStr">
        <is>
          <t>2015-01</t>
        </is>
      </c>
      <c r="C1344" t="n">
        <v>97301.8</v>
      </c>
      <c r="D1344" t="n">
        <v>440072.6</v>
      </c>
      <c r="E1344">
        <f>E1343+C1344</f>
        <v/>
      </c>
      <c r="F1344">
        <f>IF(C1344&gt;0,D1344/C1344,NA())</f>
        <v/>
      </c>
    </row>
    <row r="1345">
      <c r="A1345" t="inlineStr">
        <is>
          <t>Manantiales Behr</t>
        </is>
      </c>
      <c r="B1345" t="inlineStr">
        <is>
          <t>2015-02</t>
        </is>
      </c>
      <c r="C1345" t="n">
        <v>89573.89999999999</v>
      </c>
      <c r="D1345" t="n">
        <v>405633.5</v>
      </c>
      <c r="E1345">
        <f>E1344+C1345</f>
        <v/>
      </c>
      <c r="F1345">
        <f>IF(C1345&gt;0,D1345/C1345,NA())</f>
        <v/>
      </c>
    </row>
    <row r="1346">
      <c r="A1346" t="inlineStr">
        <is>
          <t>Manantiales Behr</t>
        </is>
      </c>
      <c r="B1346" t="inlineStr">
        <is>
          <t>2015-03</t>
        </is>
      </c>
      <c r="C1346" t="n">
        <v>100097.2</v>
      </c>
      <c r="D1346" t="n">
        <v>462226.5</v>
      </c>
      <c r="E1346">
        <f>E1345+C1346</f>
        <v/>
      </c>
      <c r="F1346">
        <f>IF(C1346&gt;0,D1346/C1346,NA())</f>
        <v/>
      </c>
    </row>
    <row r="1347">
      <c r="A1347" t="inlineStr">
        <is>
          <t>Manantiales Behr</t>
        </is>
      </c>
      <c r="B1347" t="inlineStr">
        <is>
          <t>2015-04</t>
        </is>
      </c>
      <c r="C1347" t="n">
        <v>95587.39999999999</v>
      </c>
      <c r="D1347" t="n">
        <v>448432.5</v>
      </c>
      <c r="E1347">
        <f>E1346+C1347</f>
        <v/>
      </c>
      <c r="F1347">
        <f>IF(C1347&gt;0,D1347/C1347,NA())</f>
        <v/>
      </c>
    </row>
    <row r="1348">
      <c r="A1348" t="inlineStr">
        <is>
          <t>Manantiales Behr</t>
        </is>
      </c>
      <c r="B1348" t="inlineStr">
        <is>
          <t>2015-05</t>
        </is>
      </c>
      <c r="C1348" t="n">
        <v>101860.3</v>
      </c>
      <c r="D1348" t="n">
        <v>486819.6</v>
      </c>
      <c r="E1348">
        <f>E1347+C1348</f>
        <v/>
      </c>
      <c r="F1348">
        <f>IF(C1348&gt;0,D1348/C1348,NA())</f>
        <v/>
      </c>
    </row>
    <row r="1349">
      <c r="A1349" t="inlineStr">
        <is>
          <t>Manantiales Behr</t>
        </is>
      </c>
      <c r="B1349" t="inlineStr">
        <is>
          <t>2015-06</t>
        </is>
      </c>
      <c r="C1349" t="n">
        <v>96839.60000000001</v>
      </c>
      <c r="D1349" t="n">
        <v>479388.2</v>
      </c>
      <c r="E1349">
        <f>E1348+C1349</f>
        <v/>
      </c>
      <c r="F1349">
        <f>IF(C1349&gt;0,D1349/C1349,NA())</f>
        <v/>
      </c>
    </row>
    <row r="1350">
      <c r="A1350" t="inlineStr">
        <is>
          <t>Manantiales Behr</t>
        </is>
      </c>
      <c r="B1350" t="inlineStr">
        <is>
          <t>2015-07</t>
        </is>
      </c>
      <c r="C1350" t="n">
        <v>100364</v>
      </c>
      <c r="D1350" t="n">
        <v>489288</v>
      </c>
      <c r="E1350">
        <f>E1349+C1350</f>
        <v/>
      </c>
      <c r="F1350">
        <f>IF(C1350&gt;0,D1350/C1350,NA())</f>
        <v/>
      </c>
    </row>
    <row r="1351">
      <c r="A1351" t="inlineStr">
        <is>
          <t>Manantiales Behr</t>
        </is>
      </c>
      <c r="B1351" t="inlineStr">
        <is>
          <t>2015-08</t>
        </is>
      </c>
      <c r="C1351" t="n">
        <v>100834.9</v>
      </c>
      <c r="D1351" t="n">
        <v>470952.2</v>
      </c>
      <c r="E1351">
        <f>E1350+C1351</f>
        <v/>
      </c>
      <c r="F1351">
        <f>IF(C1351&gt;0,D1351/C1351,NA())</f>
        <v/>
      </c>
    </row>
    <row r="1352">
      <c r="A1352" t="inlineStr">
        <is>
          <t>Manantiales Behr</t>
        </is>
      </c>
      <c r="B1352" t="inlineStr">
        <is>
          <t>2015-09</t>
        </is>
      </c>
      <c r="C1352" t="n">
        <v>97835.39999999999</v>
      </c>
      <c r="D1352" t="n">
        <v>473304</v>
      </c>
      <c r="E1352">
        <f>E1351+C1352</f>
        <v/>
      </c>
      <c r="F1352">
        <f>IF(C1352&gt;0,D1352/C1352,NA())</f>
        <v/>
      </c>
    </row>
    <row r="1353">
      <c r="A1353" t="inlineStr">
        <is>
          <t>Manantiales Behr</t>
        </is>
      </c>
      <c r="B1353" t="inlineStr">
        <is>
          <t>2015-10</t>
        </is>
      </c>
      <c r="C1353" t="n">
        <v>100157</v>
      </c>
      <c r="D1353" t="n">
        <v>492739.4</v>
      </c>
      <c r="E1353">
        <f>E1352+C1353</f>
        <v/>
      </c>
      <c r="F1353">
        <f>IF(C1353&gt;0,D1353/C1353,NA())</f>
        <v/>
      </c>
    </row>
    <row r="1354">
      <c r="A1354" t="inlineStr">
        <is>
          <t>Manantiales Behr</t>
        </is>
      </c>
      <c r="B1354" t="inlineStr">
        <is>
          <t>2015-11</t>
        </is>
      </c>
      <c r="C1354" t="n">
        <v>95913.3</v>
      </c>
      <c r="D1354" t="n">
        <v>464134.5</v>
      </c>
      <c r="E1354">
        <f>E1353+C1354</f>
        <v/>
      </c>
      <c r="F1354">
        <f>IF(C1354&gt;0,D1354/C1354,NA())</f>
        <v/>
      </c>
    </row>
    <row r="1355">
      <c r="A1355" t="inlineStr">
        <is>
          <t>Manantiales Behr</t>
        </is>
      </c>
      <c r="B1355" t="inlineStr">
        <is>
          <t>2015-12</t>
        </is>
      </c>
      <c r="C1355" t="n">
        <v>98173.2</v>
      </c>
      <c r="D1355" t="n">
        <v>488490.1</v>
      </c>
      <c r="E1355">
        <f>E1354+C1355</f>
        <v/>
      </c>
      <c r="F1355">
        <f>IF(C1355&gt;0,D1355/C1355,NA())</f>
        <v/>
      </c>
    </row>
    <row r="1356">
      <c r="A1356" t="inlineStr">
        <is>
          <t>Manantiales Behr</t>
        </is>
      </c>
      <c r="B1356" t="inlineStr">
        <is>
          <t>2016-01</t>
        </is>
      </c>
      <c r="C1356" t="n">
        <v>97520.3</v>
      </c>
      <c r="D1356" t="n">
        <v>488614.8</v>
      </c>
      <c r="E1356">
        <f>E1355+C1356</f>
        <v/>
      </c>
      <c r="F1356">
        <f>IF(C1356&gt;0,D1356/C1356,NA())</f>
        <v/>
      </c>
    </row>
    <row r="1357">
      <c r="A1357" t="inlineStr">
        <is>
          <t>Manantiales Behr</t>
        </is>
      </c>
      <c r="B1357" t="inlineStr">
        <is>
          <t>2016-02</t>
        </is>
      </c>
      <c r="C1357" t="n">
        <v>93827.89999999999</v>
      </c>
      <c r="D1357" t="n">
        <v>462979.6</v>
      </c>
      <c r="E1357">
        <f>E1356+C1357</f>
        <v/>
      </c>
      <c r="F1357">
        <f>IF(C1357&gt;0,D1357/C1357,NA())</f>
        <v/>
      </c>
    </row>
    <row r="1358">
      <c r="A1358" t="inlineStr">
        <is>
          <t>Manantiales Behr</t>
        </is>
      </c>
      <c r="B1358" t="inlineStr">
        <is>
          <t>2016-03</t>
        </is>
      </c>
      <c r="C1358" t="n">
        <v>101919.6</v>
      </c>
      <c r="D1358" t="n">
        <v>520729.2</v>
      </c>
      <c r="E1358">
        <f>E1357+C1358</f>
        <v/>
      </c>
      <c r="F1358">
        <f>IF(C1358&gt;0,D1358/C1358,NA())</f>
        <v/>
      </c>
    </row>
    <row r="1359">
      <c r="A1359" t="inlineStr">
        <is>
          <t>Manantiales Behr</t>
        </is>
      </c>
      <c r="B1359" t="inlineStr">
        <is>
          <t>2016-04</t>
        </is>
      </c>
      <c r="C1359" t="n">
        <v>98162.89999999999</v>
      </c>
      <c r="D1359" t="n">
        <v>509240.6</v>
      </c>
      <c r="E1359">
        <f>E1358+C1359</f>
        <v/>
      </c>
      <c r="F1359">
        <f>IF(C1359&gt;0,D1359/C1359,NA())</f>
        <v/>
      </c>
    </row>
    <row r="1360">
      <c r="A1360" t="inlineStr">
        <is>
          <t>Manantiales Behr</t>
        </is>
      </c>
      <c r="B1360" t="inlineStr">
        <is>
          <t>2016-05</t>
        </is>
      </c>
      <c r="C1360" t="n">
        <v>90996.89999999999</v>
      </c>
      <c r="D1360" t="n">
        <v>461198.9</v>
      </c>
      <c r="E1360">
        <f>E1359+C1360</f>
        <v/>
      </c>
      <c r="F1360">
        <f>IF(C1360&gt;0,D1360/C1360,NA())</f>
        <v/>
      </c>
    </row>
    <row r="1361">
      <c r="A1361" t="inlineStr">
        <is>
          <t>Manantiales Behr</t>
        </is>
      </c>
      <c r="B1361" t="inlineStr">
        <is>
          <t>2016-06</t>
        </is>
      </c>
      <c r="C1361" t="n">
        <v>98124.89999999999</v>
      </c>
      <c r="D1361" t="n">
        <v>495338.8</v>
      </c>
      <c r="E1361">
        <f>E1360+C1361</f>
        <v/>
      </c>
      <c r="F1361">
        <f>IF(C1361&gt;0,D1361/C1361,NA())</f>
        <v/>
      </c>
    </row>
    <row r="1362">
      <c r="A1362" t="inlineStr">
        <is>
          <t>Manantiales Behr</t>
        </is>
      </c>
      <c r="B1362" t="inlineStr">
        <is>
          <t>2016-07</t>
        </is>
      </c>
      <c r="C1362" t="n">
        <v>100710.6</v>
      </c>
      <c r="D1362" t="n">
        <v>524622.8</v>
      </c>
      <c r="E1362">
        <f>E1361+C1362</f>
        <v/>
      </c>
      <c r="F1362">
        <f>IF(C1362&gt;0,D1362/C1362,NA())</f>
        <v/>
      </c>
    </row>
    <row r="1363">
      <c r="A1363" t="inlineStr">
        <is>
          <t>Manantiales Behr</t>
        </is>
      </c>
      <c r="B1363" t="inlineStr">
        <is>
          <t>2016-08</t>
        </is>
      </c>
      <c r="C1363" t="n">
        <v>103702.6</v>
      </c>
      <c r="D1363" t="n">
        <v>540952.5</v>
      </c>
      <c r="E1363">
        <f>E1362+C1363</f>
        <v/>
      </c>
      <c r="F1363">
        <f>IF(C1363&gt;0,D1363/C1363,NA())</f>
        <v/>
      </c>
    </row>
    <row r="1364">
      <c r="A1364" t="inlineStr">
        <is>
          <t>Manantiales Behr</t>
        </is>
      </c>
      <c r="B1364" t="inlineStr">
        <is>
          <t>2016-09</t>
        </is>
      </c>
      <c r="C1364" t="n">
        <v>96289.10000000001</v>
      </c>
      <c r="D1364" t="n">
        <v>520039.9</v>
      </c>
      <c r="E1364">
        <f>E1363+C1364</f>
        <v/>
      </c>
      <c r="F1364">
        <f>IF(C1364&gt;0,D1364/C1364,NA())</f>
        <v/>
      </c>
    </row>
    <row r="1365">
      <c r="A1365" t="inlineStr">
        <is>
          <t>Manantiales Behr</t>
        </is>
      </c>
      <c r="B1365" t="inlineStr">
        <is>
          <t>2016-10</t>
        </is>
      </c>
      <c r="C1365" t="n">
        <v>100100.6</v>
      </c>
      <c r="D1365" t="n">
        <v>540762.4</v>
      </c>
      <c r="E1365">
        <f>E1364+C1365</f>
        <v/>
      </c>
      <c r="F1365">
        <f>IF(C1365&gt;0,D1365/C1365,NA())</f>
        <v/>
      </c>
    </row>
    <row r="1366">
      <c r="A1366" t="inlineStr">
        <is>
          <t>Manantiales Behr</t>
        </is>
      </c>
      <c r="B1366" t="inlineStr">
        <is>
          <t>2016-11</t>
        </is>
      </c>
      <c r="C1366" t="n">
        <v>94748.2</v>
      </c>
      <c r="D1366" t="n">
        <v>500430.9</v>
      </c>
      <c r="E1366">
        <f>E1365+C1366</f>
        <v/>
      </c>
      <c r="F1366">
        <f>IF(C1366&gt;0,D1366/C1366,NA())</f>
        <v/>
      </c>
    </row>
    <row r="1367">
      <c r="A1367" t="inlineStr">
        <is>
          <t>Manantiales Behr</t>
        </is>
      </c>
      <c r="B1367" t="inlineStr">
        <is>
          <t>2016-12</t>
        </is>
      </c>
      <c r="C1367" t="n">
        <v>96562.3</v>
      </c>
      <c r="D1367" t="n">
        <v>507687.6</v>
      </c>
      <c r="E1367">
        <f>E1366+C1367</f>
        <v/>
      </c>
      <c r="F1367">
        <f>IF(C1367&gt;0,D1367/C1367,NA())</f>
        <v/>
      </c>
    </row>
    <row r="1368">
      <c r="A1368" t="inlineStr">
        <is>
          <t>Manantiales Behr</t>
        </is>
      </c>
      <c r="B1368" t="inlineStr">
        <is>
          <t>2017-01</t>
        </is>
      </c>
      <c r="C1368" t="n">
        <v>98470.7</v>
      </c>
      <c r="D1368" t="n">
        <v>519035</v>
      </c>
      <c r="E1368">
        <f>E1367+C1368</f>
        <v/>
      </c>
      <c r="F1368">
        <f>IF(C1368&gt;0,D1368/C1368,NA())</f>
        <v/>
      </c>
    </row>
    <row r="1369">
      <c r="A1369" t="inlineStr">
        <is>
          <t>Manantiales Behr</t>
        </is>
      </c>
      <c r="B1369" t="inlineStr">
        <is>
          <t>2017-02</t>
        </is>
      </c>
      <c r="C1369" t="n">
        <v>88773.2</v>
      </c>
      <c r="D1369" t="n">
        <v>468487</v>
      </c>
      <c r="E1369">
        <f>E1368+C1369</f>
        <v/>
      </c>
      <c r="F1369">
        <f>IF(C1369&gt;0,D1369/C1369,NA())</f>
        <v/>
      </c>
    </row>
    <row r="1370">
      <c r="A1370" t="inlineStr">
        <is>
          <t>Manantiales Behr</t>
        </is>
      </c>
      <c r="B1370" t="inlineStr">
        <is>
          <t>2017-03</t>
        </is>
      </c>
      <c r="C1370" t="n">
        <v>96193.7</v>
      </c>
      <c r="D1370" t="n">
        <v>515975.9</v>
      </c>
      <c r="E1370">
        <f>E1369+C1370</f>
        <v/>
      </c>
      <c r="F1370">
        <f>IF(C1370&gt;0,D1370/C1370,NA())</f>
        <v/>
      </c>
    </row>
    <row r="1371">
      <c r="A1371" t="inlineStr">
        <is>
          <t>Manantiales Behr</t>
        </is>
      </c>
      <c r="B1371" t="inlineStr">
        <is>
          <t>2017-04</t>
        </is>
      </c>
      <c r="C1371" t="n">
        <v>82847.60000000001</v>
      </c>
      <c r="D1371" t="n">
        <v>445828.1</v>
      </c>
      <c r="E1371">
        <f>E1370+C1371</f>
        <v/>
      </c>
      <c r="F1371">
        <f>IF(C1371&gt;0,D1371/C1371,NA())</f>
        <v/>
      </c>
    </row>
    <row r="1372">
      <c r="A1372" t="inlineStr">
        <is>
          <t>Manantiales Behr</t>
        </is>
      </c>
      <c r="B1372" t="inlineStr">
        <is>
          <t>2017-05</t>
        </is>
      </c>
      <c r="C1372" t="n">
        <v>94307.60000000001</v>
      </c>
      <c r="D1372" t="n">
        <v>501655.5</v>
      </c>
      <c r="E1372">
        <f>E1371+C1372</f>
        <v/>
      </c>
      <c r="F1372">
        <f>IF(C1372&gt;0,D1372/C1372,NA())</f>
        <v/>
      </c>
    </row>
    <row r="1373">
      <c r="A1373" t="inlineStr">
        <is>
          <t>Manantiales Behr</t>
        </is>
      </c>
      <c r="B1373" t="inlineStr">
        <is>
          <t>2017-06</t>
        </is>
      </c>
      <c r="C1373" t="n">
        <v>62579.6</v>
      </c>
      <c r="D1373" t="n">
        <v>334045.6</v>
      </c>
      <c r="E1373">
        <f>E1372+C1373</f>
        <v/>
      </c>
      <c r="F1373">
        <f>IF(C1373&gt;0,D1373/C1373,NA())</f>
        <v/>
      </c>
    </row>
    <row r="1374">
      <c r="A1374" t="inlineStr">
        <is>
          <t>Manantiales Behr</t>
        </is>
      </c>
      <c r="B1374" t="inlineStr">
        <is>
          <t>2017-07</t>
        </is>
      </c>
      <c r="C1374" t="n">
        <v>79552</v>
      </c>
      <c r="D1374" t="n">
        <v>406623.1</v>
      </c>
      <c r="E1374">
        <f>E1373+C1374</f>
        <v/>
      </c>
      <c r="F1374">
        <f>IF(C1374&gt;0,D1374/C1374,NA())</f>
        <v/>
      </c>
    </row>
    <row r="1375">
      <c r="A1375" t="inlineStr">
        <is>
          <t>Manantiales Behr</t>
        </is>
      </c>
      <c r="B1375" t="inlineStr">
        <is>
          <t>2017-08</t>
        </is>
      </c>
      <c r="C1375" t="n">
        <v>88968.39999999999</v>
      </c>
      <c r="D1375" t="n">
        <v>469154.7</v>
      </c>
      <c r="E1375">
        <f>E1374+C1375</f>
        <v/>
      </c>
      <c r="F1375">
        <f>IF(C1375&gt;0,D1375/C1375,NA())</f>
        <v/>
      </c>
    </row>
    <row r="1376">
      <c r="A1376" t="inlineStr">
        <is>
          <t>Manantiales Behr</t>
        </is>
      </c>
      <c r="B1376" t="inlineStr">
        <is>
          <t>2017-09</t>
        </is>
      </c>
      <c r="C1376" t="n">
        <v>89405.2</v>
      </c>
      <c r="D1376" t="n">
        <v>471271.3</v>
      </c>
      <c r="E1376">
        <f>E1375+C1376</f>
        <v/>
      </c>
      <c r="F1376">
        <f>IF(C1376&gt;0,D1376/C1376,NA())</f>
        <v/>
      </c>
    </row>
    <row r="1377">
      <c r="A1377" t="inlineStr">
        <is>
          <t>Manantiales Behr</t>
        </is>
      </c>
      <c r="B1377" t="inlineStr">
        <is>
          <t>2017-10</t>
        </is>
      </c>
      <c r="C1377" t="n">
        <v>95221.3</v>
      </c>
      <c r="D1377" t="n">
        <v>493613.5</v>
      </c>
      <c r="E1377">
        <f>E1376+C1377</f>
        <v/>
      </c>
      <c r="F1377">
        <f>IF(C1377&gt;0,D1377/C1377,NA())</f>
        <v/>
      </c>
    </row>
    <row r="1378">
      <c r="A1378" t="inlineStr">
        <is>
          <t>Manantiales Behr</t>
        </is>
      </c>
      <c r="B1378" t="inlineStr">
        <is>
          <t>2017-11</t>
        </is>
      </c>
      <c r="C1378" t="n">
        <v>94949.3</v>
      </c>
      <c r="D1378" t="n">
        <v>490024.1</v>
      </c>
      <c r="E1378">
        <f>E1377+C1378</f>
        <v/>
      </c>
      <c r="F1378">
        <f>IF(C1378&gt;0,D1378/C1378,NA())</f>
        <v/>
      </c>
    </row>
    <row r="1379">
      <c r="A1379" t="inlineStr">
        <is>
          <t>Manantiales Behr</t>
        </is>
      </c>
      <c r="B1379" t="inlineStr">
        <is>
          <t>2017-12</t>
        </is>
      </c>
      <c r="C1379" t="n">
        <v>97535.2</v>
      </c>
      <c r="D1379" t="n">
        <v>502535.1</v>
      </c>
      <c r="E1379">
        <f>E1378+C1379</f>
        <v/>
      </c>
      <c r="F1379">
        <f>IF(C1379&gt;0,D1379/C1379,NA())</f>
        <v/>
      </c>
    </row>
    <row r="1380">
      <c r="A1380" t="inlineStr">
        <is>
          <t>Manantiales Behr</t>
        </is>
      </c>
      <c r="B1380" t="inlineStr">
        <is>
          <t>2018-01</t>
        </is>
      </c>
      <c r="C1380" t="n">
        <v>98871.5</v>
      </c>
      <c r="D1380" t="n">
        <v>498640.2</v>
      </c>
      <c r="E1380">
        <f>E1379+C1380</f>
        <v/>
      </c>
      <c r="F1380">
        <f>IF(C1380&gt;0,D1380/C1380,NA())</f>
        <v/>
      </c>
    </row>
    <row r="1381">
      <c r="A1381" t="inlineStr">
        <is>
          <t>Manantiales Behr</t>
        </is>
      </c>
      <c r="B1381" t="inlineStr">
        <is>
          <t>2018-02</t>
        </is>
      </c>
      <c r="C1381" t="n">
        <v>88954.39999999999</v>
      </c>
      <c r="D1381" t="n">
        <v>486690</v>
      </c>
      <c r="E1381">
        <f>E1380+C1381</f>
        <v/>
      </c>
      <c r="F1381">
        <f>IF(C1381&gt;0,D1381/C1381,NA())</f>
        <v/>
      </c>
    </row>
    <row r="1382">
      <c r="A1382" t="inlineStr">
        <is>
          <t>Manantiales Behr</t>
        </is>
      </c>
      <c r="B1382" t="inlineStr">
        <is>
          <t>2018-03</t>
        </is>
      </c>
      <c r="C1382" t="n">
        <v>99780.2</v>
      </c>
      <c r="D1382" t="n">
        <v>572275.2</v>
      </c>
      <c r="E1382">
        <f>E1381+C1382</f>
        <v/>
      </c>
      <c r="F1382">
        <f>IF(C1382&gt;0,D1382/C1382,NA())</f>
        <v/>
      </c>
    </row>
    <row r="1383">
      <c r="A1383" t="inlineStr">
        <is>
          <t>Manantiales Behr</t>
        </is>
      </c>
      <c r="B1383" t="inlineStr">
        <is>
          <t>2018-04</t>
        </is>
      </c>
      <c r="C1383" t="n">
        <v>95828.60000000001</v>
      </c>
      <c r="D1383" t="n">
        <v>533788</v>
      </c>
      <c r="E1383">
        <f>E1382+C1383</f>
        <v/>
      </c>
      <c r="F1383">
        <f>IF(C1383&gt;0,D1383/C1383,NA())</f>
        <v/>
      </c>
    </row>
    <row r="1384">
      <c r="A1384" t="inlineStr">
        <is>
          <t>Manantiales Behr</t>
        </is>
      </c>
      <c r="B1384" t="inlineStr">
        <is>
          <t>2018-05</t>
        </is>
      </c>
      <c r="C1384" t="n">
        <v>99957.60000000001</v>
      </c>
      <c r="D1384" t="n">
        <v>556021.8</v>
      </c>
      <c r="E1384">
        <f>E1383+C1384</f>
        <v/>
      </c>
      <c r="F1384">
        <f>IF(C1384&gt;0,D1384/C1384,NA())</f>
        <v/>
      </c>
    </row>
    <row r="1385">
      <c r="A1385" t="inlineStr">
        <is>
          <t>Manantiales Behr</t>
        </is>
      </c>
      <c r="B1385" t="inlineStr">
        <is>
          <t>2018-06</t>
        </is>
      </c>
      <c r="C1385" t="n">
        <v>97893.7</v>
      </c>
      <c r="D1385" t="n">
        <v>555219.8</v>
      </c>
      <c r="E1385">
        <f>E1384+C1385</f>
        <v/>
      </c>
      <c r="F1385">
        <f>IF(C1385&gt;0,D1385/C1385,NA())</f>
        <v/>
      </c>
    </row>
    <row r="1386">
      <c r="A1386" t="inlineStr">
        <is>
          <t>Manantiales Behr</t>
        </is>
      </c>
      <c r="B1386" t="inlineStr">
        <is>
          <t>2018-07</t>
        </is>
      </c>
      <c r="C1386" t="n">
        <v>103990.8</v>
      </c>
      <c r="D1386" t="n">
        <v>590208</v>
      </c>
      <c r="E1386">
        <f>E1385+C1386</f>
        <v/>
      </c>
      <c r="F1386">
        <f>IF(C1386&gt;0,D1386/C1386,NA())</f>
        <v/>
      </c>
    </row>
    <row r="1387">
      <c r="A1387" t="inlineStr">
        <is>
          <t>Manantiales Behr</t>
        </is>
      </c>
      <c r="B1387" t="inlineStr">
        <is>
          <t>2018-08</t>
        </is>
      </c>
      <c r="C1387" t="n">
        <v>101682.9</v>
      </c>
      <c r="D1387" t="n">
        <v>589898.8</v>
      </c>
      <c r="E1387">
        <f>E1386+C1387</f>
        <v/>
      </c>
      <c r="F1387">
        <f>IF(C1387&gt;0,D1387/C1387,NA())</f>
        <v/>
      </c>
    </row>
    <row r="1388">
      <c r="A1388" t="inlineStr">
        <is>
          <t>Manantiales Behr</t>
        </is>
      </c>
      <c r="B1388" t="inlineStr">
        <is>
          <t>2018-09</t>
        </is>
      </c>
      <c r="C1388" t="n">
        <v>100410.9</v>
      </c>
      <c r="D1388" t="n">
        <v>574437.7</v>
      </c>
      <c r="E1388">
        <f>E1387+C1388</f>
        <v/>
      </c>
      <c r="F1388">
        <f>IF(C1388&gt;0,D1388/C1388,NA())</f>
        <v/>
      </c>
    </row>
    <row r="1389">
      <c r="A1389" t="inlineStr">
        <is>
          <t>Manantiales Behr</t>
        </is>
      </c>
      <c r="B1389" t="inlineStr">
        <is>
          <t>2018-10</t>
        </is>
      </c>
      <c r="C1389" t="n">
        <v>103357.9</v>
      </c>
      <c r="D1389" t="n">
        <v>572803.7</v>
      </c>
      <c r="E1389">
        <f>E1388+C1389</f>
        <v/>
      </c>
      <c r="F1389">
        <f>IF(C1389&gt;0,D1389/C1389,NA())</f>
        <v/>
      </c>
    </row>
    <row r="1390">
      <c r="A1390" t="inlineStr">
        <is>
          <t>Manantiales Behr</t>
        </is>
      </c>
      <c r="B1390" t="inlineStr">
        <is>
          <t>2018-11</t>
        </is>
      </c>
      <c r="C1390" t="n">
        <v>97946.60000000001</v>
      </c>
      <c r="D1390" t="n">
        <v>565451.8</v>
      </c>
      <c r="E1390">
        <f>E1389+C1390</f>
        <v/>
      </c>
      <c r="F1390">
        <f>IF(C1390&gt;0,D1390/C1390,NA())</f>
        <v/>
      </c>
    </row>
    <row r="1391">
      <c r="A1391" t="inlineStr">
        <is>
          <t>Manantiales Behr</t>
        </is>
      </c>
      <c r="B1391" t="inlineStr">
        <is>
          <t>2018-12</t>
        </is>
      </c>
      <c r="C1391" t="n">
        <v>99677.10000000001</v>
      </c>
      <c r="D1391" t="n">
        <v>576781.5</v>
      </c>
      <c r="E1391">
        <f>E1390+C1391</f>
        <v/>
      </c>
      <c r="F1391">
        <f>IF(C1391&gt;0,D1391/C1391,NA())</f>
        <v/>
      </c>
    </row>
    <row r="1392">
      <c r="A1392" t="inlineStr">
        <is>
          <t>Manantiales Behr</t>
        </is>
      </c>
      <c r="B1392" t="inlineStr">
        <is>
          <t>2019-01</t>
        </is>
      </c>
      <c r="C1392" t="n">
        <v>99060.5</v>
      </c>
      <c r="D1392" t="n">
        <v>611590.1</v>
      </c>
      <c r="E1392">
        <f>E1391+C1392</f>
        <v/>
      </c>
      <c r="F1392">
        <f>IF(C1392&gt;0,D1392/C1392,NA())</f>
        <v/>
      </c>
    </row>
    <row r="1393">
      <c r="A1393" t="inlineStr">
        <is>
          <t>Manantiales Behr</t>
        </is>
      </c>
      <c r="B1393" t="inlineStr">
        <is>
          <t>2019-02</t>
        </is>
      </c>
      <c r="C1393" t="n">
        <v>90079.5</v>
      </c>
      <c r="D1393" t="n">
        <v>534885.3</v>
      </c>
      <c r="E1393">
        <f>E1392+C1393</f>
        <v/>
      </c>
      <c r="F1393">
        <f>IF(C1393&gt;0,D1393/C1393,NA())</f>
        <v/>
      </c>
    </row>
    <row r="1394">
      <c r="A1394" t="inlineStr">
        <is>
          <t>Manantiales Behr</t>
        </is>
      </c>
      <c r="B1394" t="inlineStr">
        <is>
          <t>2019-03</t>
        </is>
      </c>
      <c r="C1394" t="n">
        <v>99501.60000000001</v>
      </c>
      <c r="D1394" t="n">
        <v>603459.9</v>
      </c>
      <c r="E1394">
        <f>E1393+C1394</f>
        <v/>
      </c>
      <c r="F1394">
        <f>IF(C1394&gt;0,D1394/C1394,NA())</f>
        <v/>
      </c>
    </row>
    <row r="1395">
      <c r="A1395" t="inlineStr">
        <is>
          <t>Manantiales Behr</t>
        </is>
      </c>
      <c r="B1395" t="inlineStr">
        <is>
          <t>2019-04</t>
        </is>
      </c>
      <c r="C1395" t="n">
        <v>95686.10000000001</v>
      </c>
      <c r="D1395" t="n">
        <v>608668.1</v>
      </c>
      <c r="E1395">
        <f>E1394+C1395</f>
        <v/>
      </c>
      <c r="F1395">
        <f>IF(C1395&gt;0,D1395/C1395,NA())</f>
        <v/>
      </c>
    </row>
    <row r="1396">
      <c r="A1396" t="inlineStr">
        <is>
          <t>Manantiales Behr</t>
        </is>
      </c>
      <c r="B1396" t="inlineStr">
        <is>
          <t>2019-05</t>
        </is>
      </c>
      <c r="C1396" t="n">
        <v>97712.39999999999</v>
      </c>
      <c r="D1396" t="n">
        <v>636169.5</v>
      </c>
      <c r="E1396">
        <f>E1395+C1396</f>
        <v/>
      </c>
      <c r="F1396">
        <f>IF(C1396&gt;0,D1396/C1396,NA())</f>
        <v/>
      </c>
    </row>
    <row r="1397">
      <c r="A1397" t="inlineStr">
        <is>
          <t>Manantiales Behr</t>
        </is>
      </c>
      <c r="B1397" t="inlineStr">
        <is>
          <t>2019-06</t>
        </is>
      </c>
      <c r="C1397" t="n">
        <v>92329.3</v>
      </c>
      <c r="D1397" t="n">
        <v>617946.5</v>
      </c>
      <c r="E1397">
        <f>E1396+C1397</f>
        <v/>
      </c>
      <c r="F1397">
        <f>IF(C1397&gt;0,D1397/C1397,NA())</f>
        <v/>
      </c>
    </row>
    <row r="1398">
      <c r="A1398" t="inlineStr">
        <is>
          <t>Manantiales Behr</t>
        </is>
      </c>
      <c r="B1398" t="inlineStr">
        <is>
          <t>2019-07</t>
        </is>
      </c>
      <c r="C1398" t="n">
        <v>97093.8</v>
      </c>
      <c r="D1398" t="n">
        <v>636063.3</v>
      </c>
      <c r="E1398">
        <f>E1397+C1398</f>
        <v/>
      </c>
      <c r="F1398">
        <f>IF(C1398&gt;0,D1398/C1398,NA())</f>
        <v/>
      </c>
    </row>
    <row r="1399">
      <c r="A1399" t="inlineStr">
        <is>
          <t>Manantiales Behr</t>
        </is>
      </c>
      <c r="B1399" t="inlineStr">
        <is>
          <t>2019-08</t>
        </is>
      </c>
      <c r="C1399" t="n">
        <v>98549.10000000001</v>
      </c>
      <c r="D1399" t="n">
        <v>633896.6</v>
      </c>
      <c r="E1399">
        <f>E1398+C1399</f>
        <v/>
      </c>
      <c r="F1399">
        <f>IF(C1399&gt;0,D1399/C1399,NA())</f>
        <v/>
      </c>
    </row>
    <row r="1400">
      <c r="A1400" t="inlineStr">
        <is>
          <t>Manantiales Behr</t>
        </is>
      </c>
      <c r="B1400" t="inlineStr">
        <is>
          <t>2019-09</t>
        </is>
      </c>
      <c r="C1400" t="n">
        <v>94550.5</v>
      </c>
      <c r="D1400" t="n">
        <v>591707.3</v>
      </c>
      <c r="E1400">
        <f>E1399+C1400</f>
        <v/>
      </c>
      <c r="F1400">
        <f>IF(C1400&gt;0,D1400/C1400,NA())</f>
        <v/>
      </c>
    </row>
    <row r="1401">
      <c r="A1401" t="inlineStr">
        <is>
          <t>Manantiales Behr</t>
        </is>
      </c>
      <c r="B1401" t="inlineStr">
        <is>
          <t>2019-10</t>
        </is>
      </c>
      <c r="C1401" t="n">
        <v>97349.5</v>
      </c>
      <c r="D1401" t="n">
        <v>621251.1</v>
      </c>
      <c r="E1401">
        <f>E1400+C1401</f>
        <v/>
      </c>
      <c r="F1401">
        <f>IF(C1401&gt;0,D1401/C1401,NA())</f>
        <v/>
      </c>
    </row>
    <row r="1402">
      <c r="A1402" t="inlineStr">
        <is>
          <t>Manantiales Behr</t>
        </is>
      </c>
      <c r="B1402" t="inlineStr">
        <is>
          <t>2019-11</t>
        </is>
      </c>
      <c r="C1402" t="n">
        <v>95880.3</v>
      </c>
      <c r="D1402" t="n">
        <v>609366.4</v>
      </c>
      <c r="E1402">
        <f>E1401+C1402</f>
        <v/>
      </c>
      <c r="F1402">
        <f>IF(C1402&gt;0,D1402/C1402,NA())</f>
        <v/>
      </c>
    </row>
    <row r="1403">
      <c r="A1403" t="inlineStr">
        <is>
          <t>Manantiales Behr</t>
        </is>
      </c>
      <c r="B1403" t="inlineStr">
        <is>
          <t>2019-12</t>
        </is>
      </c>
      <c r="C1403" t="n">
        <v>102004.4</v>
      </c>
      <c r="D1403" t="n">
        <v>634626.9</v>
      </c>
      <c r="E1403">
        <f>E1402+C1403</f>
        <v/>
      </c>
      <c r="F1403">
        <f>IF(C1403&gt;0,D1403/C1403,NA())</f>
        <v/>
      </c>
    </row>
    <row r="1404">
      <c r="A1404" t="inlineStr">
        <is>
          <t>Manantiales Behr</t>
        </is>
      </c>
      <c r="B1404" t="inlineStr">
        <is>
          <t>2020-01</t>
        </is>
      </c>
      <c r="C1404" t="n">
        <v>103942.5</v>
      </c>
      <c r="D1404" t="n">
        <v>645545.6</v>
      </c>
      <c r="E1404">
        <f>E1403+C1404</f>
        <v/>
      </c>
      <c r="F1404">
        <f>IF(C1404&gt;0,D1404/C1404,NA())</f>
        <v/>
      </c>
    </row>
    <row r="1405">
      <c r="A1405" t="inlineStr">
        <is>
          <t>Manantiales Behr</t>
        </is>
      </c>
      <c r="B1405" t="inlineStr">
        <is>
          <t>2020-02</t>
        </is>
      </c>
      <c r="C1405" t="n">
        <v>94983.89999999999</v>
      </c>
      <c r="D1405" t="n">
        <v>591206.5</v>
      </c>
      <c r="E1405">
        <f>E1404+C1405</f>
        <v/>
      </c>
      <c r="F1405">
        <f>IF(C1405&gt;0,D1405/C1405,NA())</f>
        <v/>
      </c>
    </row>
    <row r="1406">
      <c r="A1406" t="inlineStr">
        <is>
          <t>Manantiales Behr</t>
        </is>
      </c>
      <c r="B1406" t="inlineStr">
        <is>
          <t>2020-03</t>
        </is>
      </c>
      <c r="C1406" t="n">
        <v>103796.6</v>
      </c>
      <c r="D1406" t="n">
        <v>643706.7</v>
      </c>
      <c r="E1406">
        <f>E1405+C1406</f>
        <v/>
      </c>
      <c r="F1406">
        <f>IF(C1406&gt;0,D1406/C1406,NA())</f>
        <v/>
      </c>
    </row>
    <row r="1407">
      <c r="A1407" t="inlineStr">
        <is>
          <t>Manantiales Behr</t>
        </is>
      </c>
      <c r="B1407" t="inlineStr">
        <is>
          <t>2020-04</t>
        </is>
      </c>
      <c r="C1407" t="n">
        <v>101155.2</v>
      </c>
      <c r="D1407" t="n">
        <v>629492.2</v>
      </c>
      <c r="E1407">
        <f>E1406+C1407</f>
        <v/>
      </c>
      <c r="F1407">
        <f>IF(C1407&gt;0,D1407/C1407,NA())</f>
        <v/>
      </c>
    </row>
    <row r="1408">
      <c r="A1408" t="inlineStr">
        <is>
          <t>Manantiales Behr</t>
        </is>
      </c>
      <c r="B1408" t="inlineStr">
        <is>
          <t>2020-05</t>
        </is>
      </c>
      <c r="C1408" t="n">
        <v>106005.9</v>
      </c>
      <c r="D1408" t="n">
        <v>656279.7</v>
      </c>
      <c r="E1408">
        <f>E1407+C1408</f>
        <v/>
      </c>
      <c r="F1408">
        <f>IF(C1408&gt;0,D1408/C1408,NA())</f>
        <v/>
      </c>
    </row>
    <row r="1409">
      <c r="A1409" t="inlineStr">
        <is>
          <t>Manantiales Behr</t>
        </is>
      </c>
      <c r="B1409" t="inlineStr">
        <is>
          <t>2020-06</t>
        </is>
      </c>
      <c r="C1409" t="n">
        <v>101673.9</v>
      </c>
      <c r="D1409" t="n">
        <v>626796.8</v>
      </c>
      <c r="E1409">
        <f>E1408+C1409</f>
        <v/>
      </c>
      <c r="F1409">
        <f>IF(C1409&gt;0,D1409/C1409,NA())</f>
        <v/>
      </c>
    </row>
    <row r="1410">
      <c r="A1410" t="inlineStr">
        <is>
          <t>Manantiales Behr</t>
        </is>
      </c>
      <c r="B1410" t="inlineStr">
        <is>
          <t>2020-07</t>
        </is>
      </c>
      <c r="C1410" t="n">
        <v>100483.7</v>
      </c>
      <c r="D1410" t="n">
        <v>622191.6</v>
      </c>
      <c r="E1410">
        <f>E1409+C1410</f>
        <v/>
      </c>
      <c r="F1410">
        <f>IF(C1410&gt;0,D1410/C1410,NA())</f>
        <v/>
      </c>
    </row>
    <row r="1411">
      <c r="A1411" t="inlineStr">
        <is>
          <t>Manantiales Behr</t>
        </is>
      </c>
      <c r="B1411" t="inlineStr">
        <is>
          <t>2020-08</t>
        </is>
      </c>
      <c r="C1411" t="n">
        <v>105310.6</v>
      </c>
      <c r="D1411" t="n">
        <v>633383</v>
      </c>
      <c r="E1411">
        <f>E1410+C1411</f>
        <v/>
      </c>
      <c r="F1411">
        <f>IF(C1411&gt;0,D1411/C1411,NA())</f>
        <v/>
      </c>
    </row>
    <row r="1412">
      <c r="A1412" t="inlineStr">
        <is>
          <t>Manantiales Behr</t>
        </is>
      </c>
      <c r="B1412" t="inlineStr">
        <is>
          <t>2020-09</t>
        </is>
      </c>
      <c r="C1412" t="n">
        <v>104963.2</v>
      </c>
      <c r="D1412" t="n">
        <v>613601.3</v>
      </c>
      <c r="E1412">
        <f>E1411+C1412</f>
        <v/>
      </c>
      <c r="F1412">
        <f>IF(C1412&gt;0,D1412/C1412,NA())</f>
        <v/>
      </c>
    </row>
    <row r="1413">
      <c r="A1413" t="inlineStr">
        <is>
          <t>Manantiales Behr</t>
        </is>
      </c>
      <c r="B1413" t="inlineStr">
        <is>
          <t>2020-10</t>
        </is>
      </c>
      <c r="C1413" t="n">
        <v>110357.7</v>
      </c>
      <c r="D1413" t="n">
        <v>630712.6</v>
      </c>
      <c r="E1413">
        <f>E1412+C1413</f>
        <v/>
      </c>
      <c r="F1413">
        <f>IF(C1413&gt;0,D1413/C1413,NA())</f>
        <v/>
      </c>
    </row>
    <row r="1414">
      <c r="A1414" t="inlineStr">
        <is>
          <t>Manantiales Behr</t>
        </is>
      </c>
      <c r="B1414" t="inlineStr">
        <is>
          <t>2020-11</t>
        </is>
      </c>
      <c r="C1414" t="n">
        <v>106283.6</v>
      </c>
      <c r="D1414" t="n">
        <v>602823.2</v>
      </c>
      <c r="E1414">
        <f>E1413+C1414</f>
        <v/>
      </c>
      <c r="F1414">
        <f>IF(C1414&gt;0,D1414/C1414,NA())</f>
        <v/>
      </c>
    </row>
    <row r="1415">
      <c r="A1415" t="inlineStr">
        <is>
          <t>Manantiales Behr</t>
        </is>
      </c>
      <c r="B1415" t="inlineStr">
        <is>
          <t>2020-12</t>
        </is>
      </c>
      <c r="C1415" t="n">
        <v>116158.9</v>
      </c>
      <c r="D1415" t="n">
        <v>608237</v>
      </c>
      <c r="E1415">
        <f>E1414+C1415</f>
        <v/>
      </c>
      <c r="F1415">
        <f>IF(C1415&gt;0,D1415/C1415,NA())</f>
        <v/>
      </c>
    </row>
    <row r="1416">
      <c r="A1416" t="inlineStr">
        <is>
          <t>Manantiales Behr</t>
        </is>
      </c>
      <c r="B1416" t="inlineStr">
        <is>
          <t>2021-01</t>
        </is>
      </c>
      <c r="C1416" t="n">
        <v>118663.7</v>
      </c>
      <c r="D1416" t="n">
        <v>634521.8</v>
      </c>
      <c r="E1416">
        <f>E1415+C1416</f>
        <v/>
      </c>
      <c r="F1416">
        <f>IF(C1416&gt;0,D1416/C1416,NA())</f>
        <v/>
      </c>
    </row>
    <row r="1417">
      <c r="A1417" t="inlineStr">
        <is>
          <t>Manantiales Behr</t>
        </is>
      </c>
      <c r="B1417" t="inlineStr">
        <is>
          <t>2021-02</t>
        </is>
      </c>
      <c r="C1417" t="n">
        <v>108307.2</v>
      </c>
      <c r="D1417" t="n">
        <v>576404.4</v>
      </c>
      <c r="E1417">
        <f>E1416+C1417</f>
        <v/>
      </c>
      <c r="F1417">
        <f>IF(C1417&gt;0,D1417/C1417,NA())</f>
        <v/>
      </c>
    </row>
    <row r="1418">
      <c r="A1418" t="inlineStr">
        <is>
          <t>Manantiales Behr</t>
        </is>
      </c>
      <c r="B1418" t="inlineStr">
        <is>
          <t>2021-03</t>
        </is>
      </c>
      <c r="C1418" t="n">
        <v>118280.1</v>
      </c>
      <c r="D1418" t="n">
        <v>647228.2</v>
      </c>
      <c r="E1418">
        <f>E1417+C1418</f>
        <v/>
      </c>
      <c r="F1418">
        <f>IF(C1418&gt;0,D1418/C1418,NA())</f>
        <v/>
      </c>
    </row>
    <row r="1419">
      <c r="A1419" t="inlineStr">
        <is>
          <t>Manantiales Behr</t>
        </is>
      </c>
      <c r="B1419" t="inlineStr">
        <is>
          <t>2021-04</t>
        </is>
      </c>
      <c r="C1419" t="n">
        <v>117548.8</v>
      </c>
      <c r="D1419" t="n">
        <v>593871.8</v>
      </c>
      <c r="E1419">
        <f>E1418+C1419</f>
        <v/>
      </c>
      <c r="F1419">
        <f>IF(C1419&gt;0,D1419/C1419,NA())</f>
        <v/>
      </c>
    </row>
    <row r="1420">
      <c r="A1420" t="inlineStr">
        <is>
          <t>Manantiales Behr</t>
        </is>
      </c>
      <c r="B1420" t="inlineStr">
        <is>
          <t>2021-05</t>
        </is>
      </c>
      <c r="C1420" t="n">
        <v>119953.4</v>
      </c>
      <c r="D1420" t="n">
        <v>623464.3</v>
      </c>
      <c r="E1420">
        <f>E1419+C1420</f>
        <v/>
      </c>
      <c r="F1420">
        <f>IF(C1420&gt;0,D1420/C1420,NA())</f>
        <v/>
      </c>
    </row>
    <row r="1421">
      <c r="A1421" t="inlineStr">
        <is>
          <t>Manantiales Behr</t>
        </is>
      </c>
      <c r="B1421" t="inlineStr">
        <is>
          <t>2021-06</t>
        </is>
      </c>
      <c r="C1421" t="n">
        <v>114820.3</v>
      </c>
      <c r="D1421" t="n">
        <v>590603.6</v>
      </c>
      <c r="E1421">
        <f>E1420+C1421</f>
        <v/>
      </c>
      <c r="F1421">
        <f>IF(C1421&gt;0,D1421/C1421,NA())</f>
        <v/>
      </c>
    </row>
    <row r="1422">
      <c r="A1422" t="inlineStr">
        <is>
          <t>Manantiales Behr</t>
        </is>
      </c>
      <c r="B1422" t="inlineStr">
        <is>
          <t>2021-07</t>
        </is>
      </c>
      <c r="C1422" t="n">
        <v>117855.9</v>
      </c>
      <c r="D1422" t="n">
        <v>622336.5</v>
      </c>
      <c r="E1422">
        <f>E1421+C1422</f>
        <v/>
      </c>
      <c r="F1422">
        <f>IF(C1422&gt;0,D1422/C1422,NA())</f>
        <v/>
      </c>
    </row>
    <row r="1423">
      <c r="A1423" t="inlineStr">
        <is>
          <t>Manantiales Behr</t>
        </is>
      </c>
      <c r="B1423" t="inlineStr">
        <is>
          <t>2021-08</t>
        </is>
      </c>
      <c r="C1423" t="n">
        <v>118307</v>
      </c>
      <c r="D1423" t="n">
        <v>638783.9</v>
      </c>
      <c r="E1423">
        <f>E1422+C1423</f>
        <v/>
      </c>
      <c r="F1423">
        <f>IF(C1423&gt;0,D1423/C1423,NA())</f>
        <v/>
      </c>
    </row>
    <row r="1424">
      <c r="A1424" t="inlineStr">
        <is>
          <t>Manantiales Behr</t>
        </is>
      </c>
      <c r="B1424" t="inlineStr">
        <is>
          <t>2021-09</t>
        </is>
      </c>
      <c r="C1424" t="n">
        <v>115998.4</v>
      </c>
      <c r="D1424" t="n">
        <v>603577.1</v>
      </c>
      <c r="E1424">
        <f>E1423+C1424</f>
        <v/>
      </c>
      <c r="F1424">
        <f>IF(C1424&gt;0,D1424/C1424,NA())</f>
        <v/>
      </c>
    </row>
    <row r="1425">
      <c r="A1425" t="inlineStr">
        <is>
          <t>Manantiales Behr</t>
        </is>
      </c>
      <c r="B1425" t="inlineStr">
        <is>
          <t>2021-10</t>
        </is>
      </c>
      <c r="C1425" t="n">
        <v>116413.4</v>
      </c>
      <c r="D1425" t="n">
        <v>619424.3</v>
      </c>
      <c r="E1425">
        <f>E1424+C1425</f>
        <v/>
      </c>
      <c r="F1425">
        <f>IF(C1425&gt;0,D1425/C1425,NA())</f>
        <v/>
      </c>
    </row>
    <row r="1426">
      <c r="A1426" t="inlineStr">
        <is>
          <t>Manantiales Behr</t>
        </is>
      </c>
      <c r="B1426" t="inlineStr">
        <is>
          <t>2021-11</t>
        </is>
      </c>
      <c r="C1426" t="n">
        <v>115890.7</v>
      </c>
      <c r="D1426" t="n">
        <v>618252</v>
      </c>
      <c r="E1426">
        <f>E1425+C1426</f>
        <v/>
      </c>
      <c r="F1426">
        <f>IF(C1426&gt;0,D1426/C1426,NA())</f>
        <v/>
      </c>
    </row>
    <row r="1427">
      <c r="A1427" t="inlineStr">
        <is>
          <t>Manantiales Behr</t>
        </is>
      </c>
      <c r="B1427" t="inlineStr">
        <is>
          <t>2021-12</t>
        </is>
      </c>
      <c r="C1427" t="n">
        <v>111109.6</v>
      </c>
      <c r="D1427" t="n">
        <v>592190</v>
      </c>
      <c r="E1427">
        <f>E1426+C1427</f>
        <v/>
      </c>
      <c r="F1427">
        <f>IF(C1427&gt;0,D1427/C1427,NA())</f>
        <v/>
      </c>
    </row>
    <row r="1428">
      <c r="A1428" t="inlineStr">
        <is>
          <t>Manantiales Behr</t>
        </is>
      </c>
      <c r="B1428" t="inlineStr">
        <is>
          <t>2022-01</t>
        </is>
      </c>
      <c r="C1428" t="n">
        <v>120415.8</v>
      </c>
      <c r="D1428" t="n">
        <v>627406.6</v>
      </c>
      <c r="E1428">
        <f>E1427+C1428</f>
        <v/>
      </c>
      <c r="F1428">
        <f>IF(C1428&gt;0,D1428/C1428,NA())</f>
        <v/>
      </c>
    </row>
    <row r="1429">
      <c r="A1429" t="inlineStr">
        <is>
          <t>Manantiales Behr</t>
        </is>
      </c>
      <c r="B1429" t="inlineStr">
        <is>
          <t>2022-02</t>
        </is>
      </c>
      <c r="C1429" t="n">
        <v>112105.2</v>
      </c>
      <c r="D1429" t="n">
        <v>582329.1</v>
      </c>
      <c r="E1429">
        <f>E1428+C1429</f>
        <v/>
      </c>
      <c r="F1429">
        <f>IF(C1429&gt;0,D1429/C1429,NA())</f>
        <v/>
      </c>
    </row>
    <row r="1430">
      <c r="A1430" t="inlineStr">
        <is>
          <t>Manantiales Behr</t>
        </is>
      </c>
      <c r="B1430" t="inlineStr">
        <is>
          <t>2022-03</t>
        </is>
      </c>
      <c r="C1430" t="n">
        <v>124268</v>
      </c>
      <c r="D1430" t="n">
        <v>643950.5</v>
      </c>
      <c r="E1430">
        <f>E1429+C1430</f>
        <v/>
      </c>
      <c r="F1430">
        <f>IF(C1430&gt;0,D1430/C1430,NA())</f>
        <v/>
      </c>
    </row>
    <row r="1431">
      <c r="A1431" t="inlineStr">
        <is>
          <t>Manantiales Behr</t>
        </is>
      </c>
      <c r="B1431" t="inlineStr">
        <is>
          <t>2022-04</t>
        </is>
      </c>
      <c r="C1431" t="n">
        <v>123616.6</v>
      </c>
      <c r="D1431" t="n">
        <v>607554.4</v>
      </c>
      <c r="E1431">
        <f>E1430+C1431</f>
        <v/>
      </c>
      <c r="F1431">
        <f>IF(C1431&gt;0,D1431/C1431,NA())</f>
        <v/>
      </c>
    </row>
    <row r="1432">
      <c r="A1432" t="inlineStr">
        <is>
          <t>Manantiales Behr</t>
        </is>
      </c>
      <c r="B1432" t="inlineStr">
        <is>
          <t>2022-05</t>
        </is>
      </c>
      <c r="C1432" t="n">
        <v>129382.7</v>
      </c>
      <c r="D1432" t="n">
        <v>642310.8</v>
      </c>
      <c r="E1432">
        <f>E1431+C1432</f>
        <v/>
      </c>
      <c r="F1432">
        <f>IF(C1432&gt;0,D1432/C1432,NA())</f>
        <v/>
      </c>
    </row>
    <row r="1433">
      <c r="A1433" t="inlineStr">
        <is>
          <t>Manantiales Behr</t>
        </is>
      </c>
      <c r="B1433" t="inlineStr">
        <is>
          <t>2022-06</t>
        </is>
      </c>
      <c r="C1433" t="n">
        <v>125775.8</v>
      </c>
      <c r="D1433" t="n">
        <v>624389.2</v>
      </c>
      <c r="E1433">
        <f>E1432+C1433</f>
        <v/>
      </c>
      <c r="F1433">
        <f>IF(C1433&gt;0,D1433/C1433,NA())</f>
        <v/>
      </c>
    </row>
    <row r="1434">
      <c r="A1434" t="inlineStr">
        <is>
          <t>Manantiales Behr</t>
        </is>
      </c>
      <c r="B1434" t="inlineStr">
        <is>
          <t>2022-07</t>
        </is>
      </c>
      <c r="C1434" t="n">
        <v>127378.3</v>
      </c>
      <c r="D1434" t="n">
        <v>609403.4</v>
      </c>
      <c r="E1434">
        <f>E1433+C1434</f>
        <v/>
      </c>
      <c r="F1434">
        <f>IF(C1434&gt;0,D1434/C1434,NA())</f>
        <v/>
      </c>
    </row>
    <row r="1435">
      <c r="A1435" t="inlineStr">
        <is>
          <t>Manantiales Behr</t>
        </is>
      </c>
      <c r="B1435" t="inlineStr">
        <is>
          <t>2022-08</t>
        </is>
      </c>
      <c r="C1435" t="n">
        <v>126358.1</v>
      </c>
      <c r="D1435" t="n">
        <v>613904</v>
      </c>
      <c r="E1435">
        <f>E1434+C1435</f>
        <v/>
      </c>
      <c r="F1435">
        <f>IF(C1435&gt;0,D1435/C1435,NA())</f>
        <v/>
      </c>
    </row>
    <row r="1436">
      <c r="A1436" t="inlineStr">
        <is>
          <t>Manantiales Behr</t>
        </is>
      </c>
      <c r="B1436" t="inlineStr">
        <is>
          <t>2022-09</t>
        </is>
      </c>
      <c r="C1436" t="n">
        <v>122373.9</v>
      </c>
      <c r="D1436" t="n">
        <v>612570.1</v>
      </c>
      <c r="E1436">
        <f>E1435+C1436</f>
        <v/>
      </c>
      <c r="F1436">
        <f>IF(C1436&gt;0,D1436/C1436,NA())</f>
        <v/>
      </c>
    </row>
    <row r="1437">
      <c r="A1437" t="inlineStr">
        <is>
          <t>Manantiales Behr</t>
        </is>
      </c>
      <c r="B1437" t="inlineStr">
        <is>
          <t>2022-10</t>
        </is>
      </c>
      <c r="C1437" t="n">
        <v>131156.2</v>
      </c>
      <c r="D1437" t="n">
        <v>648024</v>
      </c>
      <c r="E1437">
        <f>E1436+C1437</f>
        <v/>
      </c>
      <c r="F1437">
        <f>IF(C1437&gt;0,D1437/C1437,NA())</f>
        <v/>
      </c>
    </row>
    <row r="1438">
      <c r="A1438" t="inlineStr">
        <is>
          <t>Manantiales Behr</t>
        </is>
      </c>
      <c r="B1438" t="inlineStr">
        <is>
          <t>2022-11</t>
        </is>
      </c>
      <c r="C1438" t="n">
        <v>121493.5</v>
      </c>
      <c r="D1438" t="n">
        <v>644349.4</v>
      </c>
      <c r="E1438">
        <f>E1437+C1438</f>
        <v/>
      </c>
      <c r="F1438">
        <f>IF(C1438&gt;0,D1438/C1438,NA())</f>
        <v/>
      </c>
    </row>
    <row r="1439">
      <c r="A1439" t="inlineStr">
        <is>
          <t>Manantiales Behr</t>
        </is>
      </c>
      <c r="B1439" t="inlineStr">
        <is>
          <t>2022-12</t>
        </is>
      </c>
      <c r="C1439" t="n">
        <v>127005.6</v>
      </c>
      <c r="D1439" t="n">
        <v>674532.4</v>
      </c>
      <c r="E1439">
        <f>E1438+C1439</f>
        <v/>
      </c>
      <c r="F1439">
        <f>IF(C1439&gt;0,D1439/C1439,NA())</f>
        <v/>
      </c>
    </row>
    <row r="1440">
      <c r="A1440" t="inlineStr">
        <is>
          <t>Manantiales Behr</t>
        </is>
      </c>
      <c r="B1440" t="inlineStr">
        <is>
          <t>2023-01</t>
        </is>
      </c>
      <c r="C1440" t="n">
        <v>128820.8</v>
      </c>
      <c r="D1440" t="n">
        <v>686812.9</v>
      </c>
      <c r="E1440">
        <f>E1439+C1440</f>
        <v/>
      </c>
      <c r="F1440">
        <f>IF(C1440&gt;0,D1440/C1440,NA())</f>
        <v/>
      </c>
    </row>
    <row r="1441">
      <c r="A1441" t="inlineStr">
        <is>
          <t>Manantiales Behr</t>
        </is>
      </c>
      <c r="B1441" t="inlineStr">
        <is>
          <t>2023-02</t>
        </is>
      </c>
      <c r="C1441" t="n">
        <v>116013.3</v>
      </c>
      <c r="D1441" t="n">
        <v>619464.6</v>
      </c>
      <c r="E1441">
        <f>E1440+C1441</f>
        <v/>
      </c>
      <c r="F1441">
        <f>IF(C1441&gt;0,D1441/C1441,NA())</f>
        <v/>
      </c>
    </row>
    <row r="1442">
      <c r="A1442" t="inlineStr">
        <is>
          <t>Manantiales Behr</t>
        </is>
      </c>
      <c r="B1442" t="inlineStr">
        <is>
          <t>2023-03</t>
        </is>
      </c>
      <c r="C1442" t="n">
        <v>125005.2</v>
      </c>
      <c r="D1442" t="n">
        <v>665134.6</v>
      </c>
      <c r="E1442">
        <f>E1441+C1442</f>
        <v/>
      </c>
      <c r="F1442">
        <f>IF(C1442&gt;0,D1442/C1442,NA())</f>
        <v/>
      </c>
    </row>
    <row r="1443">
      <c r="A1443" t="inlineStr">
        <is>
          <t>Manantiales Behr</t>
        </is>
      </c>
      <c r="B1443" t="inlineStr">
        <is>
          <t>2023-04</t>
        </is>
      </c>
      <c r="C1443" t="n">
        <v>123161.5</v>
      </c>
      <c r="D1443" t="n">
        <v>668186.5</v>
      </c>
      <c r="E1443">
        <f>E1442+C1443</f>
        <v/>
      </c>
      <c r="F1443">
        <f>IF(C1443&gt;0,D1443/C1443,NA())</f>
        <v/>
      </c>
    </row>
    <row r="1444">
      <c r="A1444" t="inlineStr">
        <is>
          <t>Manantiales Behr</t>
        </is>
      </c>
      <c r="B1444" t="inlineStr">
        <is>
          <t>2023-05</t>
        </is>
      </c>
      <c r="C1444" t="n">
        <v>129132.6</v>
      </c>
      <c r="D1444" t="n">
        <v>694934.7</v>
      </c>
      <c r="E1444">
        <f>E1443+C1444</f>
        <v/>
      </c>
      <c r="F1444">
        <f>IF(C1444&gt;0,D1444/C1444,NA())</f>
        <v/>
      </c>
    </row>
    <row r="1445">
      <c r="A1445" t="inlineStr">
        <is>
          <t>Manantiales Behr</t>
        </is>
      </c>
      <c r="B1445" t="inlineStr">
        <is>
          <t>2023-06</t>
        </is>
      </c>
      <c r="C1445" t="n">
        <v>124911.6</v>
      </c>
      <c r="D1445" t="n">
        <v>671928.5</v>
      </c>
      <c r="E1445">
        <f>E1444+C1445</f>
        <v/>
      </c>
      <c r="F1445">
        <f>IF(C1445&gt;0,D1445/C1445,NA())</f>
        <v/>
      </c>
    </row>
    <row r="1446">
      <c r="A1446" t="inlineStr">
        <is>
          <t>Manantiales Behr</t>
        </is>
      </c>
      <c r="B1446" t="inlineStr">
        <is>
          <t>2023-07</t>
        </is>
      </c>
      <c r="C1446" t="n">
        <v>127097.9</v>
      </c>
      <c r="D1446" t="n">
        <v>666205.1</v>
      </c>
      <c r="E1446">
        <f>E1445+C1446</f>
        <v/>
      </c>
      <c r="F1446">
        <f>IF(C1446&gt;0,D1446/C1446,NA())</f>
        <v/>
      </c>
    </row>
    <row r="1447">
      <c r="A1447" t="inlineStr">
        <is>
          <t>Manantiales Behr</t>
        </is>
      </c>
      <c r="B1447" t="inlineStr">
        <is>
          <t>2023-08</t>
        </is>
      </c>
      <c r="C1447" t="n">
        <v>127148.4</v>
      </c>
      <c r="D1447" t="n">
        <v>664366.8</v>
      </c>
      <c r="E1447">
        <f>E1446+C1447</f>
        <v/>
      </c>
      <c r="F1447">
        <f>IF(C1447&gt;0,D1447/C1447,NA())</f>
        <v/>
      </c>
    </row>
    <row r="1448">
      <c r="A1448" t="inlineStr">
        <is>
          <t>Manantiales Behr</t>
        </is>
      </c>
      <c r="B1448" t="inlineStr">
        <is>
          <t>2023-09</t>
        </is>
      </c>
      <c r="C1448" t="n">
        <v>127807.2</v>
      </c>
      <c r="D1448" t="n">
        <v>651197.8</v>
      </c>
      <c r="E1448">
        <f>E1447+C1448</f>
        <v/>
      </c>
      <c r="F1448">
        <f>IF(C1448&gt;0,D1448/C1448,NA())</f>
        <v/>
      </c>
    </row>
    <row r="1449">
      <c r="A1449" t="inlineStr">
        <is>
          <t>Manantiales Behr</t>
        </is>
      </c>
      <c r="B1449" t="inlineStr">
        <is>
          <t>2023-10</t>
        </is>
      </c>
      <c r="C1449" t="n">
        <v>133131.9</v>
      </c>
      <c r="D1449" t="n">
        <v>706430.2</v>
      </c>
      <c r="E1449">
        <f>E1448+C1449</f>
        <v/>
      </c>
      <c r="F1449">
        <f>IF(C1449&gt;0,D1449/C1449,NA())</f>
        <v/>
      </c>
    </row>
    <row r="1450">
      <c r="A1450" t="inlineStr">
        <is>
          <t>Manantiales Behr</t>
        </is>
      </c>
      <c r="B1450" t="inlineStr">
        <is>
          <t>2023-11</t>
        </is>
      </c>
      <c r="C1450" t="n">
        <v>128193.5</v>
      </c>
      <c r="D1450" t="n">
        <v>693055.6</v>
      </c>
      <c r="E1450">
        <f>E1449+C1450</f>
        <v/>
      </c>
      <c r="F1450">
        <f>IF(C1450&gt;0,D1450/C1450,NA())</f>
        <v/>
      </c>
    </row>
    <row r="1451">
      <c r="A1451" t="inlineStr">
        <is>
          <t>Manantiales Behr</t>
        </is>
      </c>
      <c r="B1451" t="inlineStr">
        <is>
          <t>2023-12</t>
        </is>
      </c>
      <c r="C1451" t="n">
        <v>131292.6</v>
      </c>
      <c r="D1451" t="n">
        <v>707658.3</v>
      </c>
      <c r="E1451">
        <f>E1450+C1451</f>
        <v/>
      </c>
      <c r="F1451">
        <f>IF(C1451&gt;0,D1451/C1451,NA())</f>
        <v/>
      </c>
    </row>
    <row r="1452">
      <c r="A1452" t="inlineStr">
        <is>
          <t>Manantiales Behr</t>
        </is>
      </c>
      <c r="B1452" t="inlineStr">
        <is>
          <t>2024-01</t>
        </is>
      </c>
      <c r="C1452" t="n">
        <v>132128.7</v>
      </c>
      <c r="D1452" t="n">
        <v>728114.2</v>
      </c>
      <c r="E1452">
        <f>E1451+C1452</f>
        <v/>
      </c>
      <c r="F1452">
        <f>IF(C1452&gt;0,D1452/C1452,NA())</f>
        <v/>
      </c>
    </row>
    <row r="1453">
      <c r="A1453" t="inlineStr">
        <is>
          <t>Manantiales Behr</t>
        </is>
      </c>
      <c r="B1453" t="inlineStr">
        <is>
          <t>2024-02</t>
        </is>
      </c>
      <c r="C1453" t="n">
        <v>122627.7</v>
      </c>
      <c r="D1453" t="n">
        <v>679915.6</v>
      </c>
      <c r="E1453">
        <f>E1452+C1453</f>
        <v/>
      </c>
      <c r="F1453">
        <f>IF(C1453&gt;0,D1453/C1453,NA())</f>
        <v/>
      </c>
    </row>
    <row r="1454">
      <c r="A1454" t="inlineStr">
        <is>
          <t>Manantiales Behr</t>
        </is>
      </c>
      <c r="B1454" t="inlineStr">
        <is>
          <t>2024-03</t>
        </is>
      </c>
      <c r="C1454" t="n">
        <v>130061</v>
      </c>
      <c r="D1454" t="n">
        <v>719925.4</v>
      </c>
      <c r="E1454">
        <f>E1453+C1454</f>
        <v/>
      </c>
      <c r="F1454">
        <f>IF(C1454&gt;0,D1454/C1454,NA())</f>
        <v/>
      </c>
    </row>
    <row r="1455">
      <c r="A1455" t="inlineStr">
        <is>
          <t>Manantiales Behr</t>
        </is>
      </c>
      <c r="B1455" t="inlineStr">
        <is>
          <t>2024-04</t>
        </is>
      </c>
      <c r="C1455" t="n">
        <v>125211.1</v>
      </c>
      <c r="D1455" t="n">
        <v>709989</v>
      </c>
      <c r="E1455">
        <f>E1454+C1455</f>
        <v/>
      </c>
      <c r="F1455">
        <f>IF(C1455&gt;0,D1455/C1455,NA())</f>
        <v/>
      </c>
    </row>
    <row r="1456">
      <c r="A1456" t="inlineStr">
        <is>
          <t>Manantiales Behr</t>
        </is>
      </c>
      <c r="B1456" t="inlineStr">
        <is>
          <t>2024-05</t>
        </is>
      </c>
      <c r="C1456" t="n">
        <v>126948</v>
      </c>
      <c r="D1456" t="n">
        <v>718929.7</v>
      </c>
      <c r="E1456">
        <f>E1455+C1456</f>
        <v/>
      </c>
      <c r="F1456">
        <f>IF(C1456&gt;0,D1456/C1456,NA())</f>
        <v/>
      </c>
    </row>
    <row r="1457">
      <c r="A1457" t="inlineStr">
        <is>
          <t>Manantiales Behr</t>
        </is>
      </c>
      <c r="B1457" t="inlineStr">
        <is>
          <t>2024-06</t>
        </is>
      </c>
      <c r="C1457" t="n">
        <v>72410</v>
      </c>
      <c r="D1457" t="n">
        <v>412902.2</v>
      </c>
      <c r="E1457">
        <f>E1456+C1457</f>
        <v/>
      </c>
      <c r="F1457">
        <f>IF(C1457&gt;0,D1457/C1457,NA())</f>
        <v/>
      </c>
    </row>
    <row r="1458">
      <c r="A1458" t="inlineStr">
        <is>
          <t>Manantiales Behr</t>
        </is>
      </c>
      <c r="B1458" t="inlineStr">
        <is>
          <t>2024-07</t>
        </is>
      </c>
      <c r="C1458" t="n">
        <v>79363.10000000001</v>
      </c>
      <c r="D1458" t="n">
        <v>432737.3</v>
      </c>
      <c r="E1458">
        <f>E1457+C1458</f>
        <v/>
      </c>
      <c r="F1458">
        <f>IF(C1458&gt;0,D1458/C1458,NA())</f>
        <v/>
      </c>
    </row>
    <row r="1459">
      <c r="A1459" t="inlineStr">
        <is>
          <t>Manantiales Behr</t>
        </is>
      </c>
      <c r="B1459" t="inlineStr">
        <is>
          <t>2024-08</t>
        </is>
      </c>
      <c r="C1459" t="n">
        <v>112142.4</v>
      </c>
      <c r="D1459" t="n">
        <v>657839.1</v>
      </c>
      <c r="E1459">
        <f>E1458+C1459</f>
        <v/>
      </c>
      <c r="F1459">
        <f>IF(C1459&gt;0,D1459/C1459,NA())</f>
        <v/>
      </c>
    </row>
    <row r="1460">
      <c r="A1460" t="inlineStr">
        <is>
          <t>Manantiales Behr</t>
        </is>
      </c>
      <c r="B1460" t="inlineStr">
        <is>
          <t>2024-09</t>
        </is>
      </c>
      <c r="C1460" t="n">
        <v>115292</v>
      </c>
      <c r="D1460" t="n">
        <v>700104.9</v>
      </c>
      <c r="E1460">
        <f>E1459+C1460</f>
        <v/>
      </c>
      <c r="F1460">
        <f>IF(C1460&gt;0,D1460/C1460,NA())</f>
        <v/>
      </c>
    </row>
    <row r="1461">
      <c r="A1461" t="inlineStr">
        <is>
          <t>Manantiales Behr</t>
        </is>
      </c>
      <c r="B1461" t="inlineStr">
        <is>
          <t>2024-10</t>
        </is>
      </c>
      <c r="C1461" t="n">
        <v>124083.5</v>
      </c>
      <c r="D1461" t="n">
        <v>753999.5</v>
      </c>
      <c r="E1461">
        <f>E1460+C1461</f>
        <v/>
      </c>
      <c r="F1461">
        <f>IF(C1461&gt;0,D1461/C1461,NA())</f>
        <v/>
      </c>
    </row>
    <row r="1462">
      <c r="A1462" t="inlineStr">
        <is>
          <t>Manantiales Behr</t>
        </is>
      </c>
      <c r="B1462" t="inlineStr">
        <is>
          <t>2024-11</t>
        </is>
      </c>
      <c r="C1462" t="n">
        <v>121604.3</v>
      </c>
      <c r="D1462" t="n">
        <v>749749.9</v>
      </c>
      <c r="E1462">
        <f>E1461+C1462</f>
        <v/>
      </c>
      <c r="F1462">
        <f>IF(C1462&gt;0,D1462/C1462,NA())</f>
        <v/>
      </c>
    </row>
    <row r="1463">
      <c r="A1463" t="inlineStr">
        <is>
          <t>Manantiales Behr</t>
        </is>
      </c>
      <c r="B1463" t="inlineStr">
        <is>
          <t>2024-12</t>
        </is>
      </c>
      <c r="C1463" t="n">
        <v>124186.9</v>
      </c>
      <c r="D1463" t="n">
        <v>781528.5</v>
      </c>
      <c r="E1463">
        <f>E1462+C1463</f>
        <v/>
      </c>
      <c r="F1463">
        <f>IF(C1463&gt;0,D1463/C1463,NA())</f>
        <v/>
      </c>
    </row>
    <row r="1464">
      <c r="A1464" t="inlineStr">
        <is>
          <t>Manantiales Behr</t>
        </is>
      </c>
      <c r="B1464" t="inlineStr">
        <is>
          <t>2025-01</t>
        </is>
      </c>
      <c r="C1464" t="n">
        <v>122652.2</v>
      </c>
      <c r="D1464" t="n">
        <v>771522.6</v>
      </c>
      <c r="E1464">
        <f>E1463+C1464</f>
        <v/>
      </c>
      <c r="F1464">
        <f>IF(C1464&gt;0,D1464/C1464,NA())</f>
        <v/>
      </c>
    </row>
    <row r="1465">
      <c r="A1465" t="inlineStr">
        <is>
          <t>Manantiales Behr</t>
        </is>
      </c>
      <c r="B1465" t="inlineStr">
        <is>
          <t>2025-02</t>
        </is>
      </c>
      <c r="C1465" t="n">
        <v>112884.5</v>
      </c>
      <c r="D1465" t="n">
        <v>705450</v>
      </c>
      <c r="E1465">
        <f>E1464+C1465</f>
        <v/>
      </c>
      <c r="F1465">
        <f>IF(C1465&gt;0,D1465/C1465,NA())</f>
        <v/>
      </c>
    </row>
    <row r="1466">
      <c r="A1466" t="inlineStr">
        <is>
          <t>Manantiales Behr</t>
        </is>
      </c>
      <c r="B1466" t="inlineStr">
        <is>
          <t>2025-03</t>
        </is>
      </c>
      <c r="C1466" t="n">
        <v>125811.8</v>
      </c>
      <c r="D1466" t="n">
        <v>783586.7</v>
      </c>
      <c r="E1466">
        <f>E1465+C1466</f>
        <v/>
      </c>
      <c r="F1466">
        <f>IF(C1466&gt;0,D1466/C1466,NA())</f>
        <v/>
      </c>
    </row>
    <row r="1467">
      <c r="A1467" t="inlineStr">
        <is>
          <t>Manantiales Behr</t>
        </is>
      </c>
      <c r="B1467" t="inlineStr">
        <is>
          <t>2025-04</t>
        </is>
      </c>
      <c r="C1467" t="n">
        <v>119390.2</v>
      </c>
      <c r="D1467" t="n">
        <v>734689.6</v>
      </c>
      <c r="E1467">
        <f>E1466+C1467</f>
        <v/>
      </c>
      <c r="F1467">
        <f>IF(C1467&gt;0,D1467/C1467,NA())</f>
        <v/>
      </c>
    </row>
    <row r="1468">
      <c r="A1468" t="inlineStr">
        <is>
          <t>Manantiales Behr</t>
        </is>
      </c>
      <c r="B1468" t="inlineStr">
        <is>
          <t>2025-05</t>
        </is>
      </c>
      <c r="C1468" t="n">
        <v>124622.3</v>
      </c>
      <c r="D1468" t="n">
        <v>778083.2</v>
      </c>
      <c r="E1468">
        <f>E1467+C1468</f>
        <v/>
      </c>
      <c r="F1468">
        <f>IF(C1468&gt;0,D1468/C1468,NA())</f>
        <v/>
      </c>
    </row>
    <row r="1469">
      <c r="A1469" t="inlineStr">
        <is>
          <t>Manantiales Behr</t>
        </is>
      </c>
      <c r="B1469" t="inlineStr">
        <is>
          <t>2025-06</t>
        </is>
      </c>
      <c r="C1469" t="n">
        <v>120908.4</v>
      </c>
      <c r="D1469" t="n">
        <v>741164.5</v>
      </c>
      <c r="E1469">
        <f>E1468+C1469</f>
        <v/>
      </c>
      <c r="F1469">
        <f>IF(C1469&gt;0,D1469/C1469,NA())</f>
        <v/>
      </c>
    </row>
    <row r="1470">
      <c r="A1470" t="inlineStr">
        <is>
          <t>Manantiales Behr</t>
        </is>
      </c>
      <c r="B1470" t="inlineStr">
        <is>
          <t>2025-07</t>
        </is>
      </c>
      <c r="C1470" t="n">
        <v>122296.2</v>
      </c>
      <c r="D1470" t="n">
        <v>752231.8</v>
      </c>
      <c r="E1470">
        <f>E1469+C1470</f>
        <v/>
      </c>
      <c r="F1470">
        <f>IF(C1470&gt;0,D1470/C1470,NA())</f>
        <v/>
      </c>
    </row>
    <row r="1471">
      <c r="A1471" t="inlineStr">
        <is>
          <t>Manantiales Behr</t>
        </is>
      </c>
      <c r="B1471" t="inlineStr">
        <is>
          <t>2025-08</t>
        </is>
      </c>
      <c r="C1471" t="n">
        <v>122300.2</v>
      </c>
      <c r="D1471" t="n">
        <v>774936.5</v>
      </c>
      <c r="E1471">
        <f>E1470+C1471</f>
        <v/>
      </c>
      <c r="F1471">
        <f>IF(C1471&gt;0,D1471/C1471,NA())</f>
        <v/>
      </c>
    </row>
    <row r="1472">
      <c r="A1472" t="inlineStr">
        <is>
          <t>Manantiales Behr</t>
        </is>
      </c>
      <c r="B1472" t="inlineStr">
        <is>
          <t>2025-09</t>
        </is>
      </c>
      <c r="C1472" t="n">
        <v>120740.3</v>
      </c>
      <c r="D1472" t="n">
        <v>775092.7</v>
      </c>
      <c r="E1472">
        <f>E1471+C1472</f>
        <v/>
      </c>
      <c r="F1472">
        <f>IF(C1472&gt;0,D1472/C1472,NA())</f>
        <v/>
      </c>
    </row>
    <row r="1473">
      <c r="A1473" t="inlineStr">
        <is>
          <t>Manantiales Behr</t>
        </is>
      </c>
      <c r="B1473" t="inlineStr">
        <is>
          <t>2025-10</t>
        </is>
      </c>
      <c r="C1473" t="n">
        <v>126892.8</v>
      </c>
      <c r="D1473" t="n">
        <v>800472.9</v>
      </c>
      <c r="E1473">
        <f>E1472+C1473</f>
        <v/>
      </c>
      <c r="F1473">
        <f>IF(C1473&gt;0,D1473/C1473,NA())</f>
        <v/>
      </c>
    </row>
    <row r="1474">
      <c r="A1474" t="inlineStr">
        <is>
          <t>Manantiales Behr</t>
        </is>
      </c>
      <c r="B1474" t="inlineStr">
        <is>
          <t>2025-11</t>
        </is>
      </c>
      <c r="C1474" t="n">
        <v>118179.9</v>
      </c>
      <c r="D1474" t="n">
        <v>747506</v>
      </c>
      <c r="E1474">
        <f>E1473+C1474</f>
        <v/>
      </c>
      <c r="F1474">
        <f>IF(C1474&gt;0,D1474/C1474,NA())</f>
        <v/>
      </c>
    </row>
    <row r="1475">
      <c r="A1475" t="inlineStr">
        <is>
          <t>Manantiales Behr</t>
        </is>
      </c>
      <c r="B1475" t="inlineStr">
        <is>
          <t>2025-12</t>
        </is>
      </c>
      <c r="C1475" t="n">
        <v>125546.8</v>
      </c>
      <c r="D1475" t="n">
        <v>788480.3</v>
      </c>
      <c r="E1475">
        <f>E1474+C1475</f>
        <v/>
      </c>
      <c r="F1475">
        <f>IF(C1475&gt;0,D1475/C1475,NA())</f>
        <v/>
      </c>
    </row>
    <row r="1476">
      <c r="A1476" t="inlineStr">
        <is>
          <t>Manantiales Behr</t>
        </is>
      </c>
      <c r="B1476" t="inlineStr">
        <is>
          <t>2026-01</t>
        </is>
      </c>
      <c r="C1476" t="n">
        <v>124976.6</v>
      </c>
      <c r="D1476" t="n">
        <v>781720.6</v>
      </c>
      <c r="E1476">
        <f>E1475+C1476</f>
        <v/>
      </c>
      <c r="F1476">
        <f>IF(C1476&gt;0,D1476/C1476,NA())</f>
        <v/>
      </c>
    </row>
    <row r="1477">
      <c r="A1477" t="inlineStr">
        <is>
          <t>Manantiales Behr</t>
        </is>
      </c>
      <c r="B1477" t="inlineStr">
        <is>
          <t>2026-02</t>
        </is>
      </c>
      <c r="C1477" t="n">
        <v>113738.4</v>
      </c>
      <c r="D1477" t="n">
        <v>702423.5</v>
      </c>
      <c r="E1477">
        <f>E1476+C1477</f>
        <v/>
      </c>
      <c r="F1477">
        <f>IF(C1477&gt;0,D1477/C1477,NA())</f>
        <v/>
      </c>
    </row>
    <row r="1478">
      <c r="A1478" t="inlineStr">
        <is>
          <t>Manantiales Behr</t>
        </is>
      </c>
      <c r="B1478" t="inlineStr">
        <is>
          <t>2026-03</t>
        </is>
      </c>
      <c r="C1478" t="n">
        <v>126609.4</v>
      </c>
      <c r="D1478" t="n">
        <v>774997.1</v>
      </c>
      <c r="E1478">
        <f>E1477+C1478</f>
        <v/>
      </c>
      <c r="F1478">
        <f>IF(C1478&gt;0,D1478/C1478,NA())</f>
        <v/>
      </c>
    </row>
    <row r="1479">
      <c r="A1479" t="inlineStr">
        <is>
          <t>Manantiales Behr</t>
        </is>
      </c>
      <c r="B1479" t="inlineStr">
        <is>
          <t>2026-04</t>
        </is>
      </c>
      <c r="C1479" t="n">
        <v>120220.1</v>
      </c>
      <c r="D1479" t="n">
        <v>757961.5</v>
      </c>
      <c r="E1479">
        <f>E1478+C1479</f>
        <v/>
      </c>
      <c r="F1479">
        <f>IF(C1479&gt;0,D1479/C1479,NA())</f>
        <v/>
      </c>
    </row>
    <row r="1480">
      <c r="A1480" t="inlineStr">
        <is>
          <t>Manantiales Behr</t>
        </is>
      </c>
      <c r="B1480" t="inlineStr">
        <is>
          <t>2026-05</t>
        </is>
      </c>
      <c r="C1480" t="n">
        <v>121929.9</v>
      </c>
      <c r="D1480" t="n">
        <v>811819.7</v>
      </c>
      <c r="E1480">
        <f>E1479+C1480</f>
        <v/>
      </c>
      <c r="F1480">
        <f>IF(C1480&gt;0,D1480/C1480,NA())</f>
        <v/>
      </c>
    </row>
    <row r="1481">
      <c r="A1481" t="inlineStr">
        <is>
          <t>Manantiales Behr</t>
        </is>
      </c>
      <c r="B1481" t="inlineStr">
        <is>
          <t>2026-06</t>
        </is>
      </c>
      <c r="C1481" t="n">
        <v>116701.9</v>
      </c>
      <c r="D1481" t="n">
        <v>779662.9</v>
      </c>
      <c r="E1481">
        <f>E1480+C1481</f>
        <v/>
      </c>
      <c r="F1481">
        <f>IF(C1481&gt;0,D1481/C1481,NA())</f>
        <v/>
      </c>
    </row>
    <row r="1482">
      <c r="A1482" t="inlineStr">
        <is>
          <t>Manantiales Behr</t>
        </is>
      </c>
      <c r="B1482" t="inlineStr">
        <is>
          <t>2026-07</t>
        </is>
      </c>
      <c r="C1482" t="n">
        <v>118052.2</v>
      </c>
      <c r="D1482" t="n">
        <v>803022.4</v>
      </c>
      <c r="E1482">
        <f>E1481+C1482</f>
        <v/>
      </c>
      <c r="F1482">
        <f>IF(C1482&gt;0,D1482/C1482,NA())</f>
        <v/>
      </c>
    </row>
    <row r="1483">
      <c r="A1483" t="inlineStr">
        <is>
          <t>Diadema</t>
        </is>
      </c>
      <c r="B1483" t="inlineStr">
        <is>
          <t>2006-01</t>
        </is>
      </c>
      <c r="C1483" t="n">
        <v>46358</v>
      </c>
      <c r="D1483" t="n">
        <v>1455335.1</v>
      </c>
      <c r="E1483">
        <f>C1483</f>
        <v/>
      </c>
      <c r="F1483">
        <f>IF(C1483&gt;0,D1483/C1483,NA())</f>
        <v/>
      </c>
    </row>
    <row r="1484">
      <c r="A1484" t="inlineStr">
        <is>
          <t>Diadema</t>
        </is>
      </c>
      <c r="B1484" t="inlineStr">
        <is>
          <t>2006-02</t>
        </is>
      </c>
      <c r="C1484" t="n">
        <v>43376.1</v>
      </c>
      <c r="D1484" t="n">
        <v>1312934</v>
      </c>
      <c r="E1484">
        <f>E1483+C1484</f>
        <v/>
      </c>
      <c r="F1484">
        <f>IF(C1484&gt;0,D1484/C1484,NA())</f>
        <v/>
      </c>
    </row>
    <row r="1485">
      <c r="A1485" t="inlineStr">
        <is>
          <t>Diadema</t>
        </is>
      </c>
      <c r="B1485" t="inlineStr">
        <is>
          <t>2006-03</t>
        </is>
      </c>
      <c r="C1485" t="n">
        <v>48195</v>
      </c>
      <c r="D1485" t="n">
        <v>1451199</v>
      </c>
      <c r="E1485">
        <f>E1484+C1485</f>
        <v/>
      </c>
      <c r="F1485">
        <f>IF(C1485&gt;0,D1485/C1485,NA())</f>
        <v/>
      </c>
    </row>
    <row r="1486">
      <c r="A1486" t="inlineStr">
        <is>
          <t>Diadema</t>
        </is>
      </c>
      <c r="B1486" t="inlineStr">
        <is>
          <t>2006-04</t>
        </is>
      </c>
      <c r="C1486" t="n">
        <v>43737</v>
      </c>
      <c r="D1486" t="n">
        <v>1415307.7</v>
      </c>
      <c r="E1486">
        <f>E1485+C1486</f>
        <v/>
      </c>
      <c r="F1486">
        <f>IF(C1486&gt;0,D1486/C1486,NA())</f>
        <v/>
      </c>
    </row>
    <row r="1487">
      <c r="A1487" t="inlineStr">
        <is>
          <t>Diadema</t>
        </is>
      </c>
      <c r="B1487" t="inlineStr">
        <is>
          <t>2006-05</t>
        </is>
      </c>
      <c r="C1487" t="n">
        <v>45694.1</v>
      </c>
      <c r="D1487" t="n">
        <v>1460281.9</v>
      </c>
      <c r="E1487">
        <f>E1486+C1487</f>
        <v/>
      </c>
      <c r="F1487">
        <f>IF(C1487&gt;0,D1487/C1487,NA())</f>
        <v/>
      </c>
    </row>
    <row r="1488">
      <c r="A1488" t="inlineStr">
        <is>
          <t>Diadema</t>
        </is>
      </c>
      <c r="B1488" t="inlineStr">
        <is>
          <t>2006-06</t>
        </is>
      </c>
      <c r="C1488" t="n">
        <v>46196</v>
      </c>
      <c r="D1488" t="n">
        <v>1407449.9</v>
      </c>
      <c r="E1488">
        <f>E1487+C1488</f>
        <v/>
      </c>
      <c r="F1488">
        <f>IF(C1488&gt;0,D1488/C1488,NA())</f>
        <v/>
      </c>
    </row>
    <row r="1489">
      <c r="A1489" t="inlineStr">
        <is>
          <t>Diadema</t>
        </is>
      </c>
      <c r="B1489" t="inlineStr">
        <is>
          <t>2006-07</t>
        </is>
      </c>
      <c r="C1489" t="n">
        <v>48829.1</v>
      </c>
      <c r="D1489" t="n">
        <v>1445175.8</v>
      </c>
      <c r="E1489">
        <f>E1488+C1489</f>
        <v/>
      </c>
      <c r="F1489">
        <f>IF(C1489&gt;0,D1489/C1489,NA())</f>
        <v/>
      </c>
    </row>
    <row r="1490">
      <c r="A1490" t="inlineStr">
        <is>
          <t>Diadema</t>
        </is>
      </c>
      <c r="B1490" t="inlineStr">
        <is>
          <t>2006-08</t>
        </is>
      </c>
      <c r="C1490" t="n">
        <v>52449</v>
      </c>
      <c r="D1490" t="n">
        <v>1455200.4</v>
      </c>
      <c r="E1490">
        <f>E1489+C1490</f>
        <v/>
      </c>
      <c r="F1490">
        <f>IF(C1490&gt;0,D1490/C1490,NA())</f>
        <v/>
      </c>
    </row>
    <row r="1491">
      <c r="A1491" t="inlineStr">
        <is>
          <t>Diadema</t>
        </is>
      </c>
      <c r="B1491" t="inlineStr">
        <is>
          <t>2006-09</t>
        </is>
      </c>
      <c r="C1491" t="n">
        <v>49456.9</v>
      </c>
      <c r="D1491" t="n">
        <v>1460906.8</v>
      </c>
      <c r="E1491">
        <f>E1490+C1491</f>
        <v/>
      </c>
      <c r="F1491">
        <f>IF(C1491&gt;0,D1491/C1491,NA())</f>
        <v/>
      </c>
    </row>
    <row r="1492">
      <c r="A1492" t="inlineStr">
        <is>
          <t>Diadema</t>
        </is>
      </c>
      <c r="B1492" t="inlineStr">
        <is>
          <t>2006-10</t>
        </is>
      </c>
      <c r="C1492" t="n">
        <v>51748</v>
      </c>
      <c r="D1492" t="n">
        <v>1531927</v>
      </c>
      <c r="E1492">
        <f>E1491+C1492</f>
        <v/>
      </c>
      <c r="F1492">
        <f>IF(C1492&gt;0,D1492/C1492,NA())</f>
        <v/>
      </c>
    </row>
    <row r="1493">
      <c r="A1493" t="inlineStr">
        <is>
          <t>Diadema</t>
        </is>
      </c>
      <c r="B1493" t="inlineStr">
        <is>
          <t>2006-11</t>
        </is>
      </c>
      <c r="C1493" t="n">
        <v>45052</v>
      </c>
      <c r="D1493" t="n">
        <v>1405142.8</v>
      </c>
      <c r="E1493">
        <f>E1492+C1493</f>
        <v/>
      </c>
      <c r="F1493">
        <f>IF(C1493&gt;0,D1493/C1493,NA())</f>
        <v/>
      </c>
    </row>
    <row r="1494">
      <c r="A1494" t="inlineStr">
        <is>
          <t>Diadema</t>
        </is>
      </c>
      <c r="B1494" t="inlineStr">
        <is>
          <t>2006-12</t>
        </is>
      </c>
      <c r="C1494" t="n">
        <v>49706.1</v>
      </c>
      <c r="D1494" t="n">
        <v>1556238.1</v>
      </c>
      <c r="E1494">
        <f>E1493+C1494</f>
        <v/>
      </c>
      <c r="F1494">
        <f>IF(C1494&gt;0,D1494/C1494,NA())</f>
        <v/>
      </c>
    </row>
    <row r="1495">
      <c r="A1495" t="inlineStr">
        <is>
          <t>Diadema</t>
        </is>
      </c>
      <c r="B1495" t="inlineStr">
        <is>
          <t>2007-01</t>
        </is>
      </c>
      <c r="C1495" t="n">
        <v>47299.1</v>
      </c>
      <c r="D1495" t="n">
        <v>1526302.5</v>
      </c>
      <c r="E1495">
        <f>E1494+C1495</f>
        <v/>
      </c>
      <c r="F1495">
        <f>IF(C1495&gt;0,D1495/C1495,NA())</f>
        <v/>
      </c>
    </row>
    <row r="1496">
      <c r="A1496" t="inlineStr">
        <is>
          <t>Diadema</t>
        </is>
      </c>
      <c r="B1496" t="inlineStr">
        <is>
          <t>2007-02</t>
        </is>
      </c>
      <c r="C1496" t="n">
        <v>42915</v>
      </c>
      <c r="D1496" t="n">
        <v>1396932.6</v>
      </c>
      <c r="E1496">
        <f>E1495+C1496</f>
        <v/>
      </c>
      <c r="F1496">
        <f>IF(C1496&gt;0,D1496/C1496,NA())</f>
        <v/>
      </c>
    </row>
    <row r="1497">
      <c r="A1497" t="inlineStr">
        <is>
          <t>Diadema</t>
        </is>
      </c>
      <c r="B1497" t="inlineStr">
        <is>
          <t>2007-03</t>
        </is>
      </c>
      <c r="C1497" t="n">
        <v>50952.1</v>
      </c>
      <c r="D1497" t="n">
        <v>1558612.5</v>
      </c>
      <c r="E1497">
        <f>E1496+C1497</f>
        <v/>
      </c>
      <c r="F1497">
        <f>IF(C1497&gt;0,D1497/C1497,NA())</f>
        <v/>
      </c>
    </row>
    <row r="1498">
      <c r="A1498" t="inlineStr">
        <is>
          <t>Diadema</t>
        </is>
      </c>
      <c r="B1498" t="inlineStr">
        <is>
          <t>2007-04</t>
        </is>
      </c>
      <c r="C1498" t="n">
        <v>50399.1</v>
      </c>
      <c r="D1498" t="n">
        <v>1510703.2</v>
      </c>
      <c r="E1498">
        <f>E1497+C1498</f>
        <v/>
      </c>
      <c r="F1498">
        <f>IF(C1498&gt;0,D1498/C1498,NA())</f>
        <v/>
      </c>
    </row>
    <row r="1499">
      <c r="A1499" t="inlineStr">
        <is>
          <t>Diadema</t>
        </is>
      </c>
      <c r="B1499" t="inlineStr">
        <is>
          <t>2007-05</t>
        </is>
      </c>
      <c r="C1499" t="n">
        <v>50530.3</v>
      </c>
      <c r="D1499" t="n">
        <v>1601836.8</v>
      </c>
      <c r="E1499">
        <f>E1498+C1499</f>
        <v/>
      </c>
      <c r="F1499">
        <f>IF(C1499&gt;0,D1499/C1499,NA())</f>
        <v/>
      </c>
    </row>
    <row r="1500">
      <c r="A1500" t="inlineStr">
        <is>
          <t>Diadema</t>
        </is>
      </c>
      <c r="B1500" t="inlineStr">
        <is>
          <t>2007-06</t>
        </is>
      </c>
      <c r="C1500" t="n">
        <v>49455.3</v>
      </c>
      <c r="D1500" t="n">
        <v>1542202</v>
      </c>
      <c r="E1500">
        <f>E1499+C1500</f>
        <v/>
      </c>
      <c r="F1500">
        <f>IF(C1500&gt;0,D1500/C1500,NA())</f>
        <v/>
      </c>
    </row>
    <row r="1501">
      <c r="A1501" t="inlineStr">
        <is>
          <t>Diadema</t>
        </is>
      </c>
      <c r="B1501" t="inlineStr">
        <is>
          <t>2007-07</t>
        </is>
      </c>
      <c r="C1501" t="n">
        <v>48709.4</v>
      </c>
      <c r="D1501" t="n">
        <v>1570663.2</v>
      </c>
      <c r="E1501">
        <f>E1500+C1501</f>
        <v/>
      </c>
      <c r="F1501">
        <f>IF(C1501&gt;0,D1501/C1501,NA())</f>
        <v/>
      </c>
    </row>
    <row r="1502">
      <c r="A1502" t="inlineStr">
        <is>
          <t>Diadema</t>
        </is>
      </c>
      <c r="B1502" t="inlineStr">
        <is>
          <t>2007-08</t>
        </is>
      </c>
      <c r="C1502" t="n">
        <v>48438.3</v>
      </c>
      <c r="D1502" t="n">
        <v>1597768.3</v>
      </c>
      <c r="E1502">
        <f>E1501+C1502</f>
        <v/>
      </c>
      <c r="F1502">
        <f>IF(C1502&gt;0,D1502/C1502,NA())</f>
        <v/>
      </c>
    </row>
    <row r="1503">
      <c r="A1503" t="inlineStr">
        <is>
          <t>Diadema</t>
        </is>
      </c>
      <c r="B1503" t="inlineStr">
        <is>
          <t>2007-09</t>
        </is>
      </c>
      <c r="C1503" t="n">
        <v>47359</v>
      </c>
      <c r="D1503" t="n">
        <v>1523781</v>
      </c>
      <c r="E1503">
        <f>E1502+C1503</f>
        <v/>
      </c>
      <c r="F1503">
        <f>IF(C1503&gt;0,D1503/C1503,NA())</f>
        <v/>
      </c>
    </row>
    <row r="1504">
      <c r="A1504" t="inlineStr">
        <is>
          <t>Diadema</t>
        </is>
      </c>
      <c r="B1504" t="inlineStr">
        <is>
          <t>2007-10</t>
        </is>
      </c>
      <c r="C1504" t="n">
        <v>48454.7</v>
      </c>
      <c r="D1504" t="n">
        <v>1544977.8</v>
      </c>
      <c r="E1504">
        <f>E1503+C1504</f>
        <v/>
      </c>
      <c r="F1504">
        <f>IF(C1504&gt;0,D1504/C1504,NA())</f>
        <v/>
      </c>
    </row>
    <row r="1505">
      <c r="A1505" t="inlineStr">
        <is>
          <t>Diadema</t>
        </is>
      </c>
      <c r="B1505" t="inlineStr">
        <is>
          <t>2007-11</t>
        </is>
      </c>
      <c r="C1505" t="n">
        <v>45885.9</v>
      </c>
      <c r="D1505" t="n">
        <v>1438621.1</v>
      </c>
      <c r="E1505">
        <f>E1504+C1505</f>
        <v/>
      </c>
      <c r="F1505">
        <f>IF(C1505&gt;0,D1505/C1505,NA())</f>
        <v/>
      </c>
    </row>
    <row r="1506">
      <c r="A1506" t="inlineStr">
        <is>
          <t>Diadema</t>
        </is>
      </c>
      <c r="B1506" t="inlineStr">
        <is>
          <t>2007-12</t>
        </is>
      </c>
      <c r="C1506" t="n">
        <v>47694</v>
      </c>
      <c r="D1506" t="n">
        <v>1512457.1</v>
      </c>
      <c r="E1506">
        <f>E1505+C1506</f>
        <v/>
      </c>
      <c r="F1506">
        <f>IF(C1506&gt;0,D1506/C1506,NA())</f>
        <v/>
      </c>
    </row>
    <row r="1507">
      <c r="A1507" t="inlineStr">
        <is>
          <t>Diadema</t>
        </is>
      </c>
      <c r="B1507" t="inlineStr">
        <is>
          <t>2008-01</t>
        </is>
      </c>
      <c r="C1507" t="n">
        <v>45451</v>
      </c>
      <c r="D1507" t="n">
        <v>1429540.3</v>
      </c>
      <c r="E1507">
        <f>E1506+C1507</f>
        <v/>
      </c>
      <c r="F1507">
        <f>IF(C1507&gt;0,D1507/C1507,NA())</f>
        <v/>
      </c>
    </row>
    <row r="1508">
      <c r="A1508" t="inlineStr">
        <is>
          <t>Diadema</t>
        </is>
      </c>
      <c r="B1508" t="inlineStr">
        <is>
          <t>2008-02</t>
        </is>
      </c>
      <c r="C1508" t="n">
        <v>42791.3</v>
      </c>
      <c r="D1508" t="n">
        <v>1342141.3</v>
      </c>
      <c r="E1508">
        <f>E1507+C1508</f>
        <v/>
      </c>
      <c r="F1508">
        <f>IF(C1508&gt;0,D1508/C1508,NA())</f>
        <v/>
      </c>
    </row>
    <row r="1509">
      <c r="A1509" t="inlineStr">
        <is>
          <t>Diadema</t>
        </is>
      </c>
      <c r="B1509" t="inlineStr">
        <is>
          <t>2008-03</t>
        </is>
      </c>
      <c r="C1509" t="n">
        <v>46649.2</v>
      </c>
      <c r="D1509" t="n">
        <v>1478327.1</v>
      </c>
      <c r="E1509">
        <f>E1508+C1509</f>
        <v/>
      </c>
      <c r="F1509">
        <f>IF(C1509&gt;0,D1509/C1509,NA())</f>
        <v/>
      </c>
    </row>
    <row r="1510">
      <c r="A1510" t="inlineStr">
        <is>
          <t>Diadema</t>
        </is>
      </c>
      <c r="B1510" t="inlineStr">
        <is>
          <t>2008-04</t>
        </is>
      </c>
      <c r="C1510" t="n">
        <v>44920.3</v>
      </c>
      <c r="D1510" t="n">
        <v>1419451.7</v>
      </c>
      <c r="E1510">
        <f>E1509+C1510</f>
        <v/>
      </c>
      <c r="F1510">
        <f>IF(C1510&gt;0,D1510/C1510,NA())</f>
        <v/>
      </c>
    </row>
    <row r="1511">
      <c r="A1511" t="inlineStr">
        <is>
          <t>Diadema</t>
        </is>
      </c>
      <c r="B1511" t="inlineStr">
        <is>
          <t>2008-05</t>
        </is>
      </c>
      <c r="C1511" t="n">
        <v>45510</v>
      </c>
      <c r="D1511" t="n">
        <v>1457171.3</v>
      </c>
      <c r="E1511">
        <f>E1510+C1511</f>
        <v/>
      </c>
      <c r="F1511">
        <f>IF(C1511&gt;0,D1511/C1511,NA())</f>
        <v/>
      </c>
    </row>
    <row r="1512">
      <c r="A1512" t="inlineStr">
        <is>
          <t>Diadema</t>
        </is>
      </c>
      <c r="B1512" t="inlineStr">
        <is>
          <t>2008-06</t>
        </is>
      </c>
      <c r="C1512" t="n">
        <v>49396.1</v>
      </c>
      <c r="D1512" t="n">
        <v>1422260.2</v>
      </c>
      <c r="E1512">
        <f>E1511+C1512</f>
        <v/>
      </c>
      <c r="F1512">
        <f>IF(C1512&gt;0,D1512/C1512,NA())</f>
        <v/>
      </c>
    </row>
    <row r="1513">
      <c r="A1513" t="inlineStr">
        <is>
          <t>Diadema</t>
        </is>
      </c>
      <c r="B1513" t="inlineStr">
        <is>
          <t>2008-07</t>
        </is>
      </c>
      <c r="C1513" t="n">
        <v>46104.5</v>
      </c>
      <c r="D1513" t="n">
        <v>1438483.9</v>
      </c>
      <c r="E1513">
        <f>E1512+C1513</f>
        <v/>
      </c>
      <c r="F1513">
        <f>IF(C1513&gt;0,D1513/C1513,NA())</f>
        <v/>
      </c>
    </row>
    <row r="1514">
      <c r="A1514" t="inlineStr">
        <is>
          <t>Diadema</t>
        </is>
      </c>
      <c r="B1514" t="inlineStr">
        <is>
          <t>2008-08</t>
        </is>
      </c>
      <c r="C1514" t="n">
        <v>46876.5</v>
      </c>
      <c r="D1514" t="n">
        <v>1424911.5</v>
      </c>
      <c r="E1514">
        <f>E1513+C1514</f>
        <v/>
      </c>
      <c r="F1514">
        <f>IF(C1514&gt;0,D1514/C1514,NA())</f>
        <v/>
      </c>
    </row>
    <row r="1515">
      <c r="A1515" t="inlineStr">
        <is>
          <t>Diadema</t>
        </is>
      </c>
      <c r="B1515" t="inlineStr">
        <is>
          <t>2008-09</t>
        </is>
      </c>
      <c r="C1515" t="n">
        <v>42324.9</v>
      </c>
      <c r="D1515" t="n">
        <v>1367183.3</v>
      </c>
      <c r="E1515">
        <f>E1514+C1515</f>
        <v/>
      </c>
      <c r="F1515">
        <f>IF(C1515&gt;0,D1515/C1515,NA())</f>
        <v/>
      </c>
    </row>
    <row r="1516">
      <c r="A1516" t="inlineStr">
        <is>
          <t>Diadema</t>
        </is>
      </c>
      <c r="B1516" t="inlineStr">
        <is>
          <t>2008-10</t>
        </is>
      </c>
      <c r="C1516" t="n">
        <v>45443.4</v>
      </c>
      <c r="D1516" t="n">
        <v>1413451.1</v>
      </c>
      <c r="E1516">
        <f>E1515+C1516</f>
        <v/>
      </c>
      <c r="F1516">
        <f>IF(C1516&gt;0,D1516/C1516,NA())</f>
        <v/>
      </c>
    </row>
    <row r="1517">
      <c r="A1517" t="inlineStr">
        <is>
          <t>Diadema</t>
        </is>
      </c>
      <c r="B1517" t="inlineStr">
        <is>
          <t>2008-11</t>
        </is>
      </c>
      <c r="C1517" t="n">
        <v>48689.8</v>
      </c>
      <c r="D1517" t="n">
        <v>1361480.1</v>
      </c>
      <c r="E1517">
        <f>E1516+C1517</f>
        <v/>
      </c>
      <c r="F1517">
        <f>IF(C1517&gt;0,D1517/C1517,NA())</f>
        <v/>
      </c>
    </row>
    <row r="1518">
      <c r="A1518" t="inlineStr">
        <is>
          <t>Diadema</t>
        </is>
      </c>
      <c r="B1518" t="inlineStr">
        <is>
          <t>2008-12</t>
        </is>
      </c>
      <c r="C1518" t="n">
        <v>47291.6</v>
      </c>
      <c r="D1518" t="n">
        <v>1433134.7</v>
      </c>
      <c r="E1518">
        <f>E1517+C1518</f>
        <v/>
      </c>
      <c r="F1518">
        <f>IF(C1518&gt;0,D1518/C1518,NA())</f>
        <v/>
      </c>
    </row>
    <row r="1519">
      <c r="A1519" t="inlineStr">
        <is>
          <t>Diadema</t>
        </is>
      </c>
      <c r="B1519" t="inlineStr">
        <is>
          <t>2009-01</t>
        </is>
      </c>
      <c r="C1519" t="n">
        <v>50138.3</v>
      </c>
      <c r="D1519" t="n">
        <v>1478515.4</v>
      </c>
      <c r="E1519">
        <f>E1518+C1519</f>
        <v/>
      </c>
      <c r="F1519">
        <f>IF(C1519&gt;0,D1519/C1519,NA())</f>
        <v/>
      </c>
    </row>
    <row r="1520">
      <c r="A1520" t="inlineStr">
        <is>
          <t>Diadema</t>
        </is>
      </c>
      <c r="B1520" t="inlineStr">
        <is>
          <t>2009-02</t>
        </is>
      </c>
      <c r="C1520" t="n">
        <v>44914</v>
      </c>
      <c r="D1520" t="n">
        <v>1328761.3</v>
      </c>
      <c r="E1520">
        <f>E1519+C1520</f>
        <v/>
      </c>
      <c r="F1520">
        <f>IF(C1520&gt;0,D1520/C1520,NA())</f>
        <v/>
      </c>
    </row>
    <row r="1521">
      <c r="A1521" t="inlineStr">
        <is>
          <t>Diadema</t>
        </is>
      </c>
      <c r="B1521" t="inlineStr">
        <is>
          <t>2009-03</t>
        </is>
      </c>
      <c r="C1521" t="n">
        <v>48826.9</v>
      </c>
      <c r="D1521" t="n">
        <v>1438647.5</v>
      </c>
      <c r="E1521">
        <f>E1520+C1521</f>
        <v/>
      </c>
      <c r="F1521">
        <f>IF(C1521&gt;0,D1521/C1521,NA())</f>
        <v/>
      </c>
    </row>
    <row r="1522">
      <c r="A1522" t="inlineStr">
        <is>
          <t>Diadema</t>
        </is>
      </c>
      <c r="B1522" t="inlineStr">
        <is>
          <t>2009-04</t>
        </is>
      </c>
      <c r="C1522" t="n">
        <v>48013.5</v>
      </c>
      <c r="D1522" t="n">
        <v>1387716</v>
      </c>
      <c r="E1522">
        <f>E1521+C1522</f>
        <v/>
      </c>
      <c r="F1522">
        <f>IF(C1522&gt;0,D1522/C1522,NA())</f>
        <v/>
      </c>
    </row>
    <row r="1523">
      <c r="A1523" t="inlineStr">
        <is>
          <t>Diadema</t>
        </is>
      </c>
      <c r="B1523" t="inlineStr">
        <is>
          <t>2009-05</t>
        </is>
      </c>
      <c r="C1523" t="n">
        <v>52245.4</v>
      </c>
      <c r="D1523" t="n">
        <v>1434551.9</v>
      </c>
      <c r="E1523">
        <f>E1522+C1523</f>
        <v/>
      </c>
      <c r="F1523">
        <f>IF(C1523&gt;0,D1523/C1523,NA())</f>
        <v/>
      </c>
    </row>
    <row r="1524">
      <c r="A1524" t="inlineStr">
        <is>
          <t>Diadema</t>
        </is>
      </c>
      <c r="B1524" t="inlineStr">
        <is>
          <t>2009-06</t>
        </is>
      </c>
      <c r="C1524" t="n">
        <v>50500.1</v>
      </c>
      <c r="D1524" t="n">
        <v>1382953</v>
      </c>
      <c r="E1524">
        <f>E1523+C1524</f>
        <v/>
      </c>
      <c r="F1524">
        <f>IF(C1524&gt;0,D1524/C1524,NA())</f>
        <v/>
      </c>
    </row>
    <row r="1525">
      <c r="A1525" t="inlineStr">
        <is>
          <t>Diadema</t>
        </is>
      </c>
      <c r="B1525" t="inlineStr">
        <is>
          <t>2009-07</t>
        </is>
      </c>
      <c r="C1525" t="n">
        <v>49436.9</v>
      </c>
      <c r="D1525" t="n">
        <v>1436773.5</v>
      </c>
      <c r="E1525">
        <f>E1524+C1525</f>
        <v/>
      </c>
      <c r="F1525">
        <f>IF(C1525&gt;0,D1525/C1525,NA())</f>
        <v/>
      </c>
    </row>
    <row r="1526">
      <c r="A1526" t="inlineStr">
        <is>
          <t>Diadema</t>
        </is>
      </c>
      <c r="B1526" t="inlineStr">
        <is>
          <t>2009-08</t>
        </is>
      </c>
      <c r="C1526" t="n">
        <v>48288.7</v>
      </c>
      <c r="D1526" t="n">
        <v>1422247.8</v>
      </c>
      <c r="E1526">
        <f>E1525+C1526</f>
        <v/>
      </c>
      <c r="F1526">
        <f>IF(C1526&gt;0,D1526/C1526,NA())</f>
        <v/>
      </c>
    </row>
    <row r="1527">
      <c r="A1527" t="inlineStr">
        <is>
          <t>Diadema</t>
        </is>
      </c>
      <c r="B1527" t="inlineStr">
        <is>
          <t>2009-09</t>
        </is>
      </c>
      <c r="C1527" t="n">
        <v>48996.1</v>
      </c>
      <c r="D1527" t="n">
        <v>1395285.5</v>
      </c>
      <c r="E1527">
        <f>E1526+C1527</f>
        <v/>
      </c>
      <c r="F1527">
        <f>IF(C1527&gt;0,D1527/C1527,NA())</f>
        <v/>
      </c>
    </row>
    <row r="1528">
      <c r="A1528" t="inlineStr">
        <is>
          <t>Diadema</t>
        </is>
      </c>
      <c r="B1528" t="inlineStr">
        <is>
          <t>2009-10</t>
        </is>
      </c>
      <c r="C1528" t="n">
        <v>51350.3</v>
      </c>
      <c r="D1528" t="n">
        <v>1420057</v>
      </c>
      <c r="E1528">
        <f>E1527+C1528</f>
        <v/>
      </c>
      <c r="F1528">
        <f>IF(C1528&gt;0,D1528/C1528,NA())</f>
        <v/>
      </c>
    </row>
    <row r="1529">
      <c r="A1529" t="inlineStr">
        <is>
          <t>Diadema</t>
        </is>
      </c>
      <c r="B1529" t="inlineStr">
        <is>
          <t>2009-11</t>
        </is>
      </c>
      <c r="C1529" t="n">
        <v>48465.8</v>
      </c>
      <c r="D1529" t="n">
        <v>1338885.1</v>
      </c>
      <c r="E1529">
        <f>E1528+C1529</f>
        <v/>
      </c>
      <c r="F1529">
        <f>IF(C1529&gt;0,D1529/C1529,NA())</f>
        <v/>
      </c>
    </row>
    <row r="1530">
      <c r="A1530" t="inlineStr">
        <is>
          <t>Diadema</t>
        </is>
      </c>
      <c r="B1530" t="inlineStr">
        <is>
          <t>2009-12</t>
        </is>
      </c>
      <c r="C1530" t="n">
        <v>49222.9</v>
      </c>
      <c r="D1530" t="n">
        <v>1371355.9</v>
      </c>
      <c r="E1530">
        <f>E1529+C1530</f>
        <v/>
      </c>
      <c r="F1530">
        <f>IF(C1530&gt;0,D1530/C1530,NA())</f>
        <v/>
      </c>
    </row>
    <row r="1531">
      <c r="A1531" t="inlineStr">
        <is>
          <t>Diadema</t>
        </is>
      </c>
      <c r="B1531" t="inlineStr">
        <is>
          <t>2010-01</t>
        </is>
      </c>
      <c r="C1531" t="n">
        <v>48637.7</v>
      </c>
      <c r="D1531" t="n">
        <v>1379938.6</v>
      </c>
      <c r="E1531">
        <f>E1530+C1531</f>
        <v/>
      </c>
      <c r="F1531">
        <f>IF(C1531&gt;0,D1531/C1531,NA())</f>
        <v/>
      </c>
    </row>
    <row r="1532">
      <c r="A1532" t="inlineStr">
        <is>
          <t>Diadema</t>
        </is>
      </c>
      <c r="B1532" t="inlineStr">
        <is>
          <t>2010-02</t>
        </is>
      </c>
      <c r="C1532" t="n">
        <v>43576.7</v>
      </c>
      <c r="D1532" t="n">
        <v>1253992.4</v>
      </c>
      <c r="E1532">
        <f>E1531+C1532</f>
        <v/>
      </c>
      <c r="F1532">
        <f>IF(C1532&gt;0,D1532/C1532,NA())</f>
        <v/>
      </c>
    </row>
    <row r="1533">
      <c r="A1533" t="inlineStr">
        <is>
          <t>Diadema</t>
        </is>
      </c>
      <c r="B1533" t="inlineStr">
        <is>
          <t>2010-03</t>
        </is>
      </c>
      <c r="C1533" t="n">
        <v>47933.8</v>
      </c>
      <c r="D1533" t="n">
        <v>1396930.1</v>
      </c>
      <c r="E1533">
        <f>E1532+C1533</f>
        <v/>
      </c>
      <c r="F1533">
        <f>IF(C1533&gt;0,D1533/C1533,NA())</f>
        <v/>
      </c>
    </row>
    <row r="1534">
      <c r="A1534" t="inlineStr">
        <is>
          <t>Diadema</t>
        </is>
      </c>
      <c r="B1534" t="inlineStr">
        <is>
          <t>2010-04</t>
        </is>
      </c>
      <c r="C1534" t="n">
        <v>48560.8</v>
      </c>
      <c r="D1534" t="n">
        <v>1338076.4</v>
      </c>
      <c r="E1534">
        <f>E1533+C1534</f>
        <v/>
      </c>
      <c r="F1534">
        <f>IF(C1534&gt;0,D1534/C1534,NA())</f>
        <v/>
      </c>
    </row>
    <row r="1535">
      <c r="A1535" t="inlineStr">
        <is>
          <t>Diadema</t>
        </is>
      </c>
      <c r="B1535" t="inlineStr">
        <is>
          <t>2010-05</t>
        </is>
      </c>
      <c r="C1535" t="n">
        <v>48017.8</v>
      </c>
      <c r="D1535" t="n">
        <v>1365311.5</v>
      </c>
      <c r="E1535">
        <f>E1534+C1535</f>
        <v/>
      </c>
      <c r="F1535">
        <f>IF(C1535&gt;0,D1535/C1535,NA())</f>
        <v/>
      </c>
    </row>
    <row r="1536">
      <c r="A1536" t="inlineStr">
        <is>
          <t>Diadema</t>
        </is>
      </c>
      <c r="B1536" t="inlineStr">
        <is>
          <t>2010-06</t>
        </is>
      </c>
      <c r="C1536" t="n">
        <v>45657.7</v>
      </c>
      <c r="D1536" t="n">
        <v>1267220.6</v>
      </c>
      <c r="E1536">
        <f>E1535+C1536</f>
        <v/>
      </c>
      <c r="F1536">
        <f>IF(C1536&gt;0,D1536/C1536,NA())</f>
        <v/>
      </c>
    </row>
    <row r="1537">
      <c r="A1537" t="inlineStr">
        <is>
          <t>Diadema</t>
        </is>
      </c>
      <c r="B1537" t="inlineStr">
        <is>
          <t>2010-07</t>
        </is>
      </c>
      <c r="C1537" t="n">
        <v>51060.1</v>
      </c>
      <c r="D1537" t="n">
        <v>1326658.7</v>
      </c>
      <c r="E1537">
        <f>E1536+C1537</f>
        <v/>
      </c>
      <c r="F1537">
        <f>IF(C1537&gt;0,D1537/C1537,NA())</f>
        <v/>
      </c>
    </row>
    <row r="1538">
      <c r="A1538" t="inlineStr">
        <is>
          <t>Diadema</t>
        </is>
      </c>
      <c r="B1538" t="inlineStr">
        <is>
          <t>2010-08</t>
        </is>
      </c>
      <c r="C1538" t="n">
        <v>50365.5</v>
      </c>
      <c r="D1538" t="n">
        <v>1330062.4</v>
      </c>
      <c r="E1538">
        <f>E1537+C1538</f>
        <v/>
      </c>
      <c r="F1538">
        <f>IF(C1538&gt;0,D1538/C1538,NA())</f>
        <v/>
      </c>
    </row>
    <row r="1539">
      <c r="A1539" t="inlineStr">
        <is>
          <t>Diadema</t>
        </is>
      </c>
      <c r="B1539" t="inlineStr">
        <is>
          <t>2010-09</t>
        </is>
      </c>
      <c r="C1539" t="n">
        <v>48803.8</v>
      </c>
      <c r="D1539" t="n">
        <v>1266098.8</v>
      </c>
      <c r="E1539">
        <f>E1538+C1539</f>
        <v/>
      </c>
      <c r="F1539">
        <f>IF(C1539&gt;0,D1539/C1539,NA())</f>
        <v/>
      </c>
    </row>
    <row r="1540">
      <c r="A1540" t="inlineStr">
        <is>
          <t>Diadema</t>
        </is>
      </c>
      <c r="B1540" t="inlineStr">
        <is>
          <t>2010-10</t>
        </is>
      </c>
      <c r="C1540" t="n">
        <v>52577.7</v>
      </c>
      <c r="D1540" t="n">
        <v>1337671.1</v>
      </c>
      <c r="E1540">
        <f>E1539+C1540</f>
        <v/>
      </c>
      <c r="F1540">
        <f>IF(C1540&gt;0,D1540/C1540,NA())</f>
        <v/>
      </c>
    </row>
    <row r="1541">
      <c r="A1541" t="inlineStr">
        <is>
          <t>Diadema</t>
        </is>
      </c>
      <c r="B1541" t="inlineStr">
        <is>
          <t>2010-11</t>
        </is>
      </c>
      <c r="C1541" t="n">
        <v>52382.3</v>
      </c>
      <c r="D1541" t="n">
        <v>1319254.3</v>
      </c>
      <c r="E1541">
        <f>E1540+C1541</f>
        <v/>
      </c>
      <c r="F1541">
        <f>IF(C1541&gt;0,D1541/C1541,NA())</f>
        <v/>
      </c>
    </row>
    <row r="1542">
      <c r="A1542" t="inlineStr">
        <is>
          <t>Diadema</t>
        </is>
      </c>
      <c r="B1542" t="inlineStr">
        <is>
          <t>2010-12</t>
        </is>
      </c>
      <c r="C1542" t="n">
        <v>51114.7</v>
      </c>
      <c r="D1542" t="n">
        <v>1328446.4</v>
      </c>
      <c r="E1542">
        <f>E1541+C1542</f>
        <v/>
      </c>
      <c r="F1542">
        <f>IF(C1542&gt;0,D1542/C1542,NA())</f>
        <v/>
      </c>
    </row>
    <row r="1543">
      <c r="A1543" t="inlineStr">
        <is>
          <t>Diadema</t>
        </is>
      </c>
      <c r="B1543" t="inlineStr">
        <is>
          <t>2011-01</t>
        </is>
      </c>
      <c r="C1543" t="n">
        <v>52087.3</v>
      </c>
      <c r="D1543" t="n">
        <v>1325810</v>
      </c>
      <c r="E1543">
        <f>E1542+C1543</f>
        <v/>
      </c>
      <c r="F1543">
        <f>IF(C1543&gt;0,D1543/C1543,NA())</f>
        <v/>
      </c>
    </row>
    <row r="1544">
      <c r="A1544" t="inlineStr">
        <is>
          <t>Diadema</t>
        </is>
      </c>
      <c r="B1544" t="inlineStr">
        <is>
          <t>2011-02</t>
        </is>
      </c>
      <c r="C1544" t="n">
        <v>46777.6</v>
      </c>
      <c r="D1544" t="n">
        <v>1182572.1</v>
      </c>
      <c r="E1544">
        <f>E1543+C1544</f>
        <v/>
      </c>
      <c r="F1544">
        <f>IF(C1544&gt;0,D1544/C1544,NA())</f>
        <v/>
      </c>
    </row>
    <row r="1545">
      <c r="A1545" t="inlineStr">
        <is>
          <t>Diadema</t>
        </is>
      </c>
      <c r="B1545" t="inlineStr">
        <is>
          <t>2011-03</t>
        </is>
      </c>
      <c r="C1545" t="n">
        <v>52844.1</v>
      </c>
      <c r="D1545" t="n">
        <v>1341169</v>
      </c>
      <c r="E1545">
        <f>E1544+C1545</f>
        <v/>
      </c>
      <c r="F1545">
        <f>IF(C1545&gt;0,D1545/C1545,NA())</f>
        <v/>
      </c>
    </row>
    <row r="1546">
      <c r="A1546" t="inlineStr">
        <is>
          <t>Diadema</t>
        </is>
      </c>
      <c r="B1546" t="inlineStr">
        <is>
          <t>2011-04</t>
        </is>
      </c>
      <c r="C1546" t="n">
        <v>52190.8</v>
      </c>
      <c r="D1546" t="n">
        <v>1286545.7</v>
      </c>
      <c r="E1546">
        <f>E1545+C1546</f>
        <v/>
      </c>
      <c r="F1546">
        <f>IF(C1546&gt;0,D1546/C1546,NA())</f>
        <v/>
      </c>
    </row>
    <row r="1547">
      <c r="A1547" t="inlineStr">
        <is>
          <t>Diadema</t>
        </is>
      </c>
      <c r="B1547" t="inlineStr">
        <is>
          <t>2011-05</t>
        </is>
      </c>
      <c r="C1547" t="n">
        <v>52927</v>
      </c>
      <c r="D1547" t="n">
        <v>1320030.1</v>
      </c>
      <c r="E1547">
        <f>E1546+C1547</f>
        <v/>
      </c>
      <c r="F1547">
        <f>IF(C1547&gt;0,D1547/C1547,NA())</f>
        <v/>
      </c>
    </row>
    <row r="1548">
      <c r="A1548" t="inlineStr">
        <is>
          <t>Diadema</t>
        </is>
      </c>
      <c r="B1548" t="inlineStr">
        <is>
          <t>2011-06</t>
        </is>
      </c>
      <c r="C1548" t="n">
        <v>48620.3</v>
      </c>
      <c r="D1548" t="n">
        <v>1268551.9</v>
      </c>
      <c r="E1548">
        <f>E1547+C1548</f>
        <v/>
      </c>
      <c r="F1548">
        <f>IF(C1548&gt;0,D1548/C1548,NA())</f>
        <v/>
      </c>
    </row>
    <row r="1549">
      <c r="A1549" t="inlineStr">
        <is>
          <t>Diadema</t>
        </is>
      </c>
      <c r="B1549" t="inlineStr">
        <is>
          <t>2011-07</t>
        </is>
      </c>
      <c r="C1549" t="n">
        <v>49898.3</v>
      </c>
      <c r="D1549" t="n">
        <v>1302577.6</v>
      </c>
      <c r="E1549">
        <f>E1548+C1549</f>
        <v/>
      </c>
      <c r="F1549">
        <f>IF(C1549&gt;0,D1549/C1549,NA())</f>
        <v/>
      </c>
    </row>
    <row r="1550">
      <c r="A1550" t="inlineStr">
        <is>
          <t>Diadema</t>
        </is>
      </c>
      <c r="B1550" t="inlineStr">
        <is>
          <t>2011-08</t>
        </is>
      </c>
      <c r="C1550" t="n">
        <v>52482.6</v>
      </c>
      <c r="D1550" t="n">
        <v>1290115</v>
      </c>
      <c r="E1550">
        <f>E1549+C1550</f>
        <v/>
      </c>
      <c r="F1550">
        <f>IF(C1550&gt;0,D1550/C1550,NA())</f>
        <v/>
      </c>
    </row>
    <row r="1551">
      <c r="A1551" t="inlineStr">
        <is>
          <t>Diadema</t>
        </is>
      </c>
      <c r="B1551" t="inlineStr">
        <is>
          <t>2011-09</t>
        </is>
      </c>
      <c r="C1551" t="n">
        <v>50628</v>
      </c>
      <c r="D1551" t="n">
        <v>1241075.8</v>
      </c>
      <c r="E1551">
        <f>E1550+C1551</f>
        <v/>
      </c>
      <c r="F1551">
        <f>IF(C1551&gt;0,D1551/C1551,NA())</f>
        <v/>
      </c>
    </row>
    <row r="1552">
      <c r="A1552" t="inlineStr">
        <is>
          <t>Diadema</t>
        </is>
      </c>
      <c r="B1552" t="inlineStr">
        <is>
          <t>2011-10</t>
        </is>
      </c>
      <c r="C1552" t="n">
        <v>50006.5</v>
      </c>
      <c r="D1552" t="n">
        <v>1272675.2</v>
      </c>
      <c r="E1552">
        <f>E1551+C1552</f>
        <v/>
      </c>
      <c r="F1552">
        <f>IF(C1552&gt;0,D1552/C1552,NA())</f>
        <v/>
      </c>
    </row>
    <row r="1553">
      <c r="A1553" t="inlineStr">
        <is>
          <t>Diadema</t>
        </is>
      </c>
      <c r="B1553" t="inlineStr">
        <is>
          <t>2011-11</t>
        </is>
      </c>
      <c r="C1553" t="n">
        <v>50186.7</v>
      </c>
      <c r="D1553" t="n">
        <v>1224668.8</v>
      </c>
      <c r="E1553">
        <f>E1552+C1553</f>
        <v/>
      </c>
      <c r="F1553">
        <f>IF(C1553&gt;0,D1553/C1553,NA())</f>
        <v/>
      </c>
    </row>
    <row r="1554">
      <c r="A1554" t="inlineStr">
        <is>
          <t>Diadema</t>
        </is>
      </c>
      <c r="B1554" t="inlineStr">
        <is>
          <t>2011-12</t>
        </is>
      </c>
      <c r="C1554" t="n">
        <v>52365.1</v>
      </c>
      <c r="D1554" t="n">
        <v>1268990.4</v>
      </c>
      <c r="E1554">
        <f>E1553+C1554</f>
        <v/>
      </c>
      <c r="F1554">
        <f>IF(C1554&gt;0,D1554/C1554,NA())</f>
        <v/>
      </c>
    </row>
    <row r="1555">
      <c r="A1555" t="inlineStr">
        <is>
          <t>Diadema</t>
        </is>
      </c>
      <c r="B1555" t="inlineStr">
        <is>
          <t>2012-01</t>
        </is>
      </c>
      <c r="C1555" t="n">
        <v>47885.8</v>
      </c>
      <c r="D1555" t="n">
        <v>1247431.7</v>
      </c>
      <c r="E1555">
        <f>E1554+C1555</f>
        <v/>
      </c>
      <c r="F1555">
        <f>IF(C1555&gt;0,D1555/C1555,NA())</f>
        <v/>
      </c>
    </row>
    <row r="1556">
      <c r="A1556" t="inlineStr">
        <is>
          <t>Diadema</t>
        </is>
      </c>
      <c r="B1556" t="inlineStr">
        <is>
          <t>2012-02</t>
        </is>
      </c>
      <c r="C1556" t="n">
        <v>46286.7</v>
      </c>
      <c r="D1556" t="n">
        <v>1130648.5</v>
      </c>
      <c r="E1556">
        <f>E1555+C1556</f>
        <v/>
      </c>
      <c r="F1556">
        <f>IF(C1556&gt;0,D1556/C1556,NA())</f>
        <v/>
      </c>
    </row>
    <row r="1557">
      <c r="A1557" t="inlineStr">
        <is>
          <t>Diadema</t>
        </is>
      </c>
      <c r="B1557" t="inlineStr">
        <is>
          <t>2012-03</t>
        </is>
      </c>
      <c r="C1557" t="n">
        <v>52686.1</v>
      </c>
      <c r="D1557" t="n">
        <v>1240166.3</v>
      </c>
      <c r="E1557">
        <f>E1556+C1557</f>
        <v/>
      </c>
      <c r="F1557">
        <f>IF(C1557&gt;0,D1557/C1557,NA())</f>
        <v/>
      </c>
    </row>
    <row r="1558">
      <c r="A1558" t="inlineStr">
        <is>
          <t>Diadema</t>
        </is>
      </c>
      <c r="B1558" t="inlineStr">
        <is>
          <t>2012-04</t>
        </is>
      </c>
      <c r="C1558" t="n">
        <v>48621.5</v>
      </c>
      <c r="D1558" t="n">
        <v>1221749.4</v>
      </c>
      <c r="E1558">
        <f>E1557+C1558</f>
        <v/>
      </c>
      <c r="F1558">
        <f>IF(C1558&gt;0,D1558/C1558,NA())</f>
        <v/>
      </c>
    </row>
    <row r="1559">
      <c r="A1559" t="inlineStr">
        <is>
          <t>Diadema</t>
        </is>
      </c>
      <c r="B1559" t="inlineStr">
        <is>
          <t>2012-05</t>
        </is>
      </c>
      <c r="C1559" t="n">
        <v>49352.5</v>
      </c>
      <c r="D1559" t="n">
        <v>1236519.9</v>
      </c>
      <c r="E1559">
        <f>E1558+C1559</f>
        <v/>
      </c>
      <c r="F1559">
        <f>IF(C1559&gt;0,D1559/C1559,NA())</f>
        <v/>
      </c>
    </row>
    <row r="1560">
      <c r="A1560" t="inlineStr">
        <is>
          <t>Diadema</t>
        </is>
      </c>
      <c r="B1560" t="inlineStr">
        <is>
          <t>2012-06</t>
        </is>
      </c>
      <c r="C1560" t="n">
        <v>47507.1</v>
      </c>
      <c r="D1560" t="n">
        <v>1213151</v>
      </c>
      <c r="E1560">
        <f>E1559+C1560</f>
        <v/>
      </c>
      <c r="F1560">
        <f>IF(C1560&gt;0,D1560/C1560,NA())</f>
        <v/>
      </c>
    </row>
    <row r="1561">
      <c r="A1561" t="inlineStr">
        <is>
          <t>Diadema</t>
        </is>
      </c>
      <c r="B1561" t="inlineStr">
        <is>
          <t>2012-07</t>
        </is>
      </c>
      <c r="C1561" t="n">
        <v>50343.2</v>
      </c>
      <c r="D1561" t="n">
        <v>1220698.6</v>
      </c>
      <c r="E1561">
        <f>E1560+C1561</f>
        <v/>
      </c>
      <c r="F1561">
        <f>IF(C1561&gt;0,D1561/C1561,NA())</f>
        <v/>
      </c>
    </row>
    <row r="1562">
      <c r="A1562" t="inlineStr">
        <is>
          <t>Diadema</t>
        </is>
      </c>
      <c r="B1562" t="inlineStr">
        <is>
          <t>2012-08</t>
        </is>
      </c>
      <c r="C1562" t="n">
        <v>52688</v>
      </c>
      <c r="D1562" t="n">
        <v>1233708.5</v>
      </c>
      <c r="E1562">
        <f>E1561+C1562</f>
        <v/>
      </c>
      <c r="F1562">
        <f>IF(C1562&gt;0,D1562/C1562,NA())</f>
        <v/>
      </c>
    </row>
    <row r="1563">
      <c r="A1563" t="inlineStr">
        <is>
          <t>Diadema</t>
        </is>
      </c>
      <c r="B1563" t="inlineStr">
        <is>
          <t>2012-09</t>
        </is>
      </c>
      <c r="C1563" t="n">
        <v>52110.1</v>
      </c>
      <c r="D1563" t="n">
        <v>1213489.8</v>
      </c>
      <c r="E1563">
        <f>E1562+C1563</f>
        <v/>
      </c>
      <c r="F1563">
        <f>IF(C1563&gt;0,D1563/C1563,NA())</f>
        <v/>
      </c>
    </row>
    <row r="1564">
      <c r="A1564" t="inlineStr">
        <is>
          <t>Diadema</t>
        </is>
      </c>
      <c r="B1564" t="inlineStr">
        <is>
          <t>2012-10</t>
        </is>
      </c>
      <c r="C1564" t="n">
        <v>50935.2</v>
      </c>
      <c r="D1564" t="n">
        <v>1264202.1</v>
      </c>
      <c r="E1564">
        <f>E1563+C1564</f>
        <v/>
      </c>
      <c r="F1564">
        <f>IF(C1564&gt;0,D1564/C1564,NA())</f>
        <v/>
      </c>
    </row>
    <row r="1565">
      <c r="A1565" t="inlineStr">
        <is>
          <t>Diadema</t>
        </is>
      </c>
      <c r="B1565" t="inlineStr">
        <is>
          <t>2012-11</t>
        </is>
      </c>
      <c r="C1565" t="n">
        <v>45814.1</v>
      </c>
      <c r="D1565" t="n">
        <v>1185980.4</v>
      </c>
      <c r="E1565">
        <f>E1564+C1565</f>
        <v/>
      </c>
      <c r="F1565">
        <f>IF(C1565&gt;0,D1565/C1565,NA())</f>
        <v/>
      </c>
    </row>
    <row r="1566">
      <c r="A1566" t="inlineStr">
        <is>
          <t>Diadema</t>
        </is>
      </c>
      <c r="B1566" t="inlineStr">
        <is>
          <t>2012-12</t>
        </is>
      </c>
      <c r="C1566" t="n">
        <v>51902.8</v>
      </c>
      <c r="D1566" t="n">
        <v>1240183.2</v>
      </c>
      <c r="E1566">
        <f>E1565+C1566</f>
        <v/>
      </c>
      <c r="F1566">
        <f>IF(C1566&gt;0,D1566/C1566,NA())</f>
        <v/>
      </c>
    </row>
    <row r="1567">
      <c r="A1567" t="inlineStr">
        <is>
          <t>Diadema</t>
        </is>
      </c>
      <c r="B1567" t="inlineStr">
        <is>
          <t>2013-01</t>
        </is>
      </c>
      <c r="C1567" t="n">
        <v>50053.9</v>
      </c>
      <c r="D1567" t="n">
        <v>1219499.1</v>
      </c>
      <c r="E1567">
        <f>E1566+C1567</f>
        <v/>
      </c>
      <c r="F1567">
        <f>IF(C1567&gt;0,D1567/C1567,NA())</f>
        <v/>
      </c>
    </row>
    <row r="1568">
      <c r="A1568" t="inlineStr">
        <is>
          <t>Diadema</t>
        </is>
      </c>
      <c r="B1568" t="inlineStr">
        <is>
          <t>2013-02</t>
        </is>
      </c>
      <c r="C1568" t="n">
        <v>43464.2</v>
      </c>
      <c r="D1568" t="n">
        <v>1094026.2</v>
      </c>
      <c r="E1568">
        <f>E1567+C1568</f>
        <v/>
      </c>
      <c r="F1568">
        <f>IF(C1568&gt;0,D1568/C1568,NA())</f>
        <v/>
      </c>
    </row>
    <row r="1569">
      <c r="A1569" t="inlineStr">
        <is>
          <t>Diadema</t>
        </is>
      </c>
      <c r="B1569" t="inlineStr">
        <is>
          <t>2013-03</t>
        </is>
      </c>
      <c r="C1569" t="n">
        <v>48799.8</v>
      </c>
      <c r="D1569" t="n">
        <v>1178589.9</v>
      </c>
      <c r="E1569">
        <f>E1568+C1569</f>
        <v/>
      </c>
      <c r="F1569">
        <f>IF(C1569&gt;0,D1569/C1569,NA())</f>
        <v/>
      </c>
    </row>
    <row r="1570">
      <c r="A1570" t="inlineStr">
        <is>
          <t>Diadema</t>
        </is>
      </c>
      <c r="B1570" t="inlineStr">
        <is>
          <t>2013-04</t>
        </is>
      </c>
      <c r="C1570" t="n">
        <v>46999.5</v>
      </c>
      <c r="D1570" t="n">
        <v>1143373</v>
      </c>
      <c r="E1570">
        <f>E1569+C1570</f>
        <v/>
      </c>
      <c r="F1570">
        <f>IF(C1570&gt;0,D1570/C1570,NA())</f>
        <v/>
      </c>
    </row>
    <row r="1571">
      <c r="A1571" t="inlineStr">
        <is>
          <t>Diadema</t>
        </is>
      </c>
      <c r="B1571" t="inlineStr">
        <is>
          <t>2013-05</t>
        </is>
      </c>
      <c r="C1571" t="n">
        <v>48819.1</v>
      </c>
      <c r="D1571" t="n">
        <v>1203374.8</v>
      </c>
      <c r="E1571">
        <f>E1570+C1571</f>
        <v/>
      </c>
      <c r="F1571">
        <f>IF(C1571&gt;0,D1571/C1571,NA())</f>
        <v/>
      </c>
    </row>
    <row r="1572">
      <c r="A1572" t="inlineStr">
        <is>
          <t>Diadema</t>
        </is>
      </c>
      <c r="B1572" t="inlineStr">
        <is>
          <t>2013-06</t>
        </is>
      </c>
      <c r="C1572" t="n">
        <v>47172.1</v>
      </c>
      <c r="D1572" t="n">
        <v>1170470.5</v>
      </c>
      <c r="E1572">
        <f>E1571+C1572</f>
        <v/>
      </c>
      <c r="F1572">
        <f>IF(C1572&gt;0,D1572/C1572,NA())</f>
        <v/>
      </c>
    </row>
    <row r="1573">
      <c r="A1573" t="inlineStr">
        <is>
          <t>Diadema</t>
        </is>
      </c>
      <c r="B1573" t="inlineStr">
        <is>
          <t>2013-07</t>
        </is>
      </c>
      <c r="C1573" t="n">
        <v>47618.3</v>
      </c>
      <c r="D1573" t="n">
        <v>1219560.7</v>
      </c>
      <c r="E1573">
        <f>E1572+C1573</f>
        <v/>
      </c>
      <c r="F1573">
        <f>IF(C1573&gt;0,D1573/C1573,NA())</f>
        <v/>
      </c>
    </row>
    <row r="1574">
      <c r="A1574" t="inlineStr">
        <is>
          <t>Diadema</t>
        </is>
      </c>
      <c r="B1574" t="inlineStr">
        <is>
          <t>2013-08</t>
        </is>
      </c>
      <c r="C1574" t="n">
        <v>47563.9</v>
      </c>
      <c r="D1574" t="n">
        <v>1261008.4</v>
      </c>
      <c r="E1574">
        <f>E1573+C1574</f>
        <v/>
      </c>
      <c r="F1574">
        <f>IF(C1574&gt;0,D1574/C1574,NA())</f>
        <v/>
      </c>
    </row>
    <row r="1575">
      <c r="A1575" t="inlineStr">
        <is>
          <t>Diadema</t>
        </is>
      </c>
      <c r="B1575" t="inlineStr">
        <is>
          <t>2013-09</t>
        </is>
      </c>
      <c r="C1575" t="n">
        <v>47953.7</v>
      </c>
      <c r="D1575" t="n">
        <v>1240480</v>
      </c>
      <c r="E1575">
        <f>E1574+C1575</f>
        <v/>
      </c>
      <c r="F1575">
        <f>IF(C1575&gt;0,D1575/C1575,NA())</f>
        <v/>
      </c>
    </row>
    <row r="1576">
      <c r="A1576" t="inlineStr">
        <is>
          <t>Diadema</t>
        </is>
      </c>
      <c r="B1576" t="inlineStr">
        <is>
          <t>2013-10</t>
        </is>
      </c>
      <c r="C1576" t="n">
        <v>49155.6</v>
      </c>
      <c r="D1576" t="n">
        <v>1254802.6</v>
      </c>
      <c r="E1576">
        <f>E1575+C1576</f>
        <v/>
      </c>
      <c r="F1576">
        <f>IF(C1576&gt;0,D1576/C1576,NA())</f>
        <v/>
      </c>
    </row>
    <row r="1577">
      <c r="A1577" t="inlineStr">
        <is>
          <t>Diadema</t>
        </is>
      </c>
      <c r="B1577" t="inlineStr">
        <is>
          <t>2013-11</t>
        </is>
      </c>
      <c r="C1577" t="n">
        <v>46516.4</v>
      </c>
      <c r="D1577" t="n">
        <v>1186452.8</v>
      </c>
      <c r="E1577">
        <f>E1576+C1577</f>
        <v/>
      </c>
      <c r="F1577">
        <f>IF(C1577&gt;0,D1577/C1577,NA())</f>
        <v/>
      </c>
    </row>
    <row r="1578">
      <c r="A1578" t="inlineStr">
        <is>
          <t>Diadema</t>
        </is>
      </c>
      <c r="B1578" t="inlineStr">
        <is>
          <t>2013-12</t>
        </is>
      </c>
      <c r="C1578" t="n">
        <v>47688.8</v>
      </c>
      <c r="D1578" t="n">
        <v>1247211.8</v>
      </c>
      <c r="E1578">
        <f>E1577+C1578</f>
        <v/>
      </c>
      <c r="F1578">
        <f>IF(C1578&gt;0,D1578/C1578,NA())</f>
        <v/>
      </c>
    </row>
    <row r="1579">
      <c r="A1579" t="inlineStr">
        <is>
          <t>Diadema</t>
        </is>
      </c>
      <c r="B1579" t="inlineStr">
        <is>
          <t>2014-01</t>
        </is>
      </c>
      <c r="C1579" t="n">
        <v>47592</v>
      </c>
      <c r="D1579" t="n">
        <v>1244265.5</v>
      </c>
      <c r="E1579">
        <f>E1578+C1579</f>
        <v/>
      </c>
      <c r="F1579">
        <f>IF(C1579&gt;0,D1579/C1579,NA())</f>
        <v/>
      </c>
    </row>
    <row r="1580">
      <c r="A1580" t="inlineStr">
        <is>
          <t>Diadema</t>
        </is>
      </c>
      <c r="B1580" t="inlineStr">
        <is>
          <t>2014-02</t>
        </is>
      </c>
      <c r="C1580" t="n">
        <v>45706.1</v>
      </c>
      <c r="D1580" t="n">
        <v>1119523.1</v>
      </c>
      <c r="E1580">
        <f>E1579+C1580</f>
        <v/>
      </c>
      <c r="F1580">
        <f>IF(C1580&gt;0,D1580/C1580,NA())</f>
        <v/>
      </c>
    </row>
    <row r="1581">
      <c r="A1581" t="inlineStr">
        <is>
          <t>Diadema</t>
        </is>
      </c>
      <c r="B1581" t="inlineStr">
        <is>
          <t>2014-03</t>
        </is>
      </c>
      <c r="C1581" t="n">
        <v>52895.4</v>
      </c>
      <c r="D1581" t="n">
        <v>1256177.3</v>
      </c>
      <c r="E1581">
        <f>E1580+C1581</f>
        <v/>
      </c>
      <c r="F1581">
        <f>IF(C1581&gt;0,D1581/C1581,NA())</f>
        <v/>
      </c>
    </row>
    <row r="1582">
      <c r="A1582" t="inlineStr">
        <is>
          <t>Diadema</t>
        </is>
      </c>
      <c r="B1582" t="inlineStr">
        <is>
          <t>2014-04</t>
        </is>
      </c>
      <c r="C1582" t="n">
        <v>49025.8</v>
      </c>
      <c r="D1582" t="n">
        <v>1205412.8</v>
      </c>
      <c r="E1582">
        <f>E1581+C1582</f>
        <v/>
      </c>
      <c r="F1582">
        <f>IF(C1582&gt;0,D1582/C1582,NA())</f>
        <v/>
      </c>
    </row>
    <row r="1583">
      <c r="A1583" t="inlineStr">
        <is>
          <t>Diadema</t>
        </is>
      </c>
      <c r="B1583" t="inlineStr">
        <is>
          <t>2014-05</t>
        </is>
      </c>
      <c r="C1583" t="n">
        <v>51748.9</v>
      </c>
      <c r="D1583" t="n">
        <v>1237280.4</v>
      </c>
      <c r="E1583">
        <f>E1582+C1583</f>
        <v/>
      </c>
      <c r="F1583">
        <f>IF(C1583&gt;0,D1583/C1583,NA())</f>
        <v/>
      </c>
    </row>
    <row r="1584">
      <c r="A1584" t="inlineStr">
        <is>
          <t>Diadema</t>
        </is>
      </c>
      <c r="B1584" t="inlineStr">
        <is>
          <t>2014-06</t>
        </is>
      </c>
      <c r="C1584" t="n">
        <v>48752.7</v>
      </c>
      <c r="D1584" t="n">
        <v>1139682.7</v>
      </c>
      <c r="E1584">
        <f>E1583+C1584</f>
        <v/>
      </c>
      <c r="F1584">
        <f>IF(C1584&gt;0,D1584/C1584,NA())</f>
        <v/>
      </c>
    </row>
    <row r="1585">
      <c r="A1585" t="inlineStr">
        <is>
          <t>Diadema</t>
        </is>
      </c>
      <c r="B1585" t="inlineStr">
        <is>
          <t>2014-07</t>
        </is>
      </c>
      <c r="C1585" t="n">
        <v>50216.4</v>
      </c>
      <c r="D1585" t="n">
        <v>1215091.6</v>
      </c>
      <c r="E1585">
        <f>E1584+C1585</f>
        <v/>
      </c>
      <c r="F1585">
        <f>IF(C1585&gt;0,D1585/C1585,NA())</f>
        <v/>
      </c>
    </row>
    <row r="1586">
      <c r="A1586" t="inlineStr">
        <is>
          <t>Diadema</t>
        </is>
      </c>
      <c r="B1586" t="inlineStr">
        <is>
          <t>2014-08</t>
        </is>
      </c>
      <c r="C1586" t="n">
        <v>49576.1</v>
      </c>
      <c r="D1586" t="n">
        <v>1219161</v>
      </c>
      <c r="E1586">
        <f>E1585+C1586</f>
        <v/>
      </c>
      <c r="F1586">
        <f>IF(C1586&gt;0,D1586/C1586,NA())</f>
        <v/>
      </c>
    </row>
    <row r="1587">
      <c r="A1587" t="inlineStr">
        <is>
          <t>Diadema</t>
        </is>
      </c>
      <c r="B1587" t="inlineStr">
        <is>
          <t>2014-09</t>
        </is>
      </c>
      <c r="C1587" t="n">
        <v>50165.3</v>
      </c>
      <c r="D1587" t="n">
        <v>1201011.5</v>
      </c>
      <c r="E1587">
        <f>E1586+C1587</f>
        <v/>
      </c>
      <c r="F1587">
        <f>IF(C1587&gt;0,D1587/C1587,NA())</f>
        <v/>
      </c>
    </row>
    <row r="1588">
      <c r="A1588" t="inlineStr">
        <is>
          <t>Diadema</t>
        </is>
      </c>
      <c r="B1588" t="inlineStr">
        <is>
          <t>2014-10</t>
        </is>
      </c>
      <c r="C1588" t="n">
        <v>51922.2</v>
      </c>
      <c r="D1588" t="n">
        <v>1254958.5</v>
      </c>
      <c r="E1588">
        <f>E1587+C1588</f>
        <v/>
      </c>
      <c r="F1588">
        <f>IF(C1588&gt;0,D1588/C1588,NA())</f>
        <v/>
      </c>
    </row>
    <row r="1589">
      <c r="A1589" t="inlineStr">
        <is>
          <t>Diadema</t>
        </is>
      </c>
      <c r="B1589" t="inlineStr">
        <is>
          <t>2014-11</t>
        </is>
      </c>
      <c r="C1589" t="n">
        <v>49736.2</v>
      </c>
      <c r="D1589" t="n">
        <v>1201677.6</v>
      </c>
      <c r="E1589">
        <f>E1588+C1589</f>
        <v/>
      </c>
      <c r="F1589">
        <f>IF(C1589&gt;0,D1589/C1589,NA())</f>
        <v/>
      </c>
    </row>
    <row r="1590">
      <c r="A1590" t="inlineStr">
        <is>
          <t>Diadema</t>
        </is>
      </c>
      <c r="B1590" t="inlineStr">
        <is>
          <t>2014-12</t>
        </is>
      </c>
      <c r="C1590" t="n">
        <v>51563</v>
      </c>
      <c r="D1590" t="n">
        <v>1257213.9</v>
      </c>
      <c r="E1590">
        <f>E1589+C1590</f>
        <v/>
      </c>
      <c r="F1590">
        <f>IF(C1590&gt;0,D1590/C1590,NA())</f>
        <v/>
      </c>
    </row>
    <row r="1591">
      <c r="A1591" t="inlineStr">
        <is>
          <t>Diadema</t>
        </is>
      </c>
      <c r="B1591" t="inlineStr">
        <is>
          <t>2015-01</t>
        </is>
      </c>
      <c r="C1591" t="n">
        <v>51863</v>
      </c>
      <c r="D1591" t="n">
        <v>1254728.8</v>
      </c>
      <c r="E1591">
        <f>E1590+C1591</f>
        <v/>
      </c>
      <c r="F1591">
        <f>IF(C1591&gt;0,D1591/C1591,NA())</f>
        <v/>
      </c>
    </row>
    <row r="1592">
      <c r="A1592" t="inlineStr">
        <is>
          <t>Diadema</t>
        </is>
      </c>
      <c r="B1592" t="inlineStr">
        <is>
          <t>2015-02</t>
        </is>
      </c>
      <c r="C1592" t="n">
        <v>47400</v>
      </c>
      <c r="D1592" t="n">
        <v>1124778.9</v>
      </c>
      <c r="E1592">
        <f>E1591+C1592</f>
        <v/>
      </c>
      <c r="F1592">
        <f>IF(C1592&gt;0,D1592/C1592,NA())</f>
        <v/>
      </c>
    </row>
    <row r="1593">
      <c r="A1593" t="inlineStr">
        <is>
          <t>Diadema</t>
        </is>
      </c>
      <c r="B1593" t="inlineStr">
        <is>
          <t>2015-03</t>
        </is>
      </c>
      <c r="C1593" t="n">
        <v>51443.2</v>
      </c>
      <c r="D1593" t="n">
        <v>1246150.1</v>
      </c>
      <c r="E1593">
        <f>E1592+C1593</f>
        <v/>
      </c>
      <c r="F1593">
        <f>IF(C1593&gt;0,D1593/C1593,NA())</f>
        <v/>
      </c>
    </row>
    <row r="1594">
      <c r="A1594" t="inlineStr">
        <is>
          <t>Diadema</t>
        </is>
      </c>
      <c r="B1594" t="inlineStr">
        <is>
          <t>2015-04</t>
        </is>
      </c>
      <c r="C1594" t="n">
        <v>50651.8</v>
      </c>
      <c r="D1594" t="n">
        <v>1199572.7</v>
      </c>
      <c r="E1594">
        <f>E1593+C1594</f>
        <v/>
      </c>
      <c r="F1594">
        <f>IF(C1594&gt;0,D1594/C1594,NA())</f>
        <v/>
      </c>
    </row>
    <row r="1595">
      <c r="A1595" t="inlineStr">
        <is>
          <t>Diadema</t>
        </is>
      </c>
      <c r="B1595" t="inlineStr">
        <is>
          <t>2015-05</t>
        </is>
      </c>
      <c r="C1595" t="n">
        <v>52718.1</v>
      </c>
      <c r="D1595" t="n">
        <v>1265673.2</v>
      </c>
      <c r="E1595">
        <f>E1594+C1595</f>
        <v/>
      </c>
      <c r="F1595">
        <f>IF(C1595&gt;0,D1595/C1595,NA())</f>
        <v/>
      </c>
    </row>
    <row r="1596">
      <c r="A1596" t="inlineStr">
        <is>
          <t>Diadema</t>
        </is>
      </c>
      <c r="B1596" t="inlineStr">
        <is>
          <t>2015-06</t>
        </is>
      </c>
      <c r="C1596" t="n">
        <v>49408</v>
      </c>
      <c r="D1596" t="n">
        <v>1235250.1</v>
      </c>
      <c r="E1596">
        <f>E1595+C1596</f>
        <v/>
      </c>
      <c r="F1596">
        <f>IF(C1596&gt;0,D1596/C1596,NA())</f>
        <v/>
      </c>
    </row>
    <row r="1597">
      <c r="A1597" t="inlineStr">
        <is>
          <t>Diadema</t>
        </is>
      </c>
      <c r="B1597" t="inlineStr">
        <is>
          <t>2015-07</t>
        </is>
      </c>
      <c r="C1597" t="n">
        <v>53303.3</v>
      </c>
      <c r="D1597" t="n">
        <v>1288016.2</v>
      </c>
      <c r="E1597">
        <f>E1596+C1597</f>
        <v/>
      </c>
      <c r="F1597">
        <f>IF(C1597&gt;0,D1597/C1597,NA())</f>
        <v/>
      </c>
    </row>
    <row r="1598">
      <c r="A1598" t="inlineStr">
        <is>
          <t>Diadema</t>
        </is>
      </c>
      <c r="B1598" t="inlineStr">
        <is>
          <t>2015-08</t>
        </is>
      </c>
      <c r="C1598" t="n">
        <v>52337.8</v>
      </c>
      <c r="D1598" t="n">
        <v>1283438.6</v>
      </c>
      <c r="E1598">
        <f>E1597+C1598</f>
        <v/>
      </c>
      <c r="F1598">
        <f>IF(C1598&gt;0,D1598/C1598,NA())</f>
        <v/>
      </c>
    </row>
    <row r="1599">
      <c r="A1599" t="inlineStr">
        <is>
          <t>Diadema</t>
        </is>
      </c>
      <c r="B1599" t="inlineStr">
        <is>
          <t>2015-09</t>
        </is>
      </c>
      <c r="C1599" t="n">
        <v>48941.4</v>
      </c>
      <c r="D1599" t="n">
        <v>1223615.4</v>
      </c>
      <c r="E1599">
        <f>E1598+C1599</f>
        <v/>
      </c>
      <c r="F1599">
        <f>IF(C1599&gt;0,D1599/C1599,NA())</f>
        <v/>
      </c>
    </row>
    <row r="1600">
      <c r="A1600" t="inlineStr">
        <is>
          <t>Diadema</t>
        </is>
      </c>
      <c r="B1600" t="inlineStr">
        <is>
          <t>2015-10</t>
        </is>
      </c>
      <c r="C1600" t="n">
        <v>53206.6</v>
      </c>
      <c r="D1600" t="n">
        <v>1272384.6</v>
      </c>
      <c r="E1600">
        <f>E1599+C1600</f>
        <v/>
      </c>
      <c r="F1600">
        <f>IF(C1600&gt;0,D1600/C1600,NA())</f>
        <v/>
      </c>
    </row>
    <row r="1601">
      <c r="A1601" t="inlineStr">
        <is>
          <t>Diadema</t>
        </is>
      </c>
      <c r="B1601" t="inlineStr">
        <is>
          <t>2015-11</t>
        </is>
      </c>
      <c r="C1601" t="n">
        <v>50681.7</v>
      </c>
      <c r="D1601" t="n">
        <v>1238964.9</v>
      </c>
      <c r="E1601">
        <f>E1600+C1601</f>
        <v/>
      </c>
      <c r="F1601">
        <f>IF(C1601&gt;0,D1601/C1601,NA())</f>
        <v/>
      </c>
    </row>
    <row r="1602">
      <c r="A1602" t="inlineStr">
        <is>
          <t>Diadema</t>
        </is>
      </c>
      <c r="B1602" t="inlineStr">
        <is>
          <t>2015-12</t>
        </is>
      </c>
      <c r="C1602" t="n">
        <v>50135.6</v>
      </c>
      <c r="D1602" t="n">
        <v>1290253.1</v>
      </c>
      <c r="E1602">
        <f>E1601+C1602</f>
        <v/>
      </c>
      <c r="F1602">
        <f>IF(C1602&gt;0,D1602/C1602,NA())</f>
        <v/>
      </c>
    </row>
    <row r="1603">
      <c r="A1603" t="inlineStr">
        <is>
          <t>Diadema</t>
        </is>
      </c>
      <c r="B1603" t="inlineStr">
        <is>
          <t>2016-01</t>
        </is>
      </c>
      <c r="C1603" t="n">
        <v>53630.9</v>
      </c>
      <c r="D1603" t="n">
        <v>1272533.7</v>
      </c>
      <c r="E1603">
        <f>E1602+C1603</f>
        <v/>
      </c>
      <c r="F1603">
        <f>IF(C1603&gt;0,D1603/C1603,NA())</f>
        <v/>
      </c>
    </row>
    <row r="1604">
      <c r="A1604" t="inlineStr">
        <is>
          <t>Diadema</t>
        </is>
      </c>
      <c r="B1604" t="inlineStr">
        <is>
          <t>2016-02</t>
        </is>
      </c>
      <c r="C1604" t="n">
        <v>50061.3</v>
      </c>
      <c r="D1604" t="n">
        <v>1179461.5</v>
      </c>
      <c r="E1604">
        <f>E1603+C1604</f>
        <v/>
      </c>
      <c r="F1604">
        <f>IF(C1604&gt;0,D1604/C1604,NA())</f>
        <v/>
      </c>
    </row>
    <row r="1605">
      <c r="A1605" t="inlineStr">
        <is>
          <t>Diadema</t>
        </is>
      </c>
      <c r="B1605" t="inlineStr">
        <is>
          <t>2016-03</t>
        </is>
      </c>
      <c r="C1605" t="n">
        <v>54978.7</v>
      </c>
      <c r="D1605" t="n">
        <v>1314877.1</v>
      </c>
      <c r="E1605">
        <f>E1604+C1605</f>
        <v/>
      </c>
      <c r="F1605">
        <f>IF(C1605&gt;0,D1605/C1605,NA())</f>
        <v/>
      </c>
    </row>
    <row r="1606">
      <c r="A1606" t="inlineStr">
        <is>
          <t>Diadema</t>
        </is>
      </c>
      <c r="B1606" t="inlineStr">
        <is>
          <t>2016-04</t>
        </is>
      </c>
      <c r="C1606" t="n">
        <v>52438.3</v>
      </c>
      <c r="D1606" t="n">
        <v>1281241.5</v>
      </c>
      <c r="E1606">
        <f>E1605+C1606</f>
        <v/>
      </c>
      <c r="F1606">
        <f>IF(C1606&gt;0,D1606/C1606,NA())</f>
        <v/>
      </c>
    </row>
    <row r="1607">
      <c r="A1607" t="inlineStr">
        <is>
          <t>Diadema</t>
        </is>
      </c>
      <c r="B1607" t="inlineStr">
        <is>
          <t>2016-05</t>
        </is>
      </c>
      <c r="C1607" t="n">
        <v>54490.1</v>
      </c>
      <c r="D1607" t="n">
        <v>1343727.9</v>
      </c>
      <c r="E1607">
        <f>E1606+C1607</f>
        <v/>
      </c>
      <c r="F1607">
        <f>IF(C1607&gt;0,D1607/C1607,NA())</f>
        <v/>
      </c>
    </row>
    <row r="1608">
      <c r="A1608" t="inlineStr">
        <is>
          <t>Diadema</t>
        </is>
      </c>
      <c r="B1608" t="inlineStr">
        <is>
          <t>2016-06</t>
        </is>
      </c>
      <c r="C1608" t="n">
        <v>53870.3</v>
      </c>
      <c r="D1608" t="n">
        <v>1291762.2</v>
      </c>
      <c r="E1608">
        <f>E1607+C1608</f>
        <v/>
      </c>
      <c r="F1608">
        <f>IF(C1608&gt;0,D1608/C1608,NA())</f>
        <v/>
      </c>
    </row>
    <row r="1609">
      <c r="A1609" t="inlineStr">
        <is>
          <t>Diadema</t>
        </is>
      </c>
      <c r="B1609" t="inlineStr">
        <is>
          <t>2016-07</t>
        </is>
      </c>
      <c r="C1609" t="n">
        <v>53945.2</v>
      </c>
      <c r="D1609" t="n">
        <v>1308975</v>
      </c>
      <c r="E1609">
        <f>E1608+C1609</f>
        <v/>
      </c>
      <c r="F1609">
        <f>IF(C1609&gt;0,D1609/C1609,NA())</f>
        <v/>
      </c>
    </row>
    <row r="1610">
      <c r="A1610" t="inlineStr">
        <is>
          <t>Diadema</t>
        </is>
      </c>
      <c r="B1610" t="inlineStr">
        <is>
          <t>2016-08</t>
        </is>
      </c>
      <c r="C1610" t="n">
        <v>53960.1</v>
      </c>
      <c r="D1610" t="n">
        <v>1320163.5</v>
      </c>
      <c r="E1610">
        <f>E1609+C1610</f>
        <v/>
      </c>
      <c r="F1610">
        <f>IF(C1610&gt;0,D1610/C1610,NA())</f>
        <v/>
      </c>
    </row>
    <row r="1611">
      <c r="A1611" t="inlineStr">
        <is>
          <t>Diadema</t>
        </is>
      </c>
      <c r="B1611" t="inlineStr">
        <is>
          <t>2016-09</t>
        </is>
      </c>
      <c r="C1611" t="n">
        <v>53361.9</v>
      </c>
      <c r="D1611" t="n">
        <v>1297251.1</v>
      </c>
      <c r="E1611">
        <f>E1610+C1611</f>
        <v/>
      </c>
      <c r="F1611">
        <f>IF(C1611&gt;0,D1611/C1611,NA())</f>
        <v/>
      </c>
    </row>
    <row r="1612">
      <c r="A1612" t="inlineStr">
        <is>
          <t>Diadema</t>
        </is>
      </c>
      <c r="B1612" t="inlineStr">
        <is>
          <t>2016-10</t>
        </is>
      </c>
      <c r="C1612" t="n">
        <v>55147.2</v>
      </c>
      <c r="D1612" t="n">
        <v>1351002.4</v>
      </c>
      <c r="E1612">
        <f>E1611+C1612</f>
        <v/>
      </c>
      <c r="F1612">
        <f>IF(C1612&gt;0,D1612/C1612,NA())</f>
        <v/>
      </c>
    </row>
    <row r="1613">
      <c r="A1613" t="inlineStr">
        <is>
          <t>Diadema</t>
        </is>
      </c>
      <c r="B1613" t="inlineStr">
        <is>
          <t>2016-11</t>
        </is>
      </c>
      <c r="C1613" t="n">
        <v>52543.3</v>
      </c>
      <c r="D1613" t="n">
        <v>1276260</v>
      </c>
      <c r="E1613">
        <f>E1612+C1613</f>
        <v/>
      </c>
      <c r="F1613">
        <f>IF(C1613&gt;0,D1613/C1613,NA())</f>
        <v/>
      </c>
    </row>
    <row r="1614">
      <c r="A1614" t="inlineStr">
        <is>
          <t>Diadema</t>
        </is>
      </c>
      <c r="B1614" t="inlineStr">
        <is>
          <t>2016-12</t>
        </is>
      </c>
      <c r="C1614" t="n">
        <v>55090.5</v>
      </c>
      <c r="D1614" t="n">
        <v>1327052.2</v>
      </c>
      <c r="E1614">
        <f>E1613+C1614</f>
        <v/>
      </c>
      <c r="F1614">
        <f>IF(C1614&gt;0,D1614/C1614,NA())</f>
        <v/>
      </c>
    </row>
    <row r="1615">
      <c r="A1615" t="inlineStr">
        <is>
          <t>Diadema</t>
        </is>
      </c>
      <c r="B1615" t="inlineStr">
        <is>
          <t>2017-01</t>
        </is>
      </c>
      <c r="C1615" t="n">
        <v>57379.5</v>
      </c>
      <c r="D1615" t="n">
        <v>1296874.4</v>
      </c>
      <c r="E1615">
        <f>E1614+C1615</f>
        <v/>
      </c>
      <c r="F1615">
        <f>IF(C1615&gt;0,D1615/C1615,NA())</f>
        <v/>
      </c>
    </row>
    <row r="1616">
      <c r="A1616" t="inlineStr">
        <is>
          <t>Diadema</t>
        </is>
      </c>
      <c r="B1616" t="inlineStr">
        <is>
          <t>2017-02</t>
        </is>
      </c>
      <c r="C1616" t="n">
        <v>50420.9</v>
      </c>
      <c r="D1616" t="n">
        <v>1152515.3</v>
      </c>
      <c r="E1616">
        <f>E1615+C1616</f>
        <v/>
      </c>
      <c r="F1616">
        <f>IF(C1616&gt;0,D1616/C1616,NA())</f>
        <v/>
      </c>
    </row>
    <row r="1617">
      <c r="A1617" t="inlineStr">
        <is>
          <t>Diadema</t>
        </is>
      </c>
      <c r="B1617" t="inlineStr">
        <is>
          <t>2017-03</t>
        </is>
      </c>
      <c r="C1617" t="n">
        <v>52748.8</v>
      </c>
      <c r="D1617" t="n">
        <v>1247685.9</v>
      </c>
      <c r="E1617">
        <f>E1616+C1617</f>
        <v/>
      </c>
      <c r="F1617">
        <f>IF(C1617&gt;0,D1617/C1617,NA())</f>
        <v/>
      </c>
    </row>
    <row r="1618">
      <c r="A1618" t="inlineStr">
        <is>
          <t>Diadema</t>
        </is>
      </c>
      <c r="B1618" t="inlineStr">
        <is>
          <t>2017-04</t>
        </is>
      </c>
      <c r="C1618" t="n">
        <v>45516.5</v>
      </c>
      <c r="D1618" t="n">
        <v>1010583.1</v>
      </c>
      <c r="E1618">
        <f>E1617+C1618</f>
        <v/>
      </c>
      <c r="F1618">
        <f>IF(C1618&gt;0,D1618/C1618,NA())</f>
        <v/>
      </c>
    </row>
    <row r="1619">
      <c r="A1619" t="inlineStr">
        <is>
          <t>Diadema</t>
        </is>
      </c>
      <c r="B1619" t="inlineStr">
        <is>
          <t>2017-05</t>
        </is>
      </c>
      <c r="C1619" t="n">
        <v>49469.2</v>
      </c>
      <c r="D1619" t="n">
        <v>1143724.4</v>
      </c>
      <c r="E1619">
        <f>E1618+C1619</f>
        <v/>
      </c>
      <c r="F1619">
        <f>IF(C1619&gt;0,D1619/C1619,NA())</f>
        <v/>
      </c>
    </row>
    <row r="1620">
      <c r="A1620" t="inlineStr">
        <is>
          <t>Diadema</t>
        </is>
      </c>
      <c r="B1620" t="inlineStr">
        <is>
          <t>2017-06</t>
        </is>
      </c>
      <c r="C1620" t="n">
        <v>44659.2</v>
      </c>
      <c r="D1620" t="n">
        <v>1107232.5</v>
      </c>
      <c r="E1620">
        <f>E1619+C1620</f>
        <v/>
      </c>
      <c r="F1620">
        <f>IF(C1620&gt;0,D1620/C1620,NA())</f>
        <v/>
      </c>
    </row>
    <row r="1621">
      <c r="A1621" t="inlineStr">
        <is>
          <t>Diadema</t>
        </is>
      </c>
      <c r="B1621" t="inlineStr">
        <is>
          <t>2017-07</t>
        </is>
      </c>
      <c r="C1621" t="n">
        <v>51586.1</v>
      </c>
      <c r="D1621" t="n">
        <v>1270733.8</v>
      </c>
      <c r="E1621">
        <f>E1620+C1621</f>
        <v/>
      </c>
      <c r="F1621">
        <f>IF(C1621&gt;0,D1621/C1621,NA())</f>
        <v/>
      </c>
    </row>
    <row r="1622">
      <c r="A1622" t="inlineStr">
        <is>
          <t>Diadema</t>
        </is>
      </c>
      <c r="B1622" t="inlineStr">
        <is>
          <t>2017-08</t>
        </is>
      </c>
      <c r="C1622" t="n">
        <v>52530.9</v>
      </c>
      <c r="D1622" t="n">
        <v>1262688.5</v>
      </c>
      <c r="E1622">
        <f>E1621+C1622</f>
        <v/>
      </c>
      <c r="F1622">
        <f>IF(C1622&gt;0,D1622/C1622,NA())</f>
        <v/>
      </c>
    </row>
    <row r="1623">
      <c r="A1623" t="inlineStr">
        <is>
          <t>Diadema</t>
        </is>
      </c>
      <c r="B1623" t="inlineStr">
        <is>
          <t>2017-09</t>
        </is>
      </c>
      <c r="C1623" t="n">
        <v>52266</v>
      </c>
      <c r="D1623" t="n">
        <v>1242146.8</v>
      </c>
      <c r="E1623">
        <f>E1622+C1623</f>
        <v/>
      </c>
      <c r="F1623">
        <f>IF(C1623&gt;0,D1623/C1623,NA())</f>
        <v/>
      </c>
    </row>
    <row r="1624">
      <c r="A1624" t="inlineStr">
        <is>
          <t>Diadema</t>
        </is>
      </c>
      <c r="B1624" t="inlineStr">
        <is>
          <t>2017-10</t>
        </is>
      </c>
      <c r="C1624" t="n">
        <v>55607.7</v>
      </c>
      <c r="D1624" t="n">
        <v>1337713.4</v>
      </c>
      <c r="E1624">
        <f>E1623+C1624</f>
        <v/>
      </c>
      <c r="F1624">
        <f>IF(C1624&gt;0,D1624/C1624,NA())</f>
        <v/>
      </c>
    </row>
    <row r="1625">
      <c r="A1625" t="inlineStr">
        <is>
          <t>Diadema</t>
        </is>
      </c>
      <c r="B1625" t="inlineStr">
        <is>
          <t>2017-11</t>
        </is>
      </c>
      <c r="C1625" t="n">
        <v>52650.6</v>
      </c>
      <c r="D1625" t="n">
        <v>1278545.8</v>
      </c>
      <c r="E1625">
        <f>E1624+C1625</f>
        <v/>
      </c>
      <c r="F1625">
        <f>IF(C1625&gt;0,D1625/C1625,NA())</f>
        <v/>
      </c>
    </row>
    <row r="1626">
      <c r="A1626" t="inlineStr">
        <is>
          <t>Diadema</t>
        </is>
      </c>
      <c r="B1626" t="inlineStr">
        <is>
          <t>2017-12</t>
        </is>
      </c>
      <c r="C1626" t="n">
        <v>54027</v>
      </c>
      <c r="D1626" t="n">
        <v>1318978.7</v>
      </c>
      <c r="E1626">
        <f>E1625+C1626</f>
        <v/>
      </c>
      <c r="F1626">
        <f>IF(C1626&gt;0,D1626/C1626,NA())</f>
        <v/>
      </c>
    </row>
    <row r="1627">
      <c r="A1627" t="inlineStr">
        <is>
          <t>Diadema</t>
        </is>
      </c>
      <c r="B1627" t="inlineStr">
        <is>
          <t>2018-01</t>
        </is>
      </c>
      <c r="C1627" t="n">
        <v>53470</v>
      </c>
      <c r="D1627" t="n">
        <v>1317004.4</v>
      </c>
      <c r="E1627">
        <f>E1626+C1627</f>
        <v/>
      </c>
      <c r="F1627">
        <f>IF(C1627&gt;0,D1627/C1627,NA())</f>
        <v/>
      </c>
    </row>
    <row r="1628">
      <c r="A1628" t="inlineStr">
        <is>
          <t>Diadema</t>
        </is>
      </c>
      <c r="B1628" t="inlineStr">
        <is>
          <t>2018-02</t>
        </is>
      </c>
      <c r="C1628" t="n">
        <v>49420</v>
      </c>
      <c r="D1628" t="n">
        <v>1245367.7</v>
      </c>
      <c r="E1628">
        <f>E1627+C1628</f>
        <v/>
      </c>
      <c r="F1628">
        <f>IF(C1628&gt;0,D1628/C1628,NA())</f>
        <v/>
      </c>
    </row>
    <row r="1629">
      <c r="A1629" t="inlineStr">
        <is>
          <t>Diadema</t>
        </is>
      </c>
      <c r="B1629" t="inlineStr">
        <is>
          <t>2018-03</t>
        </is>
      </c>
      <c r="C1629" t="n">
        <v>55367.6</v>
      </c>
      <c r="D1629" t="n">
        <v>1351981.6</v>
      </c>
      <c r="E1629">
        <f>E1628+C1629</f>
        <v/>
      </c>
      <c r="F1629">
        <f>IF(C1629&gt;0,D1629/C1629,NA())</f>
        <v/>
      </c>
    </row>
    <row r="1630">
      <c r="A1630" t="inlineStr">
        <is>
          <t>Diadema</t>
        </is>
      </c>
      <c r="B1630" t="inlineStr">
        <is>
          <t>2018-04</t>
        </is>
      </c>
      <c r="C1630" t="n">
        <v>55573.8</v>
      </c>
      <c r="D1630" t="n">
        <v>1355188.9</v>
      </c>
      <c r="E1630">
        <f>E1629+C1630</f>
        <v/>
      </c>
      <c r="F1630">
        <f>IF(C1630&gt;0,D1630/C1630,NA())</f>
        <v/>
      </c>
    </row>
    <row r="1631">
      <c r="A1631" t="inlineStr">
        <is>
          <t>Diadema</t>
        </is>
      </c>
      <c r="B1631" t="inlineStr">
        <is>
          <t>2018-05</t>
        </is>
      </c>
      <c r="C1631" t="n">
        <v>55880.9</v>
      </c>
      <c r="D1631" t="n">
        <v>1351292.6</v>
      </c>
      <c r="E1631">
        <f>E1630+C1631</f>
        <v/>
      </c>
      <c r="F1631">
        <f>IF(C1631&gt;0,D1631/C1631,NA())</f>
        <v/>
      </c>
    </row>
    <row r="1632">
      <c r="A1632" t="inlineStr">
        <is>
          <t>Diadema</t>
        </is>
      </c>
      <c r="B1632" t="inlineStr">
        <is>
          <t>2018-06</t>
        </is>
      </c>
      <c r="C1632" t="n">
        <v>53982.9</v>
      </c>
      <c r="D1632" t="n">
        <v>1290263.7</v>
      </c>
      <c r="E1632">
        <f>E1631+C1632</f>
        <v/>
      </c>
      <c r="F1632">
        <f>IF(C1632&gt;0,D1632/C1632,NA())</f>
        <v/>
      </c>
    </row>
    <row r="1633">
      <c r="A1633" t="inlineStr">
        <is>
          <t>Diadema</t>
        </is>
      </c>
      <c r="B1633" t="inlineStr">
        <is>
          <t>2018-07</t>
        </is>
      </c>
      <c r="C1633" t="n">
        <v>56188.7</v>
      </c>
      <c r="D1633" t="n">
        <v>1332541.8</v>
      </c>
      <c r="E1633">
        <f>E1632+C1633</f>
        <v/>
      </c>
      <c r="F1633">
        <f>IF(C1633&gt;0,D1633/C1633,NA())</f>
        <v/>
      </c>
    </row>
    <row r="1634">
      <c r="A1634" t="inlineStr">
        <is>
          <t>Diadema</t>
        </is>
      </c>
      <c r="B1634" t="inlineStr">
        <is>
          <t>2018-08</t>
        </is>
      </c>
      <c r="C1634" t="n">
        <v>57158.9</v>
      </c>
      <c r="D1634" t="n">
        <v>1341589.7</v>
      </c>
      <c r="E1634">
        <f>E1633+C1634</f>
        <v/>
      </c>
      <c r="F1634">
        <f>IF(C1634&gt;0,D1634/C1634,NA())</f>
        <v/>
      </c>
    </row>
    <row r="1635">
      <c r="A1635" t="inlineStr">
        <is>
          <t>Diadema</t>
        </is>
      </c>
      <c r="B1635" t="inlineStr">
        <is>
          <t>2018-09</t>
        </is>
      </c>
      <c r="C1635" t="n">
        <v>56270</v>
      </c>
      <c r="D1635" t="n">
        <v>1297347.5</v>
      </c>
      <c r="E1635">
        <f>E1634+C1635</f>
        <v/>
      </c>
      <c r="F1635">
        <f>IF(C1635&gt;0,D1635/C1635,NA())</f>
        <v/>
      </c>
    </row>
    <row r="1636">
      <c r="A1636" t="inlineStr">
        <is>
          <t>Diadema</t>
        </is>
      </c>
      <c r="B1636" t="inlineStr">
        <is>
          <t>2018-10</t>
        </is>
      </c>
      <c r="C1636" t="n">
        <v>56972.1</v>
      </c>
      <c r="D1636" t="n">
        <v>1325283.9</v>
      </c>
      <c r="E1636">
        <f>E1635+C1636</f>
        <v/>
      </c>
      <c r="F1636">
        <f>IF(C1636&gt;0,D1636/C1636,NA())</f>
        <v/>
      </c>
    </row>
    <row r="1637">
      <c r="A1637" t="inlineStr">
        <is>
          <t>Diadema</t>
        </is>
      </c>
      <c r="B1637" t="inlineStr">
        <is>
          <t>2018-11</t>
        </is>
      </c>
      <c r="C1637" t="n">
        <v>55395.7</v>
      </c>
      <c r="D1637" t="n">
        <v>1327273.7</v>
      </c>
      <c r="E1637">
        <f>E1636+C1637</f>
        <v/>
      </c>
      <c r="F1637">
        <f>IF(C1637&gt;0,D1637/C1637,NA())</f>
        <v/>
      </c>
    </row>
    <row r="1638">
      <c r="A1638" t="inlineStr">
        <is>
          <t>Diadema</t>
        </is>
      </c>
      <c r="B1638" t="inlineStr">
        <is>
          <t>2018-12</t>
        </is>
      </c>
      <c r="C1638" t="n">
        <v>57863.5</v>
      </c>
      <c r="D1638" t="n">
        <v>1386250.4</v>
      </c>
      <c r="E1638">
        <f>E1637+C1638</f>
        <v/>
      </c>
      <c r="F1638">
        <f>IF(C1638&gt;0,D1638/C1638,NA())</f>
        <v/>
      </c>
    </row>
    <row r="1639">
      <c r="A1639" t="inlineStr">
        <is>
          <t>Diadema</t>
        </is>
      </c>
      <c r="B1639" t="inlineStr">
        <is>
          <t>2019-01</t>
        </is>
      </c>
      <c r="C1639" t="n">
        <v>56959</v>
      </c>
      <c r="D1639" t="n">
        <v>1366221.1</v>
      </c>
      <c r="E1639">
        <f>E1638+C1639</f>
        <v/>
      </c>
      <c r="F1639">
        <f>IF(C1639&gt;0,D1639/C1639,NA())</f>
        <v/>
      </c>
    </row>
    <row r="1640">
      <c r="A1640" t="inlineStr">
        <is>
          <t>Diadema</t>
        </is>
      </c>
      <c r="B1640" t="inlineStr">
        <is>
          <t>2019-02</t>
        </is>
      </c>
      <c r="C1640" t="n">
        <v>53964.4</v>
      </c>
      <c r="D1640" t="n">
        <v>1278990.2</v>
      </c>
      <c r="E1640">
        <f>E1639+C1640</f>
        <v/>
      </c>
      <c r="F1640">
        <f>IF(C1640&gt;0,D1640/C1640,NA())</f>
        <v/>
      </c>
    </row>
    <row r="1641">
      <c r="A1641" t="inlineStr">
        <is>
          <t>Diadema</t>
        </is>
      </c>
      <c r="B1641" t="inlineStr">
        <is>
          <t>2019-03</t>
        </is>
      </c>
      <c r="C1641" t="n">
        <v>59832.9</v>
      </c>
      <c r="D1641" t="n">
        <v>1369662</v>
      </c>
      <c r="E1641">
        <f>E1640+C1641</f>
        <v/>
      </c>
      <c r="F1641">
        <f>IF(C1641&gt;0,D1641/C1641,NA())</f>
        <v/>
      </c>
    </row>
    <row r="1642">
      <c r="A1642" t="inlineStr">
        <is>
          <t>Diadema</t>
        </is>
      </c>
      <c r="B1642" t="inlineStr">
        <is>
          <t>2019-04</t>
        </is>
      </c>
      <c r="C1642" t="n">
        <v>57485.5</v>
      </c>
      <c r="D1642" t="n">
        <v>1303815.4</v>
      </c>
      <c r="E1642">
        <f>E1641+C1642</f>
        <v/>
      </c>
      <c r="F1642">
        <f>IF(C1642&gt;0,D1642/C1642,NA())</f>
        <v/>
      </c>
    </row>
    <row r="1643">
      <c r="A1643" t="inlineStr">
        <is>
          <t>Diadema</t>
        </is>
      </c>
      <c r="B1643" t="inlineStr">
        <is>
          <t>2019-05</t>
        </is>
      </c>
      <c r="C1643" t="n">
        <v>59263.6</v>
      </c>
      <c r="D1643" t="n">
        <v>1368639.1</v>
      </c>
      <c r="E1643">
        <f>E1642+C1643</f>
        <v/>
      </c>
      <c r="F1643">
        <f>IF(C1643&gt;0,D1643/C1643,NA())</f>
        <v/>
      </c>
    </row>
    <row r="1644">
      <c r="A1644" t="inlineStr">
        <is>
          <t>Diadema</t>
        </is>
      </c>
      <c r="B1644" t="inlineStr">
        <is>
          <t>2019-06</t>
        </is>
      </c>
      <c r="C1644" t="n">
        <v>54460.8</v>
      </c>
      <c r="D1644" t="n">
        <v>1264867.1</v>
      </c>
      <c r="E1644">
        <f>E1643+C1644</f>
        <v/>
      </c>
      <c r="F1644">
        <f>IF(C1644&gt;0,D1644/C1644,NA())</f>
        <v/>
      </c>
    </row>
    <row r="1645">
      <c r="A1645" t="inlineStr">
        <is>
          <t>Diadema</t>
        </is>
      </c>
      <c r="B1645" t="inlineStr">
        <is>
          <t>2019-07</t>
        </is>
      </c>
      <c r="C1645" t="n">
        <v>56824.5</v>
      </c>
      <c r="D1645" t="n">
        <v>1345464.6</v>
      </c>
      <c r="E1645">
        <f>E1644+C1645</f>
        <v/>
      </c>
      <c r="F1645">
        <f>IF(C1645&gt;0,D1645/C1645,NA())</f>
        <v/>
      </c>
    </row>
    <row r="1646">
      <c r="A1646" t="inlineStr">
        <is>
          <t>Diadema</t>
        </is>
      </c>
      <c r="B1646" t="inlineStr">
        <is>
          <t>2019-08</t>
        </is>
      </c>
      <c r="C1646" t="n">
        <v>57258.6</v>
      </c>
      <c r="D1646" t="n">
        <v>1336621.4</v>
      </c>
      <c r="E1646">
        <f>E1645+C1646</f>
        <v/>
      </c>
      <c r="F1646">
        <f>IF(C1646&gt;0,D1646/C1646,NA())</f>
        <v/>
      </c>
    </row>
    <row r="1647">
      <c r="A1647" t="inlineStr">
        <is>
          <t>Diadema</t>
        </is>
      </c>
      <c r="B1647" t="inlineStr">
        <is>
          <t>2019-09</t>
        </is>
      </c>
      <c r="C1647" t="n">
        <v>54885</v>
      </c>
      <c r="D1647" t="n">
        <v>1238233.3</v>
      </c>
      <c r="E1647">
        <f>E1646+C1647</f>
        <v/>
      </c>
      <c r="F1647">
        <f>IF(C1647&gt;0,D1647/C1647,NA())</f>
        <v/>
      </c>
    </row>
    <row r="1648">
      <c r="A1648" t="inlineStr">
        <is>
          <t>Diadema</t>
        </is>
      </c>
      <c r="B1648" t="inlineStr">
        <is>
          <t>2019-10</t>
        </is>
      </c>
      <c r="C1648" t="n">
        <v>57069.6</v>
      </c>
      <c r="D1648" t="n">
        <v>1281307.5</v>
      </c>
      <c r="E1648">
        <f>E1647+C1648</f>
        <v/>
      </c>
      <c r="F1648">
        <f>IF(C1648&gt;0,D1648/C1648,NA())</f>
        <v/>
      </c>
    </row>
    <row r="1649">
      <c r="A1649" t="inlineStr">
        <is>
          <t>Diadema</t>
        </is>
      </c>
      <c r="B1649" t="inlineStr">
        <is>
          <t>2019-11</t>
        </is>
      </c>
      <c r="C1649" t="n">
        <v>55719.6</v>
      </c>
      <c r="D1649" t="n">
        <v>1228372.1</v>
      </c>
      <c r="E1649">
        <f>E1648+C1649</f>
        <v/>
      </c>
      <c r="F1649">
        <f>IF(C1649&gt;0,D1649/C1649,NA())</f>
        <v/>
      </c>
    </row>
    <row r="1650">
      <c r="A1650" t="inlineStr">
        <is>
          <t>Diadema</t>
        </is>
      </c>
      <c r="B1650" t="inlineStr">
        <is>
          <t>2019-12</t>
        </is>
      </c>
      <c r="C1650" t="n">
        <v>58258.5</v>
      </c>
      <c r="D1650" t="n">
        <v>1255914.8</v>
      </c>
      <c r="E1650">
        <f>E1649+C1650</f>
        <v/>
      </c>
      <c r="F1650">
        <f>IF(C1650&gt;0,D1650/C1650,NA())</f>
        <v/>
      </c>
    </row>
    <row r="1651">
      <c r="A1651" t="inlineStr">
        <is>
          <t>Diadema</t>
        </is>
      </c>
      <c r="B1651" t="inlineStr">
        <is>
          <t>2020-01</t>
        </is>
      </c>
      <c r="C1651" t="n">
        <v>56619.7</v>
      </c>
      <c r="D1651" t="n">
        <v>1255204.5</v>
      </c>
      <c r="E1651">
        <f>E1650+C1651</f>
        <v/>
      </c>
      <c r="F1651">
        <f>IF(C1651&gt;0,D1651/C1651,NA())</f>
        <v/>
      </c>
    </row>
    <row r="1652">
      <c r="A1652" t="inlineStr">
        <is>
          <t>Diadema</t>
        </is>
      </c>
      <c r="B1652" t="inlineStr">
        <is>
          <t>2020-02</t>
        </is>
      </c>
      <c r="C1652" t="n">
        <v>54200.7</v>
      </c>
      <c r="D1652" t="n">
        <v>1178795</v>
      </c>
      <c r="E1652">
        <f>E1651+C1652</f>
        <v/>
      </c>
      <c r="F1652">
        <f>IF(C1652&gt;0,D1652/C1652,NA())</f>
        <v/>
      </c>
    </row>
    <row r="1653">
      <c r="A1653" t="inlineStr">
        <is>
          <t>Diadema</t>
        </is>
      </c>
      <c r="B1653" t="inlineStr">
        <is>
          <t>2020-03</t>
        </is>
      </c>
      <c r="C1653" t="n">
        <v>57864.7</v>
      </c>
      <c r="D1653" t="n">
        <v>1303664.9</v>
      </c>
      <c r="E1653">
        <f>E1652+C1653</f>
        <v/>
      </c>
      <c r="F1653">
        <f>IF(C1653&gt;0,D1653/C1653,NA())</f>
        <v/>
      </c>
    </row>
    <row r="1654">
      <c r="A1654" t="inlineStr">
        <is>
          <t>Diadema</t>
        </is>
      </c>
      <c r="B1654" t="inlineStr">
        <is>
          <t>2020-04</t>
        </is>
      </c>
      <c r="C1654" t="n">
        <v>54517.5</v>
      </c>
      <c r="D1654" t="n">
        <v>1234318.4</v>
      </c>
      <c r="E1654">
        <f>E1653+C1654</f>
        <v/>
      </c>
      <c r="F1654">
        <f>IF(C1654&gt;0,D1654/C1654,NA())</f>
        <v/>
      </c>
    </row>
    <row r="1655">
      <c r="A1655" t="inlineStr">
        <is>
          <t>Diadema</t>
        </is>
      </c>
      <c r="B1655" t="inlineStr">
        <is>
          <t>2020-05</t>
        </is>
      </c>
      <c r="C1655" t="n">
        <v>52901.3</v>
      </c>
      <c r="D1655" t="n">
        <v>1185422.3</v>
      </c>
      <c r="E1655">
        <f>E1654+C1655</f>
        <v/>
      </c>
      <c r="F1655">
        <f>IF(C1655&gt;0,D1655/C1655,NA())</f>
        <v/>
      </c>
    </row>
    <row r="1656">
      <c r="A1656" t="inlineStr">
        <is>
          <t>Diadema</t>
        </is>
      </c>
      <c r="B1656" t="inlineStr">
        <is>
          <t>2020-06</t>
        </is>
      </c>
      <c r="C1656" t="n">
        <v>52835.3</v>
      </c>
      <c r="D1656" t="n">
        <v>1132462.2</v>
      </c>
      <c r="E1656">
        <f>E1655+C1656</f>
        <v/>
      </c>
      <c r="F1656">
        <f>IF(C1656&gt;0,D1656/C1656,NA())</f>
        <v/>
      </c>
    </row>
    <row r="1657">
      <c r="A1657" t="inlineStr">
        <is>
          <t>Diadema</t>
        </is>
      </c>
      <c r="B1657" t="inlineStr">
        <is>
          <t>2020-07</t>
        </is>
      </c>
      <c r="C1657" t="n">
        <v>52424.6</v>
      </c>
      <c r="D1657" t="n">
        <v>1210018.3</v>
      </c>
      <c r="E1657">
        <f>E1656+C1657</f>
        <v/>
      </c>
      <c r="F1657">
        <f>IF(C1657&gt;0,D1657/C1657,NA())</f>
        <v/>
      </c>
    </row>
    <row r="1658">
      <c r="A1658" t="inlineStr">
        <is>
          <t>Diadema</t>
        </is>
      </c>
      <c r="B1658" t="inlineStr">
        <is>
          <t>2020-08</t>
        </is>
      </c>
      <c r="C1658" t="n">
        <v>51201.8</v>
      </c>
      <c r="D1658" t="n">
        <v>1165328.1</v>
      </c>
      <c r="E1658">
        <f>E1657+C1658</f>
        <v/>
      </c>
      <c r="F1658">
        <f>IF(C1658&gt;0,D1658/C1658,NA())</f>
        <v/>
      </c>
    </row>
    <row r="1659">
      <c r="A1659" t="inlineStr">
        <is>
          <t>Diadema</t>
        </is>
      </c>
      <c r="B1659" t="inlineStr">
        <is>
          <t>2020-09</t>
        </is>
      </c>
      <c r="C1659" t="n">
        <v>47986.2</v>
      </c>
      <c r="D1659" t="n">
        <v>1208768</v>
      </c>
      <c r="E1659">
        <f>E1658+C1659</f>
        <v/>
      </c>
      <c r="F1659">
        <f>IF(C1659&gt;0,D1659/C1659,NA())</f>
        <v/>
      </c>
    </row>
    <row r="1660">
      <c r="A1660" t="inlineStr">
        <is>
          <t>Diadema</t>
        </is>
      </c>
      <c r="B1660" t="inlineStr">
        <is>
          <t>2020-10</t>
        </is>
      </c>
      <c r="C1660" t="n">
        <v>49753.3</v>
      </c>
      <c r="D1660" t="n">
        <v>1235904.1</v>
      </c>
      <c r="E1660">
        <f>E1659+C1660</f>
        <v/>
      </c>
      <c r="F1660">
        <f>IF(C1660&gt;0,D1660/C1660,NA())</f>
        <v/>
      </c>
    </row>
    <row r="1661">
      <c r="A1661" t="inlineStr">
        <is>
          <t>Diadema</t>
        </is>
      </c>
      <c r="B1661" t="inlineStr">
        <is>
          <t>2020-11</t>
        </is>
      </c>
      <c r="C1661" t="n">
        <v>49264.3</v>
      </c>
      <c r="D1661" t="n">
        <v>1232137.6</v>
      </c>
      <c r="E1661">
        <f>E1660+C1661</f>
        <v/>
      </c>
      <c r="F1661">
        <f>IF(C1661&gt;0,D1661/C1661,NA())</f>
        <v/>
      </c>
    </row>
    <row r="1662">
      <c r="A1662" t="inlineStr">
        <is>
          <t>Diadema</t>
        </is>
      </c>
      <c r="B1662" t="inlineStr">
        <is>
          <t>2020-12</t>
        </is>
      </c>
      <c r="C1662" t="n">
        <v>50979.6</v>
      </c>
      <c r="D1662" t="n">
        <v>1288201</v>
      </c>
      <c r="E1662">
        <f>E1661+C1662</f>
        <v/>
      </c>
      <c r="F1662">
        <f>IF(C1662&gt;0,D1662/C1662,NA())</f>
        <v/>
      </c>
    </row>
    <row r="1663">
      <c r="A1663" t="inlineStr">
        <is>
          <t>Diadema</t>
        </is>
      </c>
      <c r="B1663" t="inlineStr">
        <is>
          <t>2021-01</t>
        </is>
      </c>
      <c r="C1663" t="n">
        <v>51856.4</v>
      </c>
      <c r="D1663" t="n">
        <v>1295003.6</v>
      </c>
      <c r="E1663">
        <f>E1662+C1663</f>
        <v/>
      </c>
      <c r="F1663">
        <f>IF(C1663&gt;0,D1663/C1663,NA())</f>
        <v/>
      </c>
    </row>
    <row r="1664">
      <c r="A1664" t="inlineStr">
        <is>
          <t>Diadema</t>
        </is>
      </c>
      <c r="B1664" t="inlineStr">
        <is>
          <t>2021-02</t>
        </is>
      </c>
      <c r="C1664" t="n">
        <v>47364.2</v>
      </c>
      <c r="D1664" t="n">
        <v>1148436.4</v>
      </c>
      <c r="E1664">
        <f>E1663+C1664</f>
        <v/>
      </c>
      <c r="F1664">
        <f>IF(C1664&gt;0,D1664/C1664,NA())</f>
        <v/>
      </c>
    </row>
    <row r="1665">
      <c r="A1665" t="inlineStr">
        <is>
          <t>Diadema</t>
        </is>
      </c>
      <c r="B1665" t="inlineStr">
        <is>
          <t>2021-03</t>
        </is>
      </c>
      <c r="C1665" t="n">
        <v>51047.1</v>
      </c>
      <c r="D1665" t="n">
        <v>1287661.7</v>
      </c>
      <c r="E1665">
        <f>E1664+C1665</f>
        <v/>
      </c>
      <c r="F1665">
        <f>IF(C1665&gt;0,D1665/C1665,NA())</f>
        <v/>
      </c>
    </row>
    <row r="1666">
      <c r="A1666" t="inlineStr">
        <is>
          <t>Diadema</t>
        </is>
      </c>
      <c r="B1666" t="inlineStr">
        <is>
          <t>2021-04</t>
        </is>
      </c>
      <c r="C1666" t="n">
        <v>50666</v>
      </c>
      <c r="D1666" t="n">
        <v>1246884.2</v>
      </c>
      <c r="E1666">
        <f>E1665+C1666</f>
        <v/>
      </c>
      <c r="F1666">
        <f>IF(C1666&gt;0,D1666/C1666,NA())</f>
        <v/>
      </c>
    </row>
    <row r="1667">
      <c r="A1667" t="inlineStr">
        <is>
          <t>Diadema</t>
        </is>
      </c>
      <c r="B1667" t="inlineStr">
        <is>
          <t>2021-05</t>
        </is>
      </c>
      <c r="C1667" t="n">
        <v>53130.4</v>
      </c>
      <c r="D1667" t="n">
        <v>1308883.3</v>
      </c>
      <c r="E1667">
        <f>E1666+C1667</f>
        <v/>
      </c>
      <c r="F1667">
        <f>IF(C1667&gt;0,D1667/C1667,NA())</f>
        <v/>
      </c>
    </row>
    <row r="1668">
      <c r="A1668" t="inlineStr">
        <is>
          <t>Diadema</t>
        </is>
      </c>
      <c r="B1668" t="inlineStr">
        <is>
          <t>2021-06</t>
        </is>
      </c>
      <c r="C1668" t="n">
        <v>51293.4</v>
      </c>
      <c r="D1668" t="n">
        <v>1260212.1</v>
      </c>
      <c r="E1668">
        <f>E1667+C1668</f>
        <v/>
      </c>
      <c r="F1668">
        <f>IF(C1668&gt;0,D1668/C1668,NA())</f>
        <v/>
      </c>
    </row>
    <row r="1669">
      <c r="A1669" t="inlineStr">
        <is>
          <t>Diadema</t>
        </is>
      </c>
      <c r="B1669" t="inlineStr">
        <is>
          <t>2021-07</t>
        </is>
      </c>
      <c r="C1669" t="n">
        <v>51729.2</v>
      </c>
      <c r="D1669" t="n">
        <v>1310756.7</v>
      </c>
      <c r="E1669">
        <f>E1668+C1669</f>
        <v/>
      </c>
      <c r="F1669">
        <f>IF(C1669&gt;0,D1669/C1669,NA())</f>
        <v/>
      </c>
    </row>
    <row r="1670">
      <c r="A1670" t="inlineStr">
        <is>
          <t>Diadema</t>
        </is>
      </c>
      <c r="B1670" t="inlineStr">
        <is>
          <t>2021-08</t>
        </is>
      </c>
      <c r="C1670" t="n">
        <v>52294.9</v>
      </c>
      <c r="D1670" t="n">
        <v>1308883.2</v>
      </c>
      <c r="E1670">
        <f>E1669+C1670</f>
        <v/>
      </c>
      <c r="F1670">
        <f>IF(C1670&gt;0,D1670/C1670,NA())</f>
        <v/>
      </c>
    </row>
    <row r="1671">
      <c r="A1671" t="inlineStr">
        <is>
          <t>Diadema</t>
        </is>
      </c>
      <c r="B1671" t="inlineStr">
        <is>
          <t>2021-09</t>
        </is>
      </c>
      <c r="C1671" t="n">
        <v>51217.1</v>
      </c>
      <c r="D1671" t="n">
        <v>1271045.2</v>
      </c>
      <c r="E1671">
        <f>E1670+C1671</f>
        <v/>
      </c>
      <c r="F1671">
        <f>IF(C1671&gt;0,D1671/C1671,NA())</f>
        <v/>
      </c>
    </row>
    <row r="1672">
      <c r="A1672" t="inlineStr">
        <is>
          <t>Diadema</t>
        </is>
      </c>
      <c r="B1672" t="inlineStr">
        <is>
          <t>2021-10</t>
        </is>
      </c>
      <c r="C1672" t="n">
        <v>51951.4</v>
      </c>
      <c r="D1672" t="n">
        <v>1324976.4</v>
      </c>
      <c r="E1672">
        <f>E1671+C1672</f>
        <v/>
      </c>
      <c r="F1672">
        <f>IF(C1672&gt;0,D1672/C1672,NA())</f>
        <v/>
      </c>
    </row>
    <row r="1673">
      <c r="A1673" t="inlineStr">
        <is>
          <t>Diadema</t>
        </is>
      </c>
      <c r="B1673" t="inlineStr">
        <is>
          <t>2021-11</t>
        </is>
      </c>
      <c r="C1673" t="n">
        <v>51728.9</v>
      </c>
      <c r="D1673" t="n">
        <v>1332950.8</v>
      </c>
      <c r="E1673">
        <f>E1672+C1673</f>
        <v/>
      </c>
      <c r="F1673">
        <f>IF(C1673&gt;0,D1673/C1673,NA())</f>
        <v/>
      </c>
    </row>
    <row r="1674">
      <c r="A1674" t="inlineStr">
        <is>
          <t>Diadema</t>
        </is>
      </c>
      <c r="B1674" t="inlineStr">
        <is>
          <t>2021-12</t>
        </is>
      </c>
      <c r="C1674" t="n">
        <v>53061.5</v>
      </c>
      <c r="D1674" t="n">
        <v>1394260.4</v>
      </c>
      <c r="E1674">
        <f>E1673+C1674</f>
        <v/>
      </c>
      <c r="F1674">
        <f>IF(C1674&gt;0,D1674/C1674,NA())</f>
        <v/>
      </c>
    </row>
    <row r="1675">
      <c r="A1675" t="inlineStr">
        <is>
          <t>Diadema</t>
        </is>
      </c>
      <c r="B1675" t="inlineStr">
        <is>
          <t>2022-01</t>
        </is>
      </c>
      <c r="C1675" t="n">
        <v>53200.8</v>
      </c>
      <c r="D1675" t="n">
        <v>1390334.5</v>
      </c>
      <c r="E1675">
        <f>E1674+C1675</f>
        <v/>
      </c>
      <c r="F1675">
        <f>IF(C1675&gt;0,D1675/C1675,NA())</f>
        <v/>
      </c>
    </row>
    <row r="1676">
      <c r="A1676" t="inlineStr">
        <is>
          <t>Diadema</t>
        </is>
      </c>
      <c r="B1676" t="inlineStr">
        <is>
          <t>2022-02</t>
        </is>
      </c>
      <c r="C1676" t="n">
        <v>48147.4</v>
      </c>
      <c r="D1676" t="n">
        <v>1272957.2</v>
      </c>
      <c r="E1676">
        <f>E1675+C1676</f>
        <v/>
      </c>
      <c r="F1676">
        <f>IF(C1676&gt;0,D1676/C1676,NA())</f>
        <v/>
      </c>
    </row>
    <row r="1677">
      <c r="A1677" t="inlineStr">
        <is>
          <t>Diadema</t>
        </is>
      </c>
      <c r="B1677" t="inlineStr">
        <is>
          <t>2022-03</t>
        </is>
      </c>
      <c r="C1677" t="n">
        <v>52388.6</v>
      </c>
      <c r="D1677" t="n">
        <v>1387394.2</v>
      </c>
      <c r="E1677">
        <f>E1676+C1677</f>
        <v/>
      </c>
      <c r="F1677">
        <f>IF(C1677&gt;0,D1677/C1677,NA())</f>
        <v/>
      </c>
    </row>
    <row r="1678">
      <c r="A1678" t="inlineStr">
        <is>
          <t>Diadema</t>
        </is>
      </c>
      <c r="B1678" t="inlineStr">
        <is>
          <t>2022-04</t>
        </is>
      </c>
      <c r="C1678" t="n">
        <v>50589.4</v>
      </c>
      <c r="D1678" t="n">
        <v>1368842.1</v>
      </c>
      <c r="E1678">
        <f>E1677+C1678</f>
        <v/>
      </c>
      <c r="F1678">
        <f>IF(C1678&gt;0,D1678/C1678,NA())</f>
        <v/>
      </c>
    </row>
    <row r="1679">
      <c r="A1679" t="inlineStr">
        <is>
          <t>Diadema</t>
        </is>
      </c>
      <c r="B1679" t="inlineStr">
        <is>
          <t>2022-05</t>
        </is>
      </c>
      <c r="C1679" t="n">
        <v>52027.4</v>
      </c>
      <c r="D1679" t="n">
        <v>1391744.9</v>
      </c>
      <c r="E1679">
        <f>E1678+C1679</f>
        <v/>
      </c>
      <c r="F1679">
        <f>IF(C1679&gt;0,D1679/C1679,NA())</f>
        <v/>
      </c>
    </row>
    <row r="1680">
      <c r="A1680" t="inlineStr">
        <is>
          <t>Diadema</t>
        </is>
      </c>
      <c r="B1680" t="inlineStr">
        <is>
          <t>2022-06</t>
        </is>
      </c>
      <c r="C1680" t="n">
        <v>50671.3</v>
      </c>
      <c r="D1680" t="n">
        <v>1344128.4</v>
      </c>
      <c r="E1680">
        <f>E1679+C1680</f>
        <v/>
      </c>
      <c r="F1680">
        <f>IF(C1680&gt;0,D1680/C1680,NA())</f>
        <v/>
      </c>
    </row>
    <row r="1681">
      <c r="A1681" t="inlineStr">
        <is>
          <t>Diadema</t>
        </is>
      </c>
      <c r="B1681" t="inlineStr">
        <is>
          <t>2022-07</t>
        </is>
      </c>
      <c r="C1681" t="n">
        <v>52468.6</v>
      </c>
      <c r="D1681" t="n">
        <v>1357594.7</v>
      </c>
      <c r="E1681">
        <f>E1680+C1681</f>
        <v/>
      </c>
      <c r="F1681">
        <f>IF(C1681&gt;0,D1681/C1681,NA())</f>
        <v/>
      </c>
    </row>
    <row r="1682">
      <c r="A1682" t="inlineStr">
        <is>
          <t>Diadema</t>
        </is>
      </c>
      <c r="B1682" t="inlineStr">
        <is>
          <t>2022-08</t>
        </is>
      </c>
      <c r="C1682" t="n">
        <v>52302.1</v>
      </c>
      <c r="D1682" t="n">
        <v>1367738.7</v>
      </c>
      <c r="E1682">
        <f>E1681+C1682</f>
        <v/>
      </c>
      <c r="F1682">
        <f>IF(C1682&gt;0,D1682/C1682,NA())</f>
        <v/>
      </c>
    </row>
    <row r="1683">
      <c r="A1683" t="inlineStr">
        <is>
          <t>Diadema</t>
        </is>
      </c>
      <c r="B1683" t="inlineStr">
        <is>
          <t>2022-09</t>
        </is>
      </c>
      <c r="C1683" t="n">
        <v>52378.8</v>
      </c>
      <c r="D1683" t="n">
        <v>1313538.5</v>
      </c>
      <c r="E1683">
        <f>E1682+C1683</f>
        <v/>
      </c>
      <c r="F1683">
        <f>IF(C1683&gt;0,D1683/C1683,NA())</f>
        <v/>
      </c>
    </row>
    <row r="1684">
      <c r="A1684" t="inlineStr">
        <is>
          <t>Diadema</t>
        </is>
      </c>
      <c r="B1684" t="inlineStr">
        <is>
          <t>2022-10</t>
        </is>
      </c>
      <c r="C1684" t="n">
        <v>58101.1</v>
      </c>
      <c r="D1684" t="n">
        <v>1376881.7</v>
      </c>
      <c r="E1684">
        <f>E1683+C1684</f>
        <v/>
      </c>
      <c r="F1684">
        <f>IF(C1684&gt;0,D1684/C1684,NA())</f>
        <v/>
      </c>
    </row>
    <row r="1685">
      <c r="A1685" t="inlineStr">
        <is>
          <t>Diadema</t>
        </is>
      </c>
      <c r="B1685" t="inlineStr">
        <is>
          <t>2022-11</t>
        </is>
      </c>
      <c r="C1685" t="n">
        <v>54917.9</v>
      </c>
      <c r="D1685" t="n">
        <v>1335909.6</v>
      </c>
      <c r="E1685">
        <f>E1684+C1685</f>
        <v/>
      </c>
      <c r="F1685">
        <f>IF(C1685&gt;0,D1685/C1685,NA())</f>
        <v/>
      </c>
    </row>
    <row r="1686">
      <c r="A1686" t="inlineStr">
        <is>
          <t>Diadema</t>
        </is>
      </c>
      <c r="B1686" t="inlineStr">
        <is>
          <t>2022-12</t>
        </is>
      </c>
      <c r="C1686" t="n">
        <v>57429.9</v>
      </c>
      <c r="D1686" t="n">
        <v>1361333.8</v>
      </c>
      <c r="E1686">
        <f>E1685+C1686</f>
        <v/>
      </c>
      <c r="F1686">
        <f>IF(C1686&gt;0,D1686/C1686,NA())</f>
        <v/>
      </c>
    </row>
    <row r="1687">
      <c r="A1687" t="inlineStr">
        <is>
          <t>Diadema</t>
        </is>
      </c>
      <c r="B1687" t="inlineStr">
        <is>
          <t>2023-01</t>
        </is>
      </c>
      <c r="C1687" t="n">
        <v>55508.5</v>
      </c>
      <c r="D1687" t="n">
        <v>1352679.9</v>
      </c>
      <c r="E1687">
        <f>E1686+C1687</f>
        <v/>
      </c>
      <c r="F1687">
        <f>IF(C1687&gt;0,D1687/C1687,NA())</f>
        <v/>
      </c>
    </row>
    <row r="1688">
      <c r="A1688" t="inlineStr">
        <is>
          <t>Diadema</t>
        </is>
      </c>
      <c r="B1688" t="inlineStr">
        <is>
          <t>2023-02</t>
        </is>
      </c>
      <c r="C1688" t="n">
        <v>47911.6</v>
      </c>
      <c r="D1688" t="n">
        <v>1210018.8</v>
      </c>
      <c r="E1688">
        <f>E1687+C1688</f>
        <v/>
      </c>
      <c r="F1688">
        <f>IF(C1688&gt;0,D1688/C1688,NA())</f>
        <v/>
      </c>
    </row>
    <row r="1689">
      <c r="A1689" t="inlineStr">
        <is>
          <t>Diadema</t>
        </is>
      </c>
      <c r="B1689" t="inlineStr">
        <is>
          <t>2023-03</t>
        </is>
      </c>
      <c r="C1689" t="n">
        <v>50951.9</v>
      </c>
      <c r="D1689" t="n">
        <v>1330079.4</v>
      </c>
      <c r="E1689">
        <f>E1688+C1689</f>
        <v/>
      </c>
      <c r="F1689">
        <f>IF(C1689&gt;0,D1689/C1689,NA())</f>
        <v/>
      </c>
    </row>
    <row r="1690">
      <c r="A1690" t="inlineStr">
        <is>
          <t>Diadema</t>
        </is>
      </c>
      <c r="B1690" t="inlineStr">
        <is>
          <t>2023-04</t>
        </is>
      </c>
      <c r="C1690" t="n">
        <v>51462.4</v>
      </c>
      <c r="D1690" t="n">
        <v>1308134.9</v>
      </c>
      <c r="E1690">
        <f>E1689+C1690</f>
        <v/>
      </c>
      <c r="F1690">
        <f>IF(C1690&gt;0,D1690/C1690,NA())</f>
        <v/>
      </c>
    </row>
    <row r="1691">
      <c r="A1691" t="inlineStr">
        <is>
          <t>Diadema</t>
        </is>
      </c>
      <c r="B1691" t="inlineStr">
        <is>
          <t>2023-05</t>
        </is>
      </c>
      <c r="C1691" t="n">
        <v>53900.3</v>
      </c>
      <c r="D1691" t="n">
        <v>1373320</v>
      </c>
      <c r="E1691">
        <f>E1690+C1691</f>
        <v/>
      </c>
      <c r="F1691">
        <f>IF(C1691&gt;0,D1691/C1691,NA())</f>
        <v/>
      </c>
    </row>
    <row r="1692">
      <c r="A1692" t="inlineStr">
        <is>
          <t>Diadema</t>
        </is>
      </c>
      <c r="B1692" t="inlineStr">
        <is>
          <t>2023-06</t>
        </is>
      </c>
      <c r="C1692" t="n">
        <v>52493.6</v>
      </c>
      <c r="D1692" t="n">
        <v>1326460</v>
      </c>
      <c r="E1692">
        <f>E1691+C1692</f>
        <v/>
      </c>
      <c r="F1692">
        <f>IF(C1692&gt;0,D1692/C1692,NA())</f>
        <v/>
      </c>
    </row>
    <row r="1693">
      <c r="A1693" t="inlineStr">
        <is>
          <t>Diadema</t>
        </is>
      </c>
      <c r="B1693" t="inlineStr">
        <is>
          <t>2023-07</t>
        </is>
      </c>
      <c r="C1693" t="n">
        <v>53259</v>
      </c>
      <c r="D1693" t="n">
        <v>1322040.9</v>
      </c>
      <c r="E1693">
        <f>E1692+C1693</f>
        <v/>
      </c>
      <c r="F1693">
        <f>IF(C1693&gt;0,D1693/C1693,NA())</f>
        <v/>
      </c>
    </row>
    <row r="1694">
      <c r="A1694" t="inlineStr">
        <is>
          <t>Diadema</t>
        </is>
      </c>
      <c r="B1694" t="inlineStr">
        <is>
          <t>2023-08</t>
        </is>
      </c>
      <c r="C1694" t="n">
        <v>50081.7</v>
      </c>
      <c r="D1694" t="n">
        <v>1335801.6</v>
      </c>
      <c r="E1694">
        <f>E1693+C1694</f>
        <v/>
      </c>
      <c r="F1694">
        <f>IF(C1694&gt;0,D1694/C1694,NA())</f>
        <v/>
      </c>
    </row>
    <row r="1695">
      <c r="A1695" t="inlineStr">
        <is>
          <t>Diadema</t>
        </is>
      </c>
      <c r="B1695" t="inlineStr">
        <is>
          <t>2023-09</t>
        </is>
      </c>
      <c r="C1695" t="n">
        <v>50261</v>
      </c>
      <c r="D1695" t="n">
        <v>1298114.5</v>
      </c>
      <c r="E1695">
        <f>E1694+C1695</f>
        <v/>
      </c>
      <c r="F1695">
        <f>IF(C1695&gt;0,D1695/C1695,NA())</f>
        <v/>
      </c>
    </row>
    <row r="1696">
      <c r="A1696" t="inlineStr">
        <is>
          <t>Diadema</t>
        </is>
      </c>
      <c r="B1696" t="inlineStr">
        <is>
          <t>2023-10</t>
        </is>
      </c>
      <c r="C1696" t="n">
        <v>51674.8</v>
      </c>
      <c r="D1696" t="n">
        <v>1334426.1</v>
      </c>
      <c r="E1696">
        <f>E1695+C1696</f>
        <v/>
      </c>
      <c r="F1696">
        <f>IF(C1696&gt;0,D1696/C1696,NA())</f>
        <v/>
      </c>
    </row>
    <row r="1697">
      <c r="A1697" t="inlineStr">
        <is>
          <t>Diadema</t>
        </is>
      </c>
      <c r="B1697" t="inlineStr">
        <is>
          <t>2023-11</t>
        </is>
      </c>
      <c r="C1697" t="n">
        <v>48578.8</v>
      </c>
      <c r="D1697" t="n">
        <v>1283696.2</v>
      </c>
      <c r="E1697">
        <f>E1696+C1697</f>
        <v/>
      </c>
      <c r="F1697">
        <f>IF(C1697&gt;0,D1697/C1697,NA())</f>
        <v/>
      </c>
    </row>
    <row r="1698">
      <c r="A1698" t="inlineStr">
        <is>
          <t>Diadema</t>
        </is>
      </c>
      <c r="B1698" t="inlineStr">
        <is>
          <t>2023-12</t>
        </is>
      </c>
      <c r="C1698" t="n">
        <v>50116.1</v>
      </c>
      <c r="D1698" t="n">
        <v>1338059.6</v>
      </c>
      <c r="E1698">
        <f>E1697+C1698</f>
        <v/>
      </c>
      <c r="F1698">
        <f>IF(C1698&gt;0,D1698/C1698,NA())</f>
        <v/>
      </c>
    </row>
    <row r="1699">
      <c r="A1699" t="inlineStr">
        <is>
          <t>Diadema</t>
        </is>
      </c>
      <c r="B1699" t="inlineStr">
        <is>
          <t>2024-01</t>
        </is>
      </c>
      <c r="C1699" t="n">
        <v>52060.8</v>
      </c>
      <c r="D1699" t="n">
        <v>1339191</v>
      </c>
      <c r="E1699">
        <f>E1698+C1699</f>
        <v/>
      </c>
      <c r="F1699">
        <f>IF(C1699&gt;0,D1699/C1699,NA())</f>
        <v/>
      </c>
    </row>
    <row r="1700">
      <c r="A1700" t="inlineStr">
        <is>
          <t>Diadema</t>
        </is>
      </c>
      <c r="B1700" t="inlineStr">
        <is>
          <t>2024-02</t>
        </is>
      </c>
      <c r="C1700" t="n">
        <v>48839.7</v>
      </c>
      <c r="D1700" t="n">
        <v>1250730.9</v>
      </c>
      <c r="E1700">
        <f>E1699+C1700</f>
        <v/>
      </c>
      <c r="F1700">
        <f>IF(C1700&gt;0,D1700/C1700,NA())</f>
        <v/>
      </c>
    </row>
    <row r="1701">
      <c r="A1701" t="inlineStr">
        <is>
          <t>Diadema</t>
        </is>
      </c>
      <c r="B1701" t="inlineStr">
        <is>
          <t>2024-03</t>
        </is>
      </c>
      <c r="C1701" t="n">
        <v>49804.1</v>
      </c>
      <c r="D1701" t="n">
        <v>1311910.7</v>
      </c>
      <c r="E1701">
        <f>E1700+C1701</f>
        <v/>
      </c>
      <c r="F1701">
        <f>IF(C1701&gt;0,D1701/C1701,NA())</f>
        <v/>
      </c>
    </row>
    <row r="1702">
      <c r="A1702" t="inlineStr">
        <is>
          <t>Diadema</t>
        </is>
      </c>
      <c r="B1702" t="inlineStr">
        <is>
          <t>2024-04</t>
        </is>
      </c>
      <c r="C1702" t="n">
        <v>46725.3</v>
      </c>
      <c r="D1702" t="n">
        <v>1263465.3</v>
      </c>
      <c r="E1702">
        <f>E1701+C1702</f>
        <v/>
      </c>
      <c r="F1702">
        <f>IF(C1702&gt;0,D1702/C1702,NA())</f>
        <v/>
      </c>
    </row>
    <row r="1703">
      <c r="A1703" t="inlineStr">
        <is>
          <t>Diadema</t>
        </is>
      </c>
      <c r="B1703" t="inlineStr">
        <is>
          <t>2024-05</t>
        </is>
      </c>
      <c r="C1703" t="n">
        <v>48619.4</v>
      </c>
      <c r="D1703" t="n">
        <v>1322215.3</v>
      </c>
      <c r="E1703">
        <f>E1702+C1703</f>
        <v/>
      </c>
      <c r="F1703">
        <f>IF(C1703&gt;0,D1703/C1703,NA())</f>
        <v/>
      </c>
    </row>
    <row r="1704">
      <c r="A1704" t="inlineStr">
        <is>
          <t>Diadema</t>
        </is>
      </c>
      <c r="B1704" t="inlineStr">
        <is>
          <t>2024-06</t>
        </is>
      </c>
      <c r="C1704" t="n">
        <v>30288.3</v>
      </c>
      <c r="D1704" t="n">
        <v>795134.9</v>
      </c>
      <c r="E1704">
        <f>E1703+C1704</f>
        <v/>
      </c>
      <c r="F1704">
        <f>IF(C1704&gt;0,D1704/C1704,NA())</f>
        <v/>
      </c>
    </row>
    <row r="1705">
      <c r="A1705" t="inlineStr">
        <is>
          <t>Diadema</t>
        </is>
      </c>
      <c r="B1705" t="inlineStr">
        <is>
          <t>2024-07</t>
        </is>
      </c>
      <c r="C1705" t="n">
        <v>41800.5</v>
      </c>
      <c r="D1705" t="n">
        <v>1104603.5</v>
      </c>
      <c r="E1705">
        <f>E1704+C1705</f>
        <v/>
      </c>
      <c r="F1705">
        <f>IF(C1705&gt;0,D1705/C1705,NA())</f>
        <v/>
      </c>
    </row>
    <row r="1706">
      <c r="A1706" t="inlineStr">
        <is>
          <t>Diadema</t>
        </is>
      </c>
      <c r="B1706" t="inlineStr">
        <is>
          <t>2024-08</t>
        </is>
      </c>
      <c r="C1706" t="n">
        <v>47393.2</v>
      </c>
      <c r="D1706" t="n">
        <v>1329561.6</v>
      </c>
      <c r="E1706">
        <f>E1705+C1706</f>
        <v/>
      </c>
      <c r="F1706">
        <f>IF(C1706&gt;0,D1706/C1706,NA())</f>
        <v/>
      </c>
    </row>
    <row r="1707">
      <c r="A1707" t="inlineStr">
        <is>
          <t>Diadema</t>
        </is>
      </c>
      <c r="B1707" t="inlineStr">
        <is>
          <t>2024-09</t>
        </is>
      </c>
      <c r="C1707" t="n">
        <v>46378</v>
      </c>
      <c r="D1707" t="n">
        <v>1302458.4</v>
      </c>
      <c r="E1707">
        <f>E1706+C1707</f>
        <v/>
      </c>
      <c r="F1707">
        <f>IF(C1707&gt;0,D1707/C1707,NA())</f>
        <v/>
      </c>
    </row>
    <row r="1708">
      <c r="A1708" t="inlineStr">
        <is>
          <t>Diadema</t>
        </is>
      </c>
      <c r="B1708" t="inlineStr">
        <is>
          <t>2024-10</t>
        </is>
      </c>
      <c r="C1708" t="n">
        <v>49572.4</v>
      </c>
      <c r="D1708" t="n">
        <v>1359120.1</v>
      </c>
      <c r="E1708">
        <f>E1707+C1708</f>
        <v/>
      </c>
      <c r="F1708">
        <f>IF(C1708&gt;0,D1708/C1708,NA())</f>
        <v/>
      </c>
    </row>
    <row r="1709">
      <c r="A1709" t="inlineStr">
        <is>
          <t>Diadema</t>
        </is>
      </c>
      <c r="B1709" t="inlineStr">
        <is>
          <t>2024-11</t>
        </is>
      </c>
      <c r="C1709" t="n">
        <v>48935.5</v>
      </c>
      <c r="D1709" t="n">
        <v>1274158.1</v>
      </c>
      <c r="E1709">
        <f>E1708+C1709</f>
        <v/>
      </c>
      <c r="F1709">
        <f>IF(C1709&gt;0,D1709/C1709,NA())</f>
        <v/>
      </c>
    </row>
    <row r="1710">
      <c r="A1710" t="inlineStr">
        <is>
          <t>Diadema</t>
        </is>
      </c>
      <c r="B1710" t="inlineStr">
        <is>
          <t>2024-12</t>
        </is>
      </c>
      <c r="C1710" t="n">
        <v>50605.6</v>
      </c>
      <c r="D1710" t="n">
        <v>1308789.6</v>
      </c>
      <c r="E1710">
        <f>E1709+C1710</f>
        <v/>
      </c>
      <c r="F1710">
        <f>IF(C1710&gt;0,D1710/C1710,NA())</f>
        <v/>
      </c>
    </row>
    <row r="1711">
      <c r="A1711" t="inlineStr">
        <is>
          <t>Diadema</t>
        </is>
      </c>
      <c r="B1711" t="inlineStr">
        <is>
          <t>2025-01</t>
        </is>
      </c>
      <c r="C1711" t="n">
        <v>47540.2</v>
      </c>
      <c r="D1711" t="n">
        <v>1282212.6</v>
      </c>
      <c r="E1711">
        <f>E1710+C1711</f>
        <v/>
      </c>
      <c r="F1711">
        <f>IF(C1711&gt;0,D1711/C1711,NA())</f>
        <v/>
      </c>
    </row>
    <row r="1712">
      <c r="A1712" t="inlineStr">
        <is>
          <t>Diadema</t>
        </is>
      </c>
      <c r="B1712" t="inlineStr">
        <is>
          <t>2025-02</t>
        </is>
      </c>
      <c r="C1712" t="n">
        <v>41948.4</v>
      </c>
      <c r="D1712" t="n">
        <v>1216236.2</v>
      </c>
      <c r="E1712">
        <f>E1711+C1712</f>
        <v/>
      </c>
      <c r="F1712">
        <f>IF(C1712&gt;0,D1712/C1712,NA())</f>
        <v/>
      </c>
    </row>
    <row r="1713">
      <c r="A1713" t="inlineStr">
        <is>
          <t>Diadema</t>
        </is>
      </c>
      <c r="B1713" t="inlineStr">
        <is>
          <t>2025-03</t>
        </is>
      </c>
      <c r="C1713" t="n">
        <v>46996.1</v>
      </c>
      <c r="D1713" t="n">
        <v>1385450.8</v>
      </c>
      <c r="E1713">
        <f>E1712+C1713</f>
        <v/>
      </c>
      <c r="F1713">
        <f>IF(C1713&gt;0,D1713/C1713,NA())</f>
        <v/>
      </c>
    </row>
    <row r="1714">
      <c r="A1714" t="inlineStr">
        <is>
          <t>Diadema</t>
        </is>
      </c>
      <c r="B1714" t="inlineStr">
        <is>
          <t>2025-04</t>
        </is>
      </c>
      <c r="C1714" t="n">
        <v>47355</v>
      </c>
      <c r="D1714" t="n">
        <v>1329566.7</v>
      </c>
      <c r="E1714">
        <f>E1713+C1714</f>
        <v/>
      </c>
      <c r="F1714">
        <f>IF(C1714&gt;0,D1714/C1714,NA())</f>
        <v/>
      </c>
    </row>
    <row r="1715">
      <c r="A1715" t="inlineStr">
        <is>
          <t>Diadema</t>
        </is>
      </c>
      <c r="B1715" t="inlineStr">
        <is>
          <t>2025-05</t>
        </is>
      </c>
      <c r="C1715" t="n">
        <v>48652.2</v>
      </c>
      <c r="D1715" t="n">
        <v>1377825.2</v>
      </c>
      <c r="E1715">
        <f>E1714+C1715</f>
        <v/>
      </c>
      <c r="F1715">
        <f>IF(C1715&gt;0,D1715/C1715,NA())</f>
        <v/>
      </c>
    </row>
    <row r="1716">
      <c r="A1716" t="inlineStr">
        <is>
          <t>Diadema</t>
        </is>
      </c>
      <c r="B1716" t="inlineStr">
        <is>
          <t>2025-06</t>
        </is>
      </c>
      <c r="C1716" t="n">
        <v>49729.3</v>
      </c>
      <c r="D1716" t="n">
        <v>1349640.1</v>
      </c>
      <c r="E1716">
        <f>E1715+C1716</f>
        <v/>
      </c>
      <c r="F1716">
        <f>IF(C1716&gt;0,D1716/C1716,NA())</f>
        <v/>
      </c>
    </row>
    <row r="1717">
      <c r="A1717" t="inlineStr">
        <is>
          <t>Diadema</t>
        </is>
      </c>
      <c r="B1717" t="inlineStr">
        <is>
          <t>2025-07</t>
        </is>
      </c>
      <c r="C1717" t="n">
        <v>49592.2</v>
      </c>
      <c r="D1717" t="n">
        <v>1378976.3</v>
      </c>
      <c r="E1717">
        <f>E1716+C1717</f>
        <v/>
      </c>
      <c r="F1717">
        <f>IF(C1717&gt;0,D1717/C1717,NA())</f>
        <v/>
      </c>
    </row>
    <row r="1718">
      <c r="A1718" t="inlineStr">
        <is>
          <t>Diadema</t>
        </is>
      </c>
      <c r="B1718" t="inlineStr">
        <is>
          <t>2025-08</t>
        </is>
      </c>
      <c r="C1718" t="n">
        <v>48735</v>
      </c>
      <c r="D1718" t="n">
        <v>1362511.5</v>
      </c>
      <c r="E1718">
        <f>E1717+C1718</f>
        <v/>
      </c>
      <c r="F1718">
        <f>IF(C1718&gt;0,D1718/C1718,NA())</f>
        <v/>
      </c>
    </row>
    <row r="1719">
      <c r="A1719" t="inlineStr">
        <is>
          <t>Diadema</t>
        </is>
      </c>
      <c r="B1719" t="inlineStr">
        <is>
          <t>2025-09</t>
        </is>
      </c>
      <c r="C1719" t="n">
        <v>46288</v>
      </c>
      <c r="D1719" t="n">
        <v>1328409.4</v>
      </c>
      <c r="E1719">
        <f>E1718+C1719</f>
        <v/>
      </c>
      <c r="F1719">
        <f>IF(C1719&gt;0,D1719/C1719,NA())</f>
        <v/>
      </c>
    </row>
    <row r="1720">
      <c r="A1720" t="inlineStr">
        <is>
          <t>Diadema</t>
        </is>
      </c>
      <c r="B1720" t="inlineStr">
        <is>
          <t>2025-10</t>
        </is>
      </c>
      <c r="C1720" t="n">
        <v>48812.1</v>
      </c>
      <c r="D1720" t="n">
        <v>1375498.7</v>
      </c>
      <c r="E1720">
        <f>E1719+C1720</f>
        <v/>
      </c>
      <c r="F1720">
        <f>IF(C1720&gt;0,D1720/C1720,NA())</f>
        <v/>
      </c>
    </row>
    <row r="1721">
      <c r="A1721" t="inlineStr">
        <is>
          <t>Diadema</t>
        </is>
      </c>
      <c r="B1721" t="inlineStr">
        <is>
          <t>2025-11</t>
        </is>
      </c>
      <c r="C1721" t="n">
        <v>47840.4</v>
      </c>
      <c r="D1721" t="n">
        <v>1323527.9</v>
      </c>
      <c r="E1721">
        <f>E1720+C1721</f>
        <v/>
      </c>
      <c r="F1721">
        <f>IF(C1721&gt;0,D1721/C1721,NA())</f>
        <v/>
      </c>
    </row>
    <row r="1722">
      <c r="A1722" t="inlineStr">
        <is>
          <t>Diadema</t>
        </is>
      </c>
      <c r="B1722" t="inlineStr">
        <is>
          <t>2025-12</t>
        </is>
      </c>
      <c r="C1722" t="n">
        <v>49890.3</v>
      </c>
      <c r="D1722" t="n">
        <v>1388452.4</v>
      </c>
      <c r="E1722">
        <f>E1721+C1722</f>
        <v/>
      </c>
      <c r="F1722">
        <f>IF(C1722&gt;0,D1722/C1722,NA())</f>
        <v/>
      </c>
    </row>
    <row r="1723">
      <c r="A1723" t="inlineStr">
        <is>
          <t>Diadema</t>
        </is>
      </c>
      <c r="B1723" t="inlineStr">
        <is>
          <t>2026-01</t>
        </is>
      </c>
      <c r="C1723" t="n">
        <v>48105.6</v>
      </c>
      <c r="D1723" t="n">
        <v>1369035.1</v>
      </c>
      <c r="E1723">
        <f>E1722+C1723</f>
        <v/>
      </c>
      <c r="F1723">
        <f>IF(C1723&gt;0,D1723/C1723,NA())</f>
        <v/>
      </c>
    </row>
    <row r="1724">
      <c r="A1724" t="inlineStr">
        <is>
          <t>Diadema</t>
        </is>
      </c>
      <c r="B1724" t="inlineStr">
        <is>
          <t>2026-02</t>
        </is>
      </c>
      <c r="C1724" t="n">
        <v>43820.8</v>
      </c>
      <c r="D1724" t="n">
        <v>1226408.4</v>
      </c>
      <c r="E1724">
        <f>E1723+C1724</f>
        <v/>
      </c>
      <c r="F1724">
        <f>IF(C1724&gt;0,D1724/C1724,NA())</f>
        <v/>
      </c>
    </row>
    <row r="1725">
      <c r="A1725" t="inlineStr">
        <is>
          <t>Diadema</t>
        </is>
      </c>
      <c r="B1725" t="inlineStr">
        <is>
          <t>2026-03</t>
        </is>
      </c>
      <c r="C1725" t="n">
        <v>48528.5</v>
      </c>
      <c r="D1725" t="n">
        <v>1348828.7</v>
      </c>
      <c r="E1725">
        <f>E1724+C1725</f>
        <v/>
      </c>
      <c r="F1725">
        <f>IF(C1725&gt;0,D1725/C1725,NA())</f>
        <v/>
      </c>
    </row>
    <row r="1726">
      <c r="A1726" t="inlineStr">
        <is>
          <t>Diadema</t>
        </is>
      </c>
      <c r="B1726" t="inlineStr">
        <is>
          <t>2026-04</t>
        </is>
      </c>
      <c r="C1726" t="n">
        <v>46356.9</v>
      </c>
      <c r="D1726" t="n">
        <v>1312581.8</v>
      </c>
      <c r="E1726">
        <f>E1725+C1726</f>
        <v/>
      </c>
      <c r="F1726">
        <f>IF(C1726&gt;0,D1726/C1726,NA())</f>
        <v/>
      </c>
    </row>
    <row r="1727">
      <c r="A1727" t="inlineStr">
        <is>
          <t>Diadema</t>
        </is>
      </c>
      <c r="B1727" t="inlineStr">
        <is>
          <t>2026-05</t>
        </is>
      </c>
      <c r="C1727" t="n">
        <v>49572.9</v>
      </c>
      <c r="D1727" t="n">
        <v>1362229.2</v>
      </c>
      <c r="E1727">
        <f>E1726+C1727</f>
        <v/>
      </c>
      <c r="F1727">
        <f>IF(C1727&gt;0,D1727/C1727,NA())</f>
        <v/>
      </c>
    </row>
    <row r="1728">
      <c r="A1728" t="inlineStr">
        <is>
          <t>Diadema</t>
        </is>
      </c>
      <c r="B1728" t="inlineStr">
        <is>
          <t>2026-06</t>
        </is>
      </c>
      <c r="C1728" t="n">
        <v>48455</v>
      </c>
      <c r="D1728" t="n">
        <v>1324654.6</v>
      </c>
      <c r="E1728">
        <f>E1727+C1728</f>
        <v/>
      </c>
      <c r="F1728">
        <f>IF(C1728&gt;0,D1728/C1728,NA())</f>
        <v/>
      </c>
    </row>
    <row r="1729">
      <c r="A1729" t="inlineStr">
        <is>
          <t>Diadema</t>
        </is>
      </c>
      <c r="B1729" t="inlineStr">
        <is>
          <t>2026-07</t>
        </is>
      </c>
      <c r="C1729" t="n">
        <v>49306.7</v>
      </c>
      <c r="D1729" t="n">
        <v>1353576.4</v>
      </c>
      <c r="E1729">
        <f>E1728+C1729</f>
        <v/>
      </c>
      <c r="F1729">
        <f>IF(C1729&gt;0,D1729/C1729,NA())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2026-09-28T18:40:19Z</dcterms:created>
  <dcterms:modified xmlns:dcterms="http://purl.org/dc/terms/" xmlns:xsi="http://www.w3.org/2001/XMLSchema-instance" xsi:type="dcterms:W3CDTF">2026-09-28T18:40:19Z</dcterms:modified>
</cp:coreProperties>
</file>