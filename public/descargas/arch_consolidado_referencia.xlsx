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roducción por compañía" sheetId="3" state="visible" r:id="rId3"/>
    <sheet xmlns:r="http://schemas.openxmlformats.org/officeDocument/2006/relationships" name="Pozos y gas" sheetId="4" state="visible" r:id="rId4"/>
    <sheet xmlns:r="http://schemas.openxmlformats.org/officeDocument/2006/relationships" name="Novedades" sheetId="5" state="visible" r:id="rId5"/>
    <sheet xmlns:r="http://schemas.openxmlformats.org/officeDocument/2006/relationships" name="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Producción nacional por día de operación (bppd)</a:t>
            </a:r>
          </a:p>
        </rich>
      </tx>
    </title>
    <plotArea>
      <lineChart>
        <grouping val="standard"/>
        <ser>
          <idx val="0"/>
          <order val="0"/>
          <tx>
            <strRef>
              <f>'Resumen'!D1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'Resumen'!$A$2:$A$7</f>
            </numRef>
          </cat>
          <val>
            <numRef>
              <f>'Resumen'!$D$2:$D$7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Partes diarios de la ARCH (Ecuador), 8 al 15 de septiembre de 2026: planilla de referencia del curso (sesión 3).</t>
        </is>
      </c>
    </row>
    <row r="2">
      <c r="A2" t="inlineStr">
        <is>
          <t>Fuente: Reporte diario preliminar de producción y operaciones, controlhidrocarburos.gob.ec. Volúmenes sujetos a revisión.</t>
        </is>
      </c>
    </row>
    <row r="3">
      <c r="A3" t="inlineStr">
        <is>
          <t>Cada parte informa el día de operación anterior. Los días de operación 11 y 12 de septiembre no tienen parte propio.</t>
        </is>
      </c>
    </row>
    <row r="4">
      <c r="A4" t="inlineStr">
        <is>
          <t>Números pasados a punto decimal. En el original: punto de miles y coma decimal; el gas cambia de formato según el día.</t>
        </is>
      </c>
    </row>
    <row r="5">
      <c r="A5" t="inlineStr">
        <is>
          <t>Hoja Control: sumas contra los totales del parte, y la "producción anterior" de cada día contra el parte previo.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20" customWidth="1" min="5" max="5"/>
    <col width="12" customWidth="1" min="6" max="6"/>
  </cols>
  <sheetData>
    <row r="1">
      <c r="A1" s="1" t="inlineStr">
        <is>
          <t>operacion</t>
        </is>
      </c>
      <c r="B1" s="1" t="inlineStr">
        <is>
          <t>EP Petroecuador (bppd)</t>
        </is>
      </c>
      <c r="C1" s="1" t="inlineStr">
        <is>
          <t>Privadas (bppd)</t>
        </is>
      </c>
      <c r="D1" s="1" t="inlineStr">
        <is>
          <t>Total nacional (bppd)</t>
        </is>
      </c>
      <c r="E1" s="1" t="inlineStr">
        <is>
          <t>Total según el parte</t>
        </is>
      </c>
      <c r="F1" s="1" t="inlineStr">
        <is>
          <t>Diferencia</t>
        </is>
      </c>
    </row>
    <row r="2">
      <c r="A2" t="inlineStr">
        <is>
          <t>2026-09-07</t>
        </is>
      </c>
      <c r="B2" s="2">
        <f>SUMIFS('Producción por compañía'!$F$2:$F$85,'Producción por compañía'!$B$2:$B$85,A2,'Producción por compañía'!$D$2:$D$85,"pública")</f>
        <v/>
      </c>
      <c r="C2" s="2">
        <f>SUMIFS('Producción por compañía'!$F$2:$F$85,'Producción por compañía'!$B$2:$B$85,A2,'Producción por compañía'!$D$2:$D$85,"privada")</f>
        <v/>
      </c>
      <c r="D2" s="2">
        <f>B2+C2</f>
        <v/>
      </c>
      <c r="E2" s="2" t="n">
        <v>443711.91</v>
      </c>
      <c r="F2" s="2">
        <f>D2-E2</f>
        <v/>
      </c>
    </row>
    <row r="3">
      <c r="A3" t="inlineStr">
        <is>
          <t>2026-09-08</t>
        </is>
      </c>
      <c r="B3" s="2">
        <f>SUMIFS('Producción por compañía'!$F$2:$F$85,'Producción por compañía'!$B$2:$B$85,A3,'Producción por compañía'!$D$2:$D$85,"pública")</f>
        <v/>
      </c>
      <c r="C3" s="2">
        <f>SUMIFS('Producción por compañía'!$F$2:$F$85,'Producción por compañía'!$B$2:$B$85,A3,'Producción por compañía'!$D$2:$D$85,"privada")</f>
        <v/>
      </c>
      <c r="D3" s="2">
        <f>B3+C3</f>
        <v/>
      </c>
      <c r="E3" s="2" t="n">
        <v>457624.54</v>
      </c>
      <c r="F3" s="2">
        <f>D3-E3</f>
        <v/>
      </c>
    </row>
    <row r="4">
      <c r="A4" t="inlineStr">
        <is>
          <t>2026-09-09</t>
        </is>
      </c>
      <c r="B4" s="2">
        <f>SUMIFS('Producción por compañía'!$F$2:$F$85,'Producción por compañía'!$B$2:$B$85,A4,'Producción por compañía'!$D$2:$D$85,"pública")</f>
        <v/>
      </c>
      <c r="C4" s="2">
        <f>SUMIFS('Producción por compañía'!$F$2:$F$85,'Producción por compañía'!$B$2:$B$85,A4,'Producción por compañía'!$D$2:$D$85,"privada")</f>
        <v/>
      </c>
      <c r="D4" s="2">
        <f>B4+C4</f>
        <v/>
      </c>
      <c r="E4" s="2" t="n">
        <v>457670.12</v>
      </c>
      <c r="F4" s="2">
        <f>D4-E4</f>
        <v/>
      </c>
    </row>
    <row r="5">
      <c r="A5" t="inlineStr">
        <is>
          <t>2026-09-10</t>
        </is>
      </c>
      <c r="B5" s="2">
        <f>SUMIFS('Producción por compañía'!$F$2:$F$85,'Producción por compañía'!$B$2:$B$85,A5,'Producción por compañía'!$D$2:$D$85,"pública")</f>
        <v/>
      </c>
      <c r="C5" s="2">
        <f>SUMIFS('Producción por compañía'!$F$2:$F$85,'Producción por compañía'!$B$2:$B$85,A5,'Producción por compañía'!$D$2:$D$85,"privada")</f>
        <v/>
      </c>
      <c r="D5" s="2">
        <f>B5+C5</f>
        <v/>
      </c>
      <c r="E5" s="2" t="n">
        <v>463100.1</v>
      </c>
      <c r="F5" s="2">
        <f>D5-E5</f>
        <v/>
      </c>
    </row>
    <row r="6">
      <c r="A6" t="inlineStr">
        <is>
          <t>2026-09-13</t>
        </is>
      </c>
      <c r="B6" s="2">
        <f>SUMIFS('Producción por compañía'!$F$2:$F$85,'Producción por compañía'!$B$2:$B$85,A6,'Producción por compañía'!$D$2:$D$85,"pública")</f>
        <v/>
      </c>
      <c r="C6" s="2">
        <f>SUMIFS('Producción por compañía'!$F$2:$F$85,'Producción por compañía'!$B$2:$B$85,A6,'Producción por compañía'!$D$2:$D$85,"privada")</f>
        <v/>
      </c>
      <c r="D6" s="2">
        <f>B6+C6</f>
        <v/>
      </c>
      <c r="E6" s="2" t="n">
        <v>465110.65</v>
      </c>
      <c r="F6" s="2">
        <f>D6-E6</f>
        <v/>
      </c>
    </row>
    <row r="7">
      <c r="A7" t="inlineStr">
        <is>
          <t>2026-09-14</t>
        </is>
      </c>
      <c r="B7" s="2">
        <f>SUMIFS('Producción por compañía'!$F$2:$F$85,'Producción por compañía'!$B$2:$B$85,A7,'Producción por compañía'!$D$2:$D$85,"pública")</f>
        <v/>
      </c>
      <c r="C7" s="2">
        <f>SUMIFS('Producción por compañía'!$F$2:$F$85,'Producción por compañía'!$B$2:$B$85,A7,'Producción por compañía'!$D$2:$D$85,"privada")</f>
        <v/>
      </c>
      <c r="D7" s="2">
        <f>B7+C7</f>
        <v/>
      </c>
      <c r="E7" s="2" t="n">
        <v>463812.77</v>
      </c>
      <c r="F7" s="2">
        <f>D7-E7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publicado</t>
        </is>
      </c>
      <c r="B1" s="1" t="inlineStr">
        <is>
          <t>operacion</t>
        </is>
      </c>
      <c r="C1" s="1" t="inlineStr">
        <is>
          <t>compania</t>
        </is>
      </c>
      <c r="D1" s="1" t="inlineStr">
        <is>
          <t>tipo</t>
        </is>
      </c>
      <c r="E1" s="1" t="inlineStr">
        <is>
          <t>anterior_bppd</t>
        </is>
      </c>
      <c r="F1" s="1" t="inlineStr">
        <is>
          <t>dia_bppd</t>
        </is>
      </c>
      <c r="G1" s="1" t="inlineStr">
        <is>
          <t>incremento_bppd</t>
        </is>
      </c>
      <c r="H1" s="1" t="inlineStr">
        <is>
          <t>estimado_bppd</t>
        </is>
      </c>
      <c r="I1" s="1" t="inlineStr">
        <is>
          <t>cumplimiento_pct</t>
        </is>
      </c>
    </row>
    <row r="2">
      <c r="A2" t="inlineStr">
        <is>
          <t>2026-09-08</t>
        </is>
      </c>
      <c r="B2" t="inlineStr">
        <is>
          <t>2026-09-07</t>
        </is>
      </c>
      <c r="C2" t="inlineStr">
        <is>
          <t>EP PETROECUADOR</t>
        </is>
      </c>
      <c r="D2" t="inlineStr">
        <is>
          <t>pública</t>
        </is>
      </c>
      <c r="E2" t="n">
        <v>344323.93</v>
      </c>
      <c r="F2" t="n">
        <v>346742.97</v>
      </c>
      <c r="G2" t="n">
        <v>2419.04</v>
      </c>
      <c r="H2" t="n">
        <v>368133.51</v>
      </c>
      <c r="I2" t="n">
        <v>94.19</v>
      </c>
    </row>
    <row r="3">
      <c r="A3" t="inlineStr">
        <is>
          <t>2026-09-08</t>
        </is>
      </c>
      <c r="B3" t="inlineStr">
        <is>
          <t>2026-09-07</t>
        </is>
      </c>
      <c r="C3" t="inlineStr">
        <is>
          <t>ANDES PETROLEUM ECUADOR LTD</t>
        </is>
      </c>
      <c r="D3" t="inlineStr">
        <is>
          <t>privada</t>
        </is>
      </c>
      <c r="E3" t="n">
        <v>23807.49</v>
      </c>
      <c r="F3" t="n">
        <v>23903.71</v>
      </c>
      <c r="G3" t="n">
        <v>96.22</v>
      </c>
      <c r="H3" t="n">
        <v>23607</v>
      </c>
      <c r="I3" t="n">
        <v>101.25</v>
      </c>
    </row>
    <row r="4">
      <c r="A4" t="inlineStr">
        <is>
          <t>2026-09-08</t>
        </is>
      </c>
      <c r="B4" t="inlineStr">
        <is>
          <t>2026-09-07</t>
        </is>
      </c>
      <c r="C4" t="inlineStr">
        <is>
          <t>CONSORCIO BLOQUE ESPEJO</t>
        </is>
      </c>
      <c r="D4" t="inlineStr">
        <is>
          <t>privada</t>
        </is>
      </c>
      <c r="E4" t="n">
        <v>0</v>
      </c>
      <c r="F4" t="n">
        <v>0</v>
      </c>
      <c r="G4" t="n">
        <v>0</v>
      </c>
      <c r="H4" t="n">
        <v>352.37</v>
      </c>
      <c r="I4" t="n">
        <v>0</v>
      </c>
    </row>
    <row r="5">
      <c r="A5" t="inlineStr">
        <is>
          <t>2026-09-08</t>
        </is>
      </c>
      <c r="B5" t="inlineStr">
        <is>
          <t>2026-09-07</t>
        </is>
      </c>
      <c r="C5" t="inlineStr">
        <is>
          <t>CONSORCIO BLOQUE PERICO</t>
        </is>
      </c>
      <c r="D5" t="inlineStr">
        <is>
          <t>privada</t>
        </is>
      </c>
      <c r="E5" t="n">
        <v>1007.28</v>
      </c>
      <c r="F5" t="n">
        <v>1009.76</v>
      </c>
      <c r="G5" t="n">
        <v>2.48</v>
      </c>
      <c r="H5" t="n">
        <v>1050.5</v>
      </c>
      <c r="I5" t="n">
        <v>0</v>
      </c>
    </row>
    <row r="6">
      <c r="A6" t="inlineStr">
        <is>
          <t>2026-09-08</t>
        </is>
      </c>
      <c r="B6" t="inlineStr">
        <is>
          <t>2026-09-07</t>
        </is>
      </c>
      <c r="C6" t="inlineStr">
        <is>
          <t>ENAP SIPETROL S.A. - ENAP SIPEC</t>
        </is>
      </c>
      <c r="D6" t="inlineStr">
        <is>
          <t>privada</t>
        </is>
      </c>
      <c r="E6" t="n">
        <v>26963.81</v>
      </c>
      <c r="F6" t="n">
        <v>26948.32</v>
      </c>
      <c r="G6" t="n">
        <v>-15.49</v>
      </c>
      <c r="H6" t="n">
        <v>26670.31</v>
      </c>
      <c r="I6" t="n">
        <v>101.04</v>
      </c>
    </row>
    <row r="7">
      <c r="A7" t="inlineStr">
        <is>
          <t>2026-09-08</t>
        </is>
      </c>
      <c r="B7" t="inlineStr">
        <is>
          <t>2026-09-07</t>
        </is>
      </c>
      <c r="C7" t="inlineStr">
        <is>
          <t>GENTE OIL ECUADOR PTE.LTD</t>
        </is>
      </c>
      <c r="D7" t="inlineStr">
        <is>
          <t>privada</t>
        </is>
      </c>
      <c r="E7" t="n">
        <v>3392.32</v>
      </c>
      <c r="F7" t="n">
        <v>3385.53</v>
      </c>
      <c r="G7" t="n">
        <v>-6.79</v>
      </c>
      <c r="H7" t="n">
        <v>4011.8</v>
      </c>
      <c r="I7" t="n">
        <v>84.39</v>
      </c>
    </row>
    <row r="8">
      <c r="A8" t="inlineStr">
        <is>
          <t>2026-09-08</t>
        </is>
      </c>
      <c r="B8" t="inlineStr">
        <is>
          <t>2026-09-07</t>
        </is>
      </c>
      <c r="C8" t="inlineStr">
        <is>
          <t>GRAN TIERRA ENERGY COLOMBIA LLC</t>
        </is>
      </c>
      <c r="D8" t="inlineStr">
        <is>
          <t>privada</t>
        </is>
      </c>
      <c r="E8" t="n">
        <v>6586.4</v>
      </c>
      <c r="F8" t="n">
        <v>6475.15</v>
      </c>
      <c r="G8" t="n">
        <v>-111.25</v>
      </c>
      <c r="H8" t="n">
        <v>4921.85</v>
      </c>
      <c r="I8" t="n">
        <v>131.56</v>
      </c>
    </row>
    <row r="9">
      <c r="A9" t="inlineStr">
        <is>
          <t>2026-09-08</t>
        </is>
      </c>
      <c r="B9" t="inlineStr">
        <is>
          <t>2026-09-07</t>
        </is>
      </c>
      <c r="C9" t="inlineStr">
        <is>
          <t>ORION ENERGY OCANOPB S.A.</t>
        </is>
      </c>
      <c r="D9" t="inlineStr">
        <is>
          <t>privada</t>
        </is>
      </c>
      <c r="E9" t="n">
        <v>1663.52</v>
      </c>
      <c r="F9" t="n">
        <v>1658.54</v>
      </c>
      <c r="G9" t="n">
        <v>-4.98</v>
      </c>
      <c r="H9" t="n">
        <v>1188.97</v>
      </c>
      <c r="I9" t="n">
        <v>139.49</v>
      </c>
    </row>
    <row r="10">
      <c r="A10" t="inlineStr">
        <is>
          <t>2026-09-08</t>
        </is>
      </c>
      <c r="B10" t="inlineStr">
        <is>
          <t>2026-09-07</t>
        </is>
      </c>
      <c r="C10" t="inlineStr">
        <is>
          <t>ORIONOIL ER S.A</t>
        </is>
      </c>
      <c r="D10" t="inlineStr">
        <is>
          <t>privada</t>
        </is>
      </c>
      <c r="E10" t="n">
        <v>2953.07</v>
      </c>
      <c r="F10" t="n">
        <v>2953.37</v>
      </c>
      <c r="G10" t="n">
        <v>0.3</v>
      </c>
      <c r="H10" t="n">
        <v>3534.3</v>
      </c>
      <c r="I10" t="n">
        <v>83.56</v>
      </c>
    </row>
    <row r="11">
      <c r="A11" t="inlineStr">
        <is>
          <t>2026-09-08</t>
        </is>
      </c>
      <c r="B11" t="inlineStr">
        <is>
          <t>2026-09-07</t>
        </is>
      </c>
      <c r="C11" t="inlineStr">
        <is>
          <t>PCR-ECUADOR S.A.</t>
        </is>
      </c>
      <c r="D11" t="inlineStr">
        <is>
          <t>privada</t>
        </is>
      </c>
      <c r="E11" t="n">
        <v>11590.56</v>
      </c>
      <c r="F11" t="n">
        <v>11618.18</v>
      </c>
      <c r="G11" t="n">
        <v>27.62</v>
      </c>
      <c r="H11" t="n">
        <v>10921.02</v>
      </c>
      <c r="I11" t="n">
        <v>106.38</v>
      </c>
    </row>
    <row r="12">
      <c r="A12" t="inlineStr">
        <is>
          <t>2026-09-08</t>
        </is>
      </c>
      <c r="B12" t="inlineStr">
        <is>
          <t>2026-09-07</t>
        </is>
      </c>
      <c r="C12" t="inlineStr">
        <is>
          <t>PETROBELL S.A.</t>
        </is>
      </c>
      <c r="D12" t="inlineStr">
        <is>
          <t>privada</t>
        </is>
      </c>
      <c r="E12" t="n">
        <v>4677.43</v>
      </c>
      <c r="F12" t="n">
        <v>4678.94</v>
      </c>
      <c r="G12" t="n">
        <v>1.51</v>
      </c>
      <c r="H12" t="n">
        <v>3294.13</v>
      </c>
      <c r="I12" t="n">
        <v>142.04</v>
      </c>
    </row>
    <row r="13">
      <c r="A13" t="inlineStr">
        <is>
          <t>2026-09-08</t>
        </is>
      </c>
      <c r="B13" t="inlineStr">
        <is>
          <t>2026-09-07</t>
        </is>
      </c>
      <c r="C13" t="inlineStr">
        <is>
          <t>PETROLEOS DEL PACIFICO S.A. PACIFPETROL</t>
        </is>
      </c>
      <c r="D13" t="inlineStr">
        <is>
          <t>privada</t>
        </is>
      </c>
      <c r="E13" t="n">
        <v>911.76</v>
      </c>
      <c r="F13" t="n">
        <v>941.76</v>
      </c>
      <c r="G13" t="n">
        <v>30</v>
      </c>
      <c r="H13" t="n">
        <v>883.13</v>
      </c>
      <c r="I13" t="n">
        <v>106.64</v>
      </c>
    </row>
    <row r="14">
      <c r="A14" t="inlineStr">
        <is>
          <t>2026-09-08</t>
        </is>
      </c>
      <c r="B14" t="inlineStr">
        <is>
          <t>2026-09-07</t>
        </is>
      </c>
      <c r="C14" t="inlineStr">
        <is>
          <t>PETROORIENTAL S.A.</t>
        </is>
      </c>
      <c r="D14" t="inlineStr">
        <is>
          <t>privada</t>
        </is>
      </c>
      <c r="E14" t="n">
        <v>6876.49</v>
      </c>
      <c r="F14" t="n">
        <v>6890.75</v>
      </c>
      <c r="G14" t="n">
        <v>14.26</v>
      </c>
      <c r="H14" t="n">
        <v>7503.21</v>
      </c>
      <c r="I14" t="n">
        <v>91.84</v>
      </c>
    </row>
    <row r="15">
      <c r="A15" t="inlineStr">
        <is>
          <t>2026-09-08</t>
        </is>
      </c>
      <c r="B15" t="inlineStr">
        <is>
          <t>2026-09-07</t>
        </is>
      </c>
      <c r="C15" t="inlineStr">
        <is>
          <t>PLUSPETROL ECUADOR B.V</t>
        </is>
      </c>
      <c r="D15" t="inlineStr">
        <is>
          <t>privada</t>
        </is>
      </c>
      <c r="E15" t="n">
        <v>6380.05</v>
      </c>
      <c r="F15" t="n">
        <v>6504.93</v>
      </c>
      <c r="G15" t="n">
        <v>124.88</v>
      </c>
      <c r="H15" t="n">
        <v>6200.5</v>
      </c>
      <c r="I15" t="n">
        <v>104.91</v>
      </c>
    </row>
    <row r="16">
      <c r="A16" t="inlineStr">
        <is>
          <t>2026-09-09</t>
        </is>
      </c>
      <c r="B16" t="inlineStr">
        <is>
          <t>2026-09-08</t>
        </is>
      </c>
      <c r="C16" t="inlineStr">
        <is>
          <t>EP PETROECUADOR</t>
        </is>
      </c>
      <c r="D16" t="inlineStr">
        <is>
          <t>pública</t>
        </is>
      </c>
      <c r="E16" t="n">
        <v>346741.11</v>
      </c>
      <c r="F16" t="n">
        <v>360858.53</v>
      </c>
      <c r="G16" t="n">
        <v>14117.42</v>
      </c>
      <c r="H16" t="n">
        <v>368133.51</v>
      </c>
      <c r="I16" t="n">
        <v>98.02</v>
      </c>
    </row>
    <row r="17">
      <c r="A17" t="inlineStr">
        <is>
          <t>2026-09-09</t>
        </is>
      </c>
      <c r="B17" t="inlineStr">
        <is>
          <t>2026-09-08</t>
        </is>
      </c>
      <c r="C17" t="inlineStr">
        <is>
          <t>ANDES PETROLEUM ECUADOR LTD</t>
        </is>
      </c>
      <c r="D17" t="inlineStr">
        <is>
          <t>privada</t>
        </is>
      </c>
      <c r="E17" t="n">
        <v>23903.71</v>
      </c>
      <c r="F17" t="n">
        <v>23754.16</v>
      </c>
      <c r="G17" t="n">
        <v>-149.55</v>
      </c>
      <c r="H17" t="n">
        <v>23607</v>
      </c>
      <c r="I17" t="n">
        <v>100.62</v>
      </c>
    </row>
    <row r="18">
      <c r="A18" t="inlineStr">
        <is>
          <t>2026-09-09</t>
        </is>
      </c>
      <c r="B18" t="inlineStr">
        <is>
          <t>2026-09-08</t>
        </is>
      </c>
      <c r="C18" t="inlineStr">
        <is>
          <t>CONSORCIO BLOQUE ESPEJO</t>
        </is>
      </c>
      <c r="D18" t="inlineStr">
        <is>
          <t>privada</t>
        </is>
      </c>
      <c r="E18" t="n">
        <v>0</v>
      </c>
      <c r="F18" t="n">
        <v>0</v>
      </c>
      <c r="G18" t="n">
        <v>0</v>
      </c>
      <c r="H18" t="n">
        <v>352.37</v>
      </c>
      <c r="I18" t="n">
        <v>0</v>
      </c>
    </row>
    <row r="19">
      <c r="A19" t="inlineStr">
        <is>
          <t>2026-09-09</t>
        </is>
      </c>
      <c r="B19" t="inlineStr">
        <is>
          <t>2026-09-08</t>
        </is>
      </c>
      <c r="C19" t="inlineStr">
        <is>
          <t>CONSORCIO BLOQUE PERICO</t>
        </is>
      </c>
      <c r="D19" t="inlineStr">
        <is>
          <t>privada</t>
        </is>
      </c>
      <c r="E19" t="n">
        <v>1009.76</v>
      </c>
      <c r="F19" t="n">
        <v>1014.04</v>
      </c>
      <c r="G19" t="n">
        <v>4.28</v>
      </c>
      <c r="H19" t="n">
        <v>1050.5</v>
      </c>
      <c r="I19" t="n">
        <v>0</v>
      </c>
    </row>
    <row r="20">
      <c r="A20" t="inlineStr">
        <is>
          <t>2026-09-09</t>
        </is>
      </c>
      <c r="B20" t="inlineStr">
        <is>
          <t>2026-09-08</t>
        </is>
      </c>
      <c r="C20" t="inlineStr">
        <is>
          <t>ENAP SIPETROL S.A. - ENAP SIPEC</t>
        </is>
      </c>
      <c r="D20" t="inlineStr">
        <is>
          <t>privada</t>
        </is>
      </c>
      <c r="E20" t="n">
        <v>26948.32</v>
      </c>
      <c r="F20" t="n">
        <v>26984.28</v>
      </c>
      <c r="G20" t="n">
        <v>35.96</v>
      </c>
      <c r="H20" t="n">
        <v>26670.31</v>
      </c>
      <c r="I20" t="n">
        <v>101.18</v>
      </c>
    </row>
    <row r="21">
      <c r="A21" t="inlineStr">
        <is>
          <t>2026-09-09</t>
        </is>
      </c>
      <c r="B21" t="inlineStr">
        <is>
          <t>2026-09-08</t>
        </is>
      </c>
      <c r="C21" t="inlineStr">
        <is>
          <t>GENTE OIL ECUADOR PTE.LTD</t>
        </is>
      </c>
      <c r="D21" t="inlineStr">
        <is>
          <t>privada</t>
        </is>
      </c>
      <c r="E21" t="n">
        <v>3385.53</v>
      </c>
      <c r="F21" t="n">
        <v>3402.57</v>
      </c>
      <c r="G21" t="n">
        <v>17.04</v>
      </c>
      <c r="H21" t="n">
        <v>4011.8</v>
      </c>
      <c r="I21" t="n">
        <v>84.81</v>
      </c>
    </row>
    <row r="22">
      <c r="A22" t="inlineStr">
        <is>
          <t>2026-09-09</t>
        </is>
      </c>
      <c r="B22" t="inlineStr">
        <is>
          <t>2026-09-08</t>
        </is>
      </c>
      <c r="C22" t="inlineStr">
        <is>
          <t>GRAN TIERRA ENERGY COLOMBIA LLC</t>
        </is>
      </c>
      <c r="D22" t="inlineStr">
        <is>
          <t>privada</t>
        </is>
      </c>
      <c r="E22" t="n">
        <v>6475.15</v>
      </c>
      <c r="F22" t="n">
        <v>6573.82</v>
      </c>
      <c r="G22" t="n">
        <v>98.67</v>
      </c>
      <c r="H22" t="n">
        <v>4921.85</v>
      </c>
      <c r="I22" t="n">
        <v>133.56</v>
      </c>
    </row>
    <row r="23">
      <c r="A23" t="inlineStr">
        <is>
          <t>2026-09-09</t>
        </is>
      </c>
      <c r="B23" t="inlineStr">
        <is>
          <t>2026-09-08</t>
        </is>
      </c>
      <c r="C23" t="inlineStr">
        <is>
          <t>ORION ENERGY OCANOPB S.A.</t>
        </is>
      </c>
      <c r="D23" t="inlineStr">
        <is>
          <t>privada</t>
        </is>
      </c>
      <c r="E23" t="n">
        <v>1658.54</v>
      </c>
      <c r="F23" t="n">
        <v>1658.67</v>
      </c>
      <c r="G23" t="n">
        <v>0.13</v>
      </c>
      <c r="H23" t="n">
        <v>1188.97</v>
      </c>
      <c r="I23" t="n">
        <v>139.5</v>
      </c>
    </row>
    <row r="24">
      <c r="A24" t="inlineStr">
        <is>
          <t>2026-09-09</t>
        </is>
      </c>
      <c r="B24" t="inlineStr">
        <is>
          <t>2026-09-08</t>
        </is>
      </c>
      <c r="C24" t="inlineStr">
        <is>
          <t>ORIONOIL ER S.A</t>
        </is>
      </c>
      <c r="D24" t="inlineStr">
        <is>
          <t>privada</t>
        </is>
      </c>
      <c r="E24" t="n">
        <v>2953.37</v>
      </c>
      <c r="F24" t="n">
        <v>2953.19</v>
      </c>
      <c r="G24" t="n">
        <v>-0.18</v>
      </c>
      <c r="H24" t="n">
        <v>3534.3</v>
      </c>
      <c r="I24" t="n">
        <v>83.56</v>
      </c>
    </row>
    <row r="25">
      <c r="A25" t="inlineStr">
        <is>
          <t>2026-09-09</t>
        </is>
      </c>
      <c r="B25" t="inlineStr">
        <is>
          <t>2026-09-08</t>
        </is>
      </c>
      <c r="C25" t="inlineStr">
        <is>
          <t>PCR-ECUADOR S.A.</t>
        </is>
      </c>
      <c r="D25" t="inlineStr">
        <is>
          <t>privada</t>
        </is>
      </c>
      <c r="E25" t="n">
        <v>11618.18</v>
      </c>
      <c r="F25" t="n">
        <v>11482.78</v>
      </c>
      <c r="G25" t="n">
        <v>-135.4</v>
      </c>
      <c r="H25" t="n">
        <v>10921.02</v>
      </c>
      <c r="I25" t="n">
        <v>105.14</v>
      </c>
    </row>
    <row r="26">
      <c r="A26" t="inlineStr">
        <is>
          <t>2026-09-09</t>
        </is>
      </c>
      <c r="B26" t="inlineStr">
        <is>
          <t>2026-09-08</t>
        </is>
      </c>
      <c r="C26" t="inlineStr">
        <is>
          <t>PETROBELL S.A.</t>
        </is>
      </c>
      <c r="D26" t="inlineStr">
        <is>
          <t>privada</t>
        </is>
      </c>
      <c r="E26" t="n">
        <v>4678.94</v>
      </c>
      <c r="F26" t="n">
        <v>4666.57</v>
      </c>
      <c r="G26" t="n">
        <v>-12.37</v>
      </c>
      <c r="H26" t="n">
        <v>3294.13</v>
      </c>
      <c r="I26" t="n">
        <v>141.66</v>
      </c>
    </row>
    <row r="27">
      <c r="A27" t="inlineStr">
        <is>
          <t>2026-09-09</t>
        </is>
      </c>
      <c r="B27" t="inlineStr">
        <is>
          <t>2026-09-08</t>
        </is>
      </c>
      <c r="C27" t="inlineStr">
        <is>
          <t>PETROLEOS DEL PACIFICO S.A. PACIFPETROL</t>
        </is>
      </c>
      <c r="D27" t="inlineStr">
        <is>
          <t>privada</t>
        </is>
      </c>
      <c r="E27" t="n">
        <v>941.76</v>
      </c>
      <c r="F27" t="n">
        <v>916.12</v>
      </c>
      <c r="G27" t="n">
        <v>-25.64</v>
      </c>
      <c r="H27" t="n">
        <v>883.13</v>
      </c>
      <c r="I27" t="n">
        <v>103.74</v>
      </c>
    </row>
    <row r="28">
      <c r="A28" t="inlineStr">
        <is>
          <t>2026-09-09</t>
        </is>
      </c>
      <c r="B28" t="inlineStr">
        <is>
          <t>2026-09-08</t>
        </is>
      </c>
      <c r="C28" t="inlineStr">
        <is>
          <t>PETROORIENTAL S.A.</t>
        </is>
      </c>
      <c r="D28" t="inlineStr">
        <is>
          <t>privada</t>
        </is>
      </c>
      <c r="E28" t="n">
        <v>6890.75</v>
      </c>
      <c r="F28" t="n">
        <v>6850.52</v>
      </c>
      <c r="G28" t="n">
        <v>-40.23</v>
      </c>
      <c r="H28" t="n">
        <v>7503.21</v>
      </c>
      <c r="I28" t="n">
        <v>91.3</v>
      </c>
    </row>
    <row r="29">
      <c r="A29" t="inlineStr">
        <is>
          <t>2026-09-09</t>
        </is>
      </c>
      <c r="B29" t="inlineStr">
        <is>
          <t>2026-09-08</t>
        </is>
      </c>
      <c r="C29" t="inlineStr">
        <is>
          <t>PLUSPETROL ECUADOR B.V</t>
        </is>
      </c>
      <c r="D29" t="inlineStr">
        <is>
          <t>privada</t>
        </is>
      </c>
      <c r="E29" t="n">
        <v>6504.93</v>
      </c>
      <c r="F29" t="n">
        <v>6509.29</v>
      </c>
      <c r="G29" t="n">
        <v>4.36</v>
      </c>
      <c r="H29" t="n">
        <v>6200.5</v>
      </c>
      <c r="I29" t="n">
        <v>104.98</v>
      </c>
    </row>
    <row r="30">
      <c r="A30" t="inlineStr">
        <is>
          <t>2026-09-10</t>
        </is>
      </c>
      <c r="B30" t="inlineStr">
        <is>
          <t>2026-09-09</t>
        </is>
      </c>
      <c r="C30" t="inlineStr">
        <is>
          <t>EP PETROECUADOR</t>
        </is>
      </c>
      <c r="D30" t="inlineStr">
        <is>
          <t>pública</t>
        </is>
      </c>
      <c r="E30" t="n">
        <v>360856.5</v>
      </c>
      <c r="F30" t="n">
        <v>361238.63</v>
      </c>
      <c r="G30" t="n">
        <v>382.13</v>
      </c>
      <c r="H30" t="n">
        <v>368133.51</v>
      </c>
      <c r="I30" t="n">
        <v>98.13</v>
      </c>
    </row>
    <row r="31">
      <c r="A31" t="inlineStr">
        <is>
          <t>2026-09-10</t>
        </is>
      </c>
      <c r="B31" t="inlineStr">
        <is>
          <t>2026-09-09</t>
        </is>
      </c>
      <c r="C31" t="inlineStr">
        <is>
          <t>ANDES PETROLEUM ECUADOR LTD</t>
        </is>
      </c>
      <c r="D31" t="inlineStr">
        <is>
          <t>privada</t>
        </is>
      </c>
      <c r="E31" t="n">
        <v>23754.16</v>
      </c>
      <c r="F31" t="n">
        <v>23932.8</v>
      </c>
      <c r="G31" t="n">
        <v>178.64</v>
      </c>
      <c r="H31" t="n">
        <v>23607</v>
      </c>
      <c r="I31" t="n">
        <v>101.38</v>
      </c>
    </row>
    <row r="32">
      <c r="A32" t="inlineStr">
        <is>
          <t>2026-09-10</t>
        </is>
      </c>
      <c r="B32" t="inlineStr">
        <is>
          <t>2026-09-09</t>
        </is>
      </c>
      <c r="C32" t="inlineStr">
        <is>
          <t>CONSORCIO BLOQUE ESPEJO</t>
        </is>
      </c>
      <c r="D32" t="inlineStr">
        <is>
          <t>privada</t>
        </is>
      </c>
      <c r="E32" t="n">
        <v>0</v>
      </c>
      <c r="F32" t="n">
        <v>0</v>
      </c>
      <c r="G32" t="n">
        <v>0</v>
      </c>
      <c r="H32" t="n">
        <v>352.37</v>
      </c>
      <c r="I32" t="n">
        <v>0</v>
      </c>
    </row>
    <row r="33">
      <c r="A33" t="inlineStr">
        <is>
          <t>2026-09-10</t>
        </is>
      </c>
      <c r="B33" t="inlineStr">
        <is>
          <t>2026-09-09</t>
        </is>
      </c>
      <c r="C33" t="inlineStr">
        <is>
          <t>CONSORCIO BLOQUE PERICO</t>
        </is>
      </c>
      <c r="D33" t="inlineStr">
        <is>
          <t>privada</t>
        </is>
      </c>
      <c r="E33" t="n">
        <v>1014.04</v>
      </c>
      <c r="F33" t="n">
        <v>1018.16</v>
      </c>
      <c r="G33" t="n">
        <v>4.12</v>
      </c>
      <c r="H33" t="n">
        <v>1050.5</v>
      </c>
      <c r="I33" t="n">
        <v>0</v>
      </c>
    </row>
    <row r="34">
      <c r="A34" t="inlineStr">
        <is>
          <t>2026-09-10</t>
        </is>
      </c>
      <c r="B34" t="inlineStr">
        <is>
          <t>2026-09-09</t>
        </is>
      </c>
      <c r="C34" t="inlineStr">
        <is>
          <t>ENAP SIPETROL S.A. - ENAP SIPEC</t>
        </is>
      </c>
      <c r="D34" t="inlineStr">
        <is>
          <t>privada</t>
        </is>
      </c>
      <c r="E34" t="n">
        <v>26984.28</v>
      </c>
      <c r="F34" t="n">
        <v>26990.38</v>
      </c>
      <c r="G34" t="n">
        <v>6.1</v>
      </c>
      <c r="H34" t="n">
        <v>26670.31</v>
      </c>
      <c r="I34" t="n">
        <v>101.2</v>
      </c>
    </row>
    <row r="35">
      <c r="A35" t="inlineStr">
        <is>
          <t>2026-09-10</t>
        </is>
      </c>
      <c r="B35" t="inlineStr">
        <is>
          <t>2026-09-09</t>
        </is>
      </c>
      <c r="C35" t="inlineStr">
        <is>
          <t>GENTE OIL ECUADOR PTE.LTD</t>
        </is>
      </c>
      <c r="D35" t="inlineStr">
        <is>
          <t>privada</t>
        </is>
      </c>
      <c r="E35" t="n">
        <v>3402.57</v>
      </c>
      <c r="F35" t="n">
        <v>3820.51</v>
      </c>
      <c r="G35" t="n">
        <v>417.94</v>
      </c>
      <c r="H35" t="n">
        <v>4011.8</v>
      </c>
      <c r="I35" t="n">
        <v>95.23</v>
      </c>
    </row>
    <row r="36">
      <c r="A36" t="inlineStr">
        <is>
          <t>2026-09-10</t>
        </is>
      </c>
      <c r="B36" t="inlineStr">
        <is>
          <t>2026-09-09</t>
        </is>
      </c>
      <c r="C36" t="inlineStr">
        <is>
          <t>GRAN TIERRA ENERGY COLOMBIA LLC</t>
        </is>
      </c>
      <c r="D36" t="inlineStr">
        <is>
          <t>privada</t>
        </is>
      </c>
      <c r="E36" t="n">
        <v>6573.82</v>
      </c>
      <c r="F36" t="n">
        <v>5860.31</v>
      </c>
      <c r="G36" t="n">
        <v>-713.51</v>
      </c>
      <c r="H36" t="n">
        <v>4921.85</v>
      </c>
      <c r="I36" t="n">
        <v>119.07</v>
      </c>
    </row>
    <row r="37">
      <c r="A37" t="inlineStr">
        <is>
          <t>2026-09-10</t>
        </is>
      </c>
      <c r="B37" t="inlineStr">
        <is>
          <t>2026-09-09</t>
        </is>
      </c>
      <c r="C37" t="inlineStr">
        <is>
          <t>ORION ENERGY OCANOPB S.A.</t>
        </is>
      </c>
      <c r="D37" t="inlineStr">
        <is>
          <t>privada</t>
        </is>
      </c>
      <c r="E37" t="n">
        <v>1658.67</v>
      </c>
      <c r="F37" t="n">
        <v>1628.1</v>
      </c>
      <c r="G37" t="n">
        <v>-30.57</v>
      </c>
      <c r="H37" t="n">
        <v>1188.97</v>
      </c>
      <c r="I37" t="n">
        <v>136.93</v>
      </c>
    </row>
    <row r="38">
      <c r="A38" t="inlineStr">
        <is>
          <t>2026-09-10</t>
        </is>
      </c>
      <c r="B38" t="inlineStr">
        <is>
          <t>2026-09-09</t>
        </is>
      </c>
      <c r="C38" t="inlineStr">
        <is>
          <t>ORIONOIL ER S.A</t>
        </is>
      </c>
      <c r="D38" t="inlineStr">
        <is>
          <t>privada</t>
        </is>
      </c>
      <c r="E38" t="n">
        <v>2953.19</v>
      </c>
      <c r="F38" t="n">
        <v>2945.31</v>
      </c>
      <c r="G38" t="n">
        <v>-7.88</v>
      </c>
      <c r="H38" t="n">
        <v>3534.3</v>
      </c>
      <c r="I38" t="n">
        <v>83.33</v>
      </c>
    </row>
    <row r="39">
      <c r="A39" t="inlineStr">
        <is>
          <t>2026-09-10</t>
        </is>
      </c>
      <c r="B39" t="inlineStr">
        <is>
          <t>2026-09-09</t>
        </is>
      </c>
      <c r="C39" t="inlineStr">
        <is>
          <t>PCR-ECUADOR S.A.</t>
        </is>
      </c>
      <c r="D39" t="inlineStr">
        <is>
          <t>privada</t>
        </is>
      </c>
      <c r="E39" t="n">
        <v>11482.78</v>
      </c>
      <c r="F39" t="n">
        <v>11403.68</v>
      </c>
      <c r="G39" t="n">
        <v>-79.09999999999999</v>
      </c>
      <c r="H39" t="n">
        <v>10921.02</v>
      </c>
      <c r="I39" t="n">
        <v>104.42</v>
      </c>
    </row>
    <row r="40">
      <c r="A40" t="inlineStr">
        <is>
          <t>2026-09-10</t>
        </is>
      </c>
      <c r="B40" t="inlineStr">
        <is>
          <t>2026-09-09</t>
        </is>
      </c>
      <c r="C40" t="inlineStr">
        <is>
          <t>PETROBELL S.A.</t>
        </is>
      </c>
      <c r="D40" t="inlineStr">
        <is>
          <t>privada</t>
        </is>
      </c>
      <c r="E40" t="n">
        <v>4666.57</v>
      </c>
      <c r="F40" t="n">
        <v>4621.01</v>
      </c>
      <c r="G40" t="n">
        <v>-45.56</v>
      </c>
      <c r="H40" t="n">
        <v>3294.13</v>
      </c>
      <c r="I40" t="n">
        <v>140.28</v>
      </c>
    </row>
    <row r="41">
      <c r="A41" t="inlineStr">
        <is>
          <t>2026-09-10</t>
        </is>
      </c>
      <c r="B41" t="inlineStr">
        <is>
          <t>2026-09-09</t>
        </is>
      </c>
      <c r="C41" t="inlineStr">
        <is>
          <t>PETROLEOS DEL PACIFICO S.A. PACIFPETROL</t>
        </is>
      </c>
      <c r="D41" t="inlineStr">
        <is>
          <t>privada</t>
        </is>
      </c>
      <c r="E41" t="n">
        <v>916.12</v>
      </c>
      <c r="F41" t="n">
        <v>918.63</v>
      </c>
      <c r="G41" t="n">
        <v>2.51</v>
      </c>
      <c r="H41" t="n">
        <v>883.13</v>
      </c>
      <c r="I41" t="n">
        <v>104.02</v>
      </c>
    </row>
    <row r="42">
      <c r="A42" t="inlineStr">
        <is>
          <t>2026-09-10</t>
        </is>
      </c>
      <c r="B42" t="inlineStr">
        <is>
          <t>2026-09-09</t>
        </is>
      </c>
      <c r="C42" t="inlineStr">
        <is>
          <t>PETROORIENTAL S.A.</t>
        </is>
      </c>
      <c r="D42" t="inlineStr">
        <is>
          <t>privada</t>
        </is>
      </c>
      <c r="E42" t="n">
        <v>6850.52</v>
      </c>
      <c r="F42" t="n">
        <v>6791.31</v>
      </c>
      <c r="G42" t="n">
        <v>-59.21</v>
      </c>
      <c r="H42" t="n">
        <v>7503.21</v>
      </c>
      <c r="I42" t="n">
        <v>90.51000000000001</v>
      </c>
    </row>
    <row r="43">
      <c r="A43" t="inlineStr">
        <is>
          <t>2026-09-10</t>
        </is>
      </c>
      <c r="B43" t="inlineStr">
        <is>
          <t>2026-09-09</t>
        </is>
      </c>
      <c r="C43" t="inlineStr">
        <is>
          <t>PLUSPETROL ECUADOR B.V</t>
        </is>
      </c>
      <c r="D43" t="inlineStr">
        <is>
          <t>privada</t>
        </is>
      </c>
      <c r="E43" t="n">
        <v>6509.29</v>
      </c>
      <c r="F43" t="n">
        <v>6501.29</v>
      </c>
      <c r="G43" t="n">
        <v>-8</v>
      </c>
      <c r="H43" t="n">
        <v>6200.5</v>
      </c>
      <c r="I43" t="n">
        <v>104.85</v>
      </c>
    </row>
    <row r="44">
      <c r="A44" t="inlineStr">
        <is>
          <t>2026-09-11</t>
        </is>
      </c>
      <c r="B44" t="inlineStr">
        <is>
          <t>2026-09-10</t>
        </is>
      </c>
      <c r="C44" t="inlineStr">
        <is>
          <t>EP PETROECUADOR</t>
        </is>
      </c>
      <c r="D44" t="inlineStr">
        <is>
          <t>pública</t>
        </is>
      </c>
      <c r="E44" t="n">
        <v>367065.88</v>
      </c>
      <c r="F44" t="n">
        <v>366095.21</v>
      </c>
      <c r="G44" t="n">
        <v>-970.67</v>
      </c>
      <c r="H44" t="n">
        <v>368133.51</v>
      </c>
      <c r="I44" t="n">
        <v>99.45</v>
      </c>
    </row>
    <row r="45">
      <c r="A45" t="inlineStr">
        <is>
          <t>2026-09-11</t>
        </is>
      </c>
      <c r="B45" t="inlineStr">
        <is>
          <t>2026-09-10</t>
        </is>
      </c>
      <c r="C45" t="inlineStr">
        <is>
          <t>ANDES PETROLEUM ECUADOR LTD</t>
        </is>
      </c>
      <c r="D45" t="inlineStr">
        <is>
          <t>privada</t>
        </is>
      </c>
      <c r="E45" t="n">
        <v>23932.8</v>
      </c>
      <c r="F45" t="n">
        <v>23807.21</v>
      </c>
      <c r="G45" t="n">
        <v>-125.59</v>
      </c>
      <c r="H45" t="n">
        <v>23607</v>
      </c>
      <c r="I45" t="n">
        <v>100.85</v>
      </c>
    </row>
    <row r="46">
      <c r="A46" t="inlineStr">
        <is>
          <t>2026-09-11</t>
        </is>
      </c>
      <c r="B46" t="inlineStr">
        <is>
          <t>2026-09-10</t>
        </is>
      </c>
      <c r="C46" t="inlineStr">
        <is>
          <t>CONSORCIO BLOQUE ESPEJO</t>
        </is>
      </c>
      <c r="D46" t="inlineStr">
        <is>
          <t>privada</t>
        </is>
      </c>
      <c r="E46" t="n">
        <v>0</v>
      </c>
      <c r="F46" t="n">
        <v>0</v>
      </c>
      <c r="G46" t="n">
        <v>0</v>
      </c>
      <c r="H46" t="n">
        <v>352.37</v>
      </c>
      <c r="I46" t="n">
        <v>0</v>
      </c>
    </row>
    <row r="47">
      <c r="A47" t="inlineStr">
        <is>
          <t>2026-09-11</t>
        </is>
      </c>
      <c r="B47" t="inlineStr">
        <is>
          <t>2026-09-10</t>
        </is>
      </c>
      <c r="C47" t="inlineStr">
        <is>
          <t>CONSORCIO BLOQUE PERICO</t>
        </is>
      </c>
      <c r="D47" t="inlineStr">
        <is>
          <t>privada</t>
        </is>
      </c>
      <c r="E47" t="n">
        <v>1018.16</v>
      </c>
      <c r="F47" t="n">
        <v>1018.4</v>
      </c>
      <c r="G47" t="n">
        <v>0.24</v>
      </c>
      <c r="H47" t="n">
        <v>1050.5</v>
      </c>
      <c r="I47" t="n">
        <v>0</v>
      </c>
    </row>
    <row r="48">
      <c r="A48" t="inlineStr">
        <is>
          <t>2026-09-11</t>
        </is>
      </c>
      <c r="B48" t="inlineStr">
        <is>
          <t>2026-09-10</t>
        </is>
      </c>
      <c r="C48" t="inlineStr">
        <is>
          <t>ENAP SIPETROL S.A. - ENAP SIPEC</t>
        </is>
      </c>
      <c r="D48" t="inlineStr">
        <is>
          <t>privada</t>
        </is>
      </c>
      <c r="E48" t="n">
        <v>26990.38</v>
      </c>
      <c r="F48" t="n">
        <v>27013.25</v>
      </c>
      <c r="G48" t="n">
        <v>22.87</v>
      </c>
      <c r="H48" t="n">
        <v>26670.31</v>
      </c>
      <c r="I48" t="n">
        <v>101.29</v>
      </c>
    </row>
    <row r="49">
      <c r="A49" t="inlineStr">
        <is>
          <t>2026-09-11</t>
        </is>
      </c>
      <c r="B49" t="inlineStr">
        <is>
          <t>2026-09-10</t>
        </is>
      </c>
      <c r="C49" t="inlineStr">
        <is>
          <t>GENTE OIL ECUADOR PTE.LTD</t>
        </is>
      </c>
      <c r="D49" t="inlineStr">
        <is>
          <t>privada</t>
        </is>
      </c>
      <c r="E49" t="n">
        <v>3820.51</v>
      </c>
      <c r="F49" t="n">
        <v>4002.15</v>
      </c>
      <c r="G49" t="n">
        <v>181.64</v>
      </c>
      <c r="H49" t="n">
        <v>4011.8</v>
      </c>
      <c r="I49" t="n">
        <v>99.76000000000001</v>
      </c>
    </row>
    <row r="50">
      <c r="A50" t="inlineStr">
        <is>
          <t>2026-09-11</t>
        </is>
      </c>
      <c r="B50" t="inlineStr">
        <is>
          <t>2026-09-10</t>
        </is>
      </c>
      <c r="C50" t="inlineStr">
        <is>
          <t>GRAN TIERRA ENERGY COLOMBIA LLC</t>
        </is>
      </c>
      <c r="D50" t="inlineStr">
        <is>
          <t>privada</t>
        </is>
      </c>
      <c r="E50" t="n">
        <v>5860.31</v>
      </c>
      <c r="F50" t="n">
        <v>6744.99</v>
      </c>
      <c r="G50" t="n">
        <v>884.6799999999999</v>
      </c>
      <c r="H50" t="n">
        <v>4921.85</v>
      </c>
      <c r="I50" t="n">
        <v>137.04</v>
      </c>
    </row>
    <row r="51">
      <c r="A51" t="inlineStr">
        <is>
          <t>2026-09-11</t>
        </is>
      </c>
      <c r="B51" t="inlineStr">
        <is>
          <t>2026-09-10</t>
        </is>
      </c>
      <c r="C51" t="inlineStr">
        <is>
          <t>ORION ENERGY OCANOPB S.A.</t>
        </is>
      </c>
      <c r="D51" t="inlineStr">
        <is>
          <t>privada</t>
        </is>
      </c>
      <c r="E51" t="n">
        <v>1628.1</v>
      </c>
      <c r="F51" t="n">
        <v>1652.63</v>
      </c>
      <c r="G51" t="n">
        <v>24.53</v>
      </c>
      <c r="H51" t="n">
        <v>1188.97</v>
      </c>
      <c r="I51" t="n">
        <v>139</v>
      </c>
    </row>
    <row r="52">
      <c r="A52" t="inlineStr">
        <is>
          <t>2026-09-11</t>
        </is>
      </c>
      <c r="B52" t="inlineStr">
        <is>
          <t>2026-09-10</t>
        </is>
      </c>
      <c r="C52" t="inlineStr">
        <is>
          <t>ORIONOIL ER S.A</t>
        </is>
      </c>
      <c r="D52" t="inlineStr">
        <is>
          <t>privada</t>
        </is>
      </c>
      <c r="E52" t="n">
        <v>2945.31</v>
      </c>
      <c r="F52" t="n">
        <v>2928.71</v>
      </c>
      <c r="G52" t="n">
        <v>-16.6</v>
      </c>
      <c r="H52" t="n">
        <v>3534.3</v>
      </c>
      <c r="I52" t="n">
        <v>82.87</v>
      </c>
    </row>
    <row r="53">
      <c r="A53" t="inlineStr">
        <is>
          <t>2026-09-11</t>
        </is>
      </c>
      <c r="B53" t="inlineStr">
        <is>
          <t>2026-09-10</t>
        </is>
      </c>
      <c r="C53" t="inlineStr">
        <is>
          <t>PCR-ECUADOR S.A.</t>
        </is>
      </c>
      <c r="D53" t="inlineStr">
        <is>
          <t>privada</t>
        </is>
      </c>
      <c r="E53" t="n">
        <v>11403.68</v>
      </c>
      <c r="F53" t="n">
        <v>10986.58</v>
      </c>
      <c r="G53" t="n">
        <v>-417.1</v>
      </c>
      <c r="H53" t="n">
        <v>10921.02</v>
      </c>
      <c r="I53" t="n">
        <v>100.6</v>
      </c>
    </row>
    <row r="54">
      <c r="A54" t="inlineStr">
        <is>
          <t>2026-09-11</t>
        </is>
      </c>
      <c r="B54" t="inlineStr">
        <is>
          <t>2026-09-10</t>
        </is>
      </c>
      <c r="C54" t="inlineStr">
        <is>
          <t>PETROBELL S.A.</t>
        </is>
      </c>
      <c r="D54" t="inlineStr">
        <is>
          <t>privada</t>
        </is>
      </c>
      <c r="E54" t="n">
        <v>4621.01</v>
      </c>
      <c r="F54" t="n">
        <v>4617.06</v>
      </c>
      <c r="G54" t="n">
        <v>-3.95</v>
      </c>
      <c r="H54" t="n">
        <v>3294.13</v>
      </c>
      <c r="I54" t="n">
        <v>140.16</v>
      </c>
    </row>
    <row r="55">
      <c r="A55" t="inlineStr">
        <is>
          <t>2026-09-11</t>
        </is>
      </c>
      <c r="B55" t="inlineStr">
        <is>
          <t>2026-09-10</t>
        </is>
      </c>
      <c r="C55" t="inlineStr">
        <is>
          <t>PETROLEOS DEL PACIFICO S.A. PACIFPETROL</t>
        </is>
      </c>
      <c r="D55" t="inlineStr">
        <is>
          <t>privada</t>
        </is>
      </c>
      <c r="E55" t="n">
        <v>918.63</v>
      </c>
      <c r="F55" t="n">
        <v>959.05</v>
      </c>
      <c r="G55" t="n">
        <v>40.42</v>
      </c>
      <c r="H55" t="n">
        <v>883.13</v>
      </c>
      <c r="I55" t="n">
        <v>108.6</v>
      </c>
    </row>
    <row r="56">
      <c r="A56" t="inlineStr">
        <is>
          <t>2026-09-11</t>
        </is>
      </c>
      <c r="B56" t="inlineStr">
        <is>
          <t>2026-09-10</t>
        </is>
      </c>
      <c r="C56" t="inlineStr">
        <is>
          <t>PETROORIENTAL S.A.</t>
        </is>
      </c>
      <c r="D56" t="inlineStr">
        <is>
          <t>privada</t>
        </is>
      </c>
      <c r="E56" t="n">
        <v>6791.31</v>
      </c>
      <c r="F56" t="n">
        <v>6777.97</v>
      </c>
      <c r="G56" t="n">
        <v>-13.34</v>
      </c>
      <c r="H56" t="n">
        <v>7503.21</v>
      </c>
      <c r="I56" t="n">
        <v>90.33</v>
      </c>
    </row>
    <row r="57">
      <c r="A57" t="inlineStr">
        <is>
          <t>2026-09-11</t>
        </is>
      </c>
      <c r="B57" t="inlineStr">
        <is>
          <t>2026-09-10</t>
        </is>
      </c>
      <c r="C57" t="inlineStr">
        <is>
          <t>PLUSPETROL ECUADOR B.V</t>
        </is>
      </c>
      <c r="D57" t="inlineStr">
        <is>
          <t>privada</t>
        </is>
      </c>
      <c r="E57" t="n">
        <v>6501.29</v>
      </c>
      <c r="F57" t="n">
        <v>6496.89</v>
      </c>
      <c r="G57" t="n">
        <v>-4.4</v>
      </c>
      <c r="H57" t="n">
        <v>6200.5</v>
      </c>
      <c r="I57" t="n">
        <v>104.78</v>
      </c>
    </row>
    <row r="58">
      <c r="A58" t="inlineStr">
        <is>
          <t>2026-09-14</t>
        </is>
      </c>
      <c r="B58" t="inlineStr">
        <is>
          <t>2026-09-13</t>
        </is>
      </c>
      <c r="C58" t="inlineStr">
        <is>
          <t>EP PETROECUADOR</t>
        </is>
      </c>
      <c r="D58" t="inlineStr">
        <is>
          <t>pública</t>
        </is>
      </c>
      <c r="E58" t="n">
        <v>368127.46</v>
      </c>
      <c r="F58" t="n">
        <v>368058.36</v>
      </c>
      <c r="G58" t="n">
        <v>-69.09999999999999</v>
      </c>
      <c r="H58" t="n">
        <v>368133.51</v>
      </c>
      <c r="I58" t="n">
        <v>99.98</v>
      </c>
    </row>
    <row r="59">
      <c r="A59" t="inlineStr">
        <is>
          <t>2026-09-14</t>
        </is>
      </c>
      <c r="B59" t="inlineStr">
        <is>
          <t>2026-09-13</t>
        </is>
      </c>
      <c r="C59" t="inlineStr">
        <is>
          <t>ANDES PETROLEUM ECUADOR LTD</t>
        </is>
      </c>
      <c r="D59" t="inlineStr">
        <is>
          <t>privada</t>
        </is>
      </c>
      <c r="E59" t="n">
        <v>23752.34</v>
      </c>
      <c r="F59" t="n">
        <v>23814.41</v>
      </c>
      <c r="G59" t="n">
        <v>62.07</v>
      </c>
      <c r="H59" t="n">
        <v>23607</v>
      </c>
      <c r="I59" t="n">
        <v>100.88</v>
      </c>
    </row>
    <row r="60">
      <c r="A60" t="inlineStr">
        <is>
          <t>2026-09-14</t>
        </is>
      </c>
      <c r="B60" t="inlineStr">
        <is>
          <t>2026-09-13</t>
        </is>
      </c>
      <c r="C60" t="inlineStr">
        <is>
          <t>CONSORCIO BLOQUE ESPEJO</t>
        </is>
      </c>
      <c r="D60" t="inlineStr">
        <is>
          <t>privada</t>
        </is>
      </c>
      <c r="E60" t="n">
        <v>0</v>
      </c>
      <c r="F60" t="n">
        <v>0</v>
      </c>
      <c r="G60" t="n">
        <v>0</v>
      </c>
      <c r="H60" t="n">
        <v>352.37</v>
      </c>
      <c r="I60" t="n">
        <v>0</v>
      </c>
    </row>
    <row r="61">
      <c r="A61" t="inlineStr">
        <is>
          <t>2026-09-14</t>
        </is>
      </c>
      <c r="B61" t="inlineStr">
        <is>
          <t>2026-09-13</t>
        </is>
      </c>
      <c r="C61" t="inlineStr">
        <is>
          <t>CONSORCIO BLOQUE PERICO</t>
        </is>
      </c>
      <c r="D61" t="inlineStr">
        <is>
          <t>privada</t>
        </is>
      </c>
      <c r="E61" t="n">
        <v>1018.62</v>
      </c>
      <c r="F61" t="n">
        <v>993.75</v>
      </c>
      <c r="G61" t="n">
        <v>-24.87</v>
      </c>
      <c r="H61" t="n">
        <v>1050.5</v>
      </c>
      <c r="I61" t="n">
        <v>0</v>
      </c>
    </row>
    <row r="62">
      <c r="A62" t="inlineStr">
        <is>
          <t>2026-09-14</t>
        </is>
      </c>
      <c r="B62" t="inlineStr">
        <is>
          <t>2026-09-13</t>
        </is>
      </c>
      <c r="C62" t="inlineStr">
        <is>
          <t>ENAP SIPETROL S.A. - ENAP SIPEC</t>
        </is>
      </c>
      <c r="D62" t="inlineStr">
        <is>
          <t>privada</t>
        </is>
      </c>
      <c r="E62" t="n">
        <v>26870.32</v>
      </c>
      <c r="F62" t="n">
        <v>26722.84</v>
      </c>
      <c r="G62" t="n">
        <v>-147.48</v>
      </c>
      <c r="H62" t="n">
        <v>26670.31</v>
      </c>
      <c r="I62" t="n">
        <v>100.2</v>
      </c>
    </row>
    <row r="63">
      <c r="A63" t="inlineStr">
        <is>
          <t>2026-09-14</t>
        </is>
      </c>
      <c r="B63" t="inlineStr">
        <is>
          <t>2026-09-13</t>
        </is>
      </c>
      <c r="C63" t="inlineStr">
        <is>
          <t>GENTE OIL ECUADOR PTE.LTD</t>
        </is>
      </c>
      <c r="D63" t="inlineStr">
        <is>
          <t>privada</t>
        </is>
      </c>
      <c r="E63" t="n">
        <v>4026.69</v>
      </c>
      <c r="F63" t="n">
        <v>4135.98</v>
      </c>
      <c r="G63" t="n">
        <v>109.29</v>
      </c>
      <c r="H63" t="n">
        <v>4011.8</v>
      </c>
      <c r="I63" t="n">
        <v>103.1</v>
      </c>
    </row>
    <row r="64">
      <c r="A64" t="inlineStr">
        <is>
          <t>2026-09-14</t>
        </is>
      </c>
      <c r="B64" t="inlineStr">
        <is>
          <t>2026-09-13</t>
        </is>
      </c>
      <c r="C64" t="inlineStr">
        <is>
          <t>GRAN TIERRA ENERGY COLOMBIA LLC</t>
        </is>
      </c>
      <c r="D64" t="inlineStr">
        <is>
          <t>privada</t>
        </is>
      </c>
      <c r="E64" t="n">
        <v>6794.41</v>
      </c>
      <c r="F64" t="n">
        <v>6792.56</v>
      </c>
      <c r="G64" t="n">
        <v>-1.85</v>
      </c>
      <c r="H64" t="n">
        <v>4921.85</v>
      </c>
      <c r="I64" t="n">
        <v>138.01</v>
      </c>
    </row>
    <row r="65">
      <c r="A65" t="inlineStr">
        <is>
          <t>2026-09-14</t>
        </is>
      </c>
      <c r="B65" t="inlineStr">
        <is>
          <t>2026-09-13</t>
        </is>
      </c>
      <c r="C65" t="inlineStr">
        <is>
          <t>ORION ENERGY OCANOPB S.A.</t>
        </is>
      </c>
      <c r="D65" t="inlineStr">
        <is>
          <t>privada</t>
        </is>
      </c>
      <c r="E65" t="n">
        <v>1619.66</v>
      </c>
      <c r="F65" t="n">
        <v>1662.71</v>
      </c>
      <c r="G65" t="n">
        <v>43.05</v>
      </c>
      <c r="H65" t="n">
        <v>1188.97</v>
      </c>
      <c r="I65" t="n">
        <v>139.84</v>
      </c>
    </row>
    <row r="66">
      <c r="A66" t="inlineStr">
        <is>
          <t>2026-09-14</t>
        </is>
      </c>
      <c r="B66" t="inlineStr">
        <is>
          <t>2026-09-13</t>
        </is>
      </c>
      <c r="C66" t="inlineStr">
        <is>
          <t>ORIONOIL ER S.A</t>
        </is>
      </c>
      <c r="D66" t="inlineStr">
        <is>
          <t>privada</t>
        </is>
      </c>
      <c r="E66" t="n">
        <v>2924.58</v>
      </c>
      <c r="F66" t="n">
        <v>2913.34</v>
      </c>
      <c r="G66" t="n">
        <v>-11.24</v>
      </c>
      <c r="H66" t="n">
        <v>3534.3</v>
      </c>
      <c r="I66" t="n">
        <v>82.43000000000001</v>
      </c>
    </row>
    <row r="67">
      <c r="A67" t="inlineStr">
        <is>
          <t>2026-09-14</t>
        </is>
      </c>
      <c r="B67" t="inlineStr">
        <is>
          <t>2026-09-13</t>
        </is>
      </c>
      <c r="C67" t="inlineStr">
        <is>
          <t>PCR-ECUADOR S.A.</t>
        </is>
      </c>
      <c r="D67" t="inlineStr">
        <is>
          <t>privada</t>
        </is>
      </c>
      <c r="E67" t="n">
        <v>11467.05</v>
      </c>
      <c r="F67" t="n">
        <v>11502.5</v>
      </c>
      <c r="G67" t="n">
        <v>35.45</v>
      </c>
      <c r="H67" t="n">
        <v>10921.02</v>
      </c>
      <c r="I67" t="n">
        <v>105.32</v>
      </c>
    </row>
    <row r="68">
      <c r="A68" t="inlineStr">
        <is>
          <t>2026-09-14</t>
        </is>
      </c>
      <c r="B68" t="inlineStr">
        <is>
          <t>2026-09-13</t>
        </is>
      </c>
      <c r="C68" t="inlineStr">
        <is>
          <t>PETROBELL S.A.</t>
        </is>
      </c>
      <c r="D68" t="inlineStr">
        <is>
          <t>privada</t>
        </is>
      </c>
      <c r="E68" t="n">
        <v>4044.2</v>
      </c>
      <c r="F68" t="n">
        <v>4299.77</v>
      </c>
      <c r="G68" t="n">
        <v>255.57</v>
      </c>
      <c r="H68" t="n">
        <v>3294.13</v>
      </c>
      <c r="I68" t="n">
        <v>130.53</v>
      </c>
    </row>
    <row r="69">
      <c r="A69" t="inlineStr">
        <is>
          <t>2026-09-14</t>
        </is>
      </c>
      <c r="B69" t="inlineStr">
        <is>
          <t>2026-09-13</t>
        </is>
      </c>
      <c r="C69" t="inlineStr">
        <is>
          <t>PETROLEOS DEL PACIFICO S.A. PACIFPETROL</t>
        </is>
      </c>
      <c r="D69" t="inlineStr">
        <is>
          <t>privada</t>
        </is>
      </c>
      <c r="E69" t="n">
        <v>921.47</v>
      </c>
      <c r="F69" t="n">
        <v>935.03</v>
      </c>
      <c r="G69" t="n">
        <v>13.56</v>
      </c>
      <c r="H69" t="n">
        <v>883.13</v>
      </c>
      <c r="I69" t="n">
        <v>105.88</v>
      </c>
    </row>
    <row r="70">
      <c r="A70" t="inlineStr">
        <is>
          <t>2026-09-14</t>
        </is>
      </c>
      <c r="B70" t="inlineStr">
        <is>
          <t>2026-09-13</t>
        </is>
      </c>
      <c r="C70" t="inlineStr">
        <is>
          <t>PETROORIENTAL S.A.</t>
        </is>
      </c>
      <c r="D70" t="inlineStr">
        <is>
          <t>privada</t>
        </is>
      </c>
      <c r="E70" t="n">
        <v>6808.57</v>
      </c>
      <c r="F70" t="n">
        <v>6814.09</v>
      </c>
      <c r="G70" t="n">
        <v>5.52</v>
      </c>
      <c r="H70" t="n">
        <v>7503.21</v>
      </c>
      <c r="I70" t="n">
        <v>90.81999999999999</v>
      </c>
    </row>
    <row r="71">
      <c r="A71" t="inlineStr">
        <is>
          <t>2026-09-14</t>
        </is>
      </c>
      <c r="B71" t="inlineStr">
        <is>
          <t>2026-09-13</t>
        </is>
      </c>
      <c r="C71" t="inlineStr">
        <is>
          <t>PLUSPETROL ECUADOR B.V</t>
        </is>
      </c>
      <c r="D71" t="inlineStr">
        <is>
          <t>privada</t>
        </is>
      </c>
      <c r="E71" t="n">
        <v>6420.93</v>
      </c>
      <c r="F71" t="n">
        <v>6465.31</v>
      </c>
      <c r="G71" t="n">
        <v>44.38</v>
      </c>
      <c r="H71" t="n">
        <v>6200.5</v>
      </c>
      <c r="I71" t="n">
        <v>104.27</v>
      </c>
    </row>
    <row r="72">
      <c r="A72" t="inlineStr">
        <is>
          <t>2026-09-15</t>
        </is>
      </c>
      <c r="B72" t="inlineStr">
        <is>
          <t>2026-09-14</t>
        </is>
      </c>
      <c r="C72" t="inlineStr">
        <is>
          <t>EP PETROECUADOR</t>
        </is>
      </c>
      <c r="D72" t="inlineStr">
        <is>
          <t>pública</t>
        </is>
      </c>
      <c r="E72" t="n">
        <v>368058.36</v>
      </c>
      <c r="F72" t="n">
        <v>366559.66</v>
      </c>
      <c r="G72" t="n">
        <v>-1498.7</v>
      </c>
      <c r="H72" t="n">
        <v>368133.51</v>
      </c>
      <c r="I72" t="n">
        <v>99.56999999999999</v>
      </c>
    </row>
    <row r="73">
      <c r="A73" t="inlineStr">
        <is>
          <t>2026-09-15</t>
        </is>
      </c>
      <c r="B73" t="inlineStr">
        <is>
          <t>2026-09-14</t>
        </is>
      </c>
      <c r="C73" t="inlineStr">
        <is>
          <t>ANDES PETROLEUM ECUADOR LTD</t>
        </is>
      </c>
      <c r="D73" t="inlineStr">
        <is>
          <t>privada</t>
        </is>
      </c>
      <c r="E73" t="n">
        <v>23816.18</v>
      </c>
      <c r="F73" t="n">
        <v>23806.72</v>
      </c>
      <c r="G73" t="n">
        <v>-9.460000000000001</v>
      </c>
      <c r="H73" t="n">
        <v>23607</v>
      </c>
      <c r="I73" t="n">
        <v>100.84</v>
      </c>
    </row>
    <row r="74">
      <c r="A74" t="inlineStr">
        <is>
          <t>2026-09-15</t>
        </is>
      </c>
      <c r="B74" t="inlineStr">
        <is>
          <t>2026-09-14</t>
        </is>
      </c>
      <c r="C74" t="inlineStr">
        <is>
          <t>CONSORCIO BLOQUE ESPEJO</t>
        </is>
      </c>
      <c r="D74" t="inlineStr">
        <is>
          <t>privada</t>
        </is>
      </c>
      <c r="E74" t="n">
        <v>0</v>
      </c>
      <c r="F74" t="n">
        <v>0</v>
      </c>
      <c r="G74" t="n">
        <v>0</v>
      </c>
      <c r="H74" t="n">
        <v>352.37</v>
      </c>
      <c r="I74" t="n">
        <v>0</v>
      </c>
    </row>
    <row r="75">
      <c r="A75" t="inlineStr">
        <is>
          <t>2026-09-15</t>
        </is>
      </c>
      <c r="B75" t="inlineStr">
        <is>
          <t>2026-09-14</t>
        </is>
      </c>
      <c r="C75" t="inlineStr">
        <is>
          <t>CONSORCIO BLOQUE PERICO</t>
        </is>
      </c>
      <c r="D75" t="inlineStr">
        <is>
          <t>privada</t>
        </is>
      </c>
      <c r="E75" t="n">
        <v>993.75</v>
      </c>
      <c r="F75" t="n">
        <v>1013.66</v>
      </c>
      <c r="G75" t="n">
        <v>19.91</v>
      </c>
      <c r="H75" t="n">
        <v>1050.5</v>
      </c>
      <c r="I75" t="n">
        <v>0</v>
      </c>
    </row>
    <row r="76">
      <c r="A76" t="inlineStr">
        <is>
          <t>2026-09-15</t>
        </is>
      </c>
      <c r="B76" t="inlineStr">
        <is>
          <t>2026-09-14</t>
        </is>
      </c>
      <c r="C76" t="inlineStr">
        <is>
          <t>ENAP SIPETROL S.A. - ENAP SIPEC</t>
        </is>
      </c>
      <c r="D76" t="inlineStr">
        <is>
          <t>privada</t>
        </is>
      </c>
      <c r="E76" t="n">
        <v>26722.84</v>
      </c>
      <c r="F76" t="n">
        <v>26711.24</v>
      </c>
      <c r="G76" t="n">
        <v>-11.6</v>
      </c>
      <c r="H76" t="n">
        <v>26670.31</v>
      </c>
      <c r="I76" t="n">
        <v>100.15</v>
      </c>
    </row>
    <row r="77">
      <c r="A77" t="inlineStr">
        <is>
          <t>2026-09-15</t>
        </is>
      </c>
      <c r="B77" t="inlineStr">
        <is>
          <t>2026-09-14</t>
        </is>
      </c>
      <c r="C77" t="inlineStr">
        <is>
          <t>GENTE OIL ECUADOR PTE.LTD</t>
        </is>
      </c>
      <c r="D77" t="inlineStr">
        <is>
          <t>privada</t>
        </is>
      </c>
      <c r="E77" t="n">
        <v>4135.98</v>
      </c>
      <c r="F77" t="n">
        <v>4133.48</v>
      </c>
      <c r="G77" t="n">
        <v>-2.5</v>
      </c>
      <c r="H77" t="n">
        <v>4011.8</v>
      </c>
      <c r="I77" t="n">
        <v>103.03</v>
      </c>
    </row>
    <row r="78">
      <c r="A78" t="inlineStr">
        <is>
          <t>2026-09-15</t>
        </is>
      </c>
      <c r="B78" t="inlineStr">
        <is>
          <t>2026-09-14</t>
        </is>
      </c>
      <c r="C78" t="inlineStr">
        <is>
          <t>GRAN TIERRA ENERGY COLOMBIA LLC</t>
        </is>
      </c>
      <c r="D78" t="inlineStr">
        <is>
          <t>privada</t>
        </is>
      </c>
      <c r="E78" t="n">
        <v>6792.56</v>
      </c>
      <c r="F78" t="n">
        <v>6785.9</v>
      </c>
      <c r="G78" t="n">
        <v>-6.66</v>
      </c>
      <c r="H78" t="n">
        <v>4921.85</v>
      </c>
      <c r="I78" t="n">
        <v>137.87</v>
      </c>
    </row>
    <row r="79">
      <c r="A79" t="inlineStr">
        <is>
          <t>2026-09-15</t>
        </is>
      </c>
      <c r="B79" t="inlineStr">
        <is>
          <t>2026-09-14</t>
        </is>
      </c>
      <c r="C79" t="inlineStr">
        <is>
          <t>ORION ENERGY OCANOPB S.A.</t>
        </is>
      </c>
      <c r="D79" t="inlineStr">
        <is>
          <t>privada</t>
        </is>
      </c>
      <c r="E79" t="n">
        <v>1662.71</v>
      </c>
      <c r="F79" t="n">
        <v>1662.35</v>
      </c>
      <c r="G79" t="n">
        <v>-0.36</v>
      </c>
      <c r="H79" t="n">
        <v>1188.97</v>
      </c>
      <c r="I79" t="n">
        <v>139.81</v>
      </c>
    </row>
    <row r="80">
      <c r="A80" t="inlineStr">
        <is>
          <t>2026-09-15</t>
        </is>
      </c>
      <c r="B80" t="inlineStr">
        <is>
          <t>2026-09-14</t>
        </is>
      </c>
      <c r="C80" t="inlineStr">
        <is>
          <t>ORIONOIL ER S.A</t>
        </is>
      </c>
      <c r="D80" t="inlineStr">
        <is>
          <t>privada</t>
        </is>
      </c>
      <c r="E80" t="n">
        <v>2913.34</v>
      </c>
      <c r="F80" t="n">
        <v>2895.62</v>
      </c>
      <c r="G80" t="n">
        <v>-17.72</v>
      </c>
      <c r="H80" t="n">
        <v>3534.3</v>
      </c>
      <c r="I80" t="n">
        <v>81.93000000000001</v>
      </c>
    </row>
    <row r="81">
      <c r="A81" t="inlineStr">
        <is>
          <t>2026-09-15</t>
        </is>
      </c>
      <c r="B81" t="inlineStr">
        <is>
          <t>2026-09-14</t>
        </is>
      </c>
      <c r="C81" t="inlineStr">
        <is>
          <t>PCR-ECUADOR S.A.</t>
        </is>
      </c>
      <c r="D81" t="inlineStr">
        <is>
          <t>privada</t>
        </is>
      </c>
      <c r="E81" t="n">
        <v>11502.5</v>
      </c>
      <c r="F81" t="n">
        <v>11470.28</v>
      </c>
      <c r="G81" t="n">
        <v>-32.22</v>
      </c>
      <c r="H81" t="n">
        <v>10921.02</v>
      </c>
      <c r="I81" t="n">
        <v>105.03</v>
      </c>
    </row>
    <row r="82">
      <c r="A82" t="inlineStr">
        <is>
          <t>2026-09-15</t>
        </is>
      </c>
      <c r="B82" t="inlineStr">
        <is>
          <t>2026-09-14</t>
        </is>
      </c>
      <c r="C82" t="inlineStr">
        <is>
          <t>PETROBELL S.A.</t>
        </is>
      </c>
      <c r="D82" t="inlineStr">
        <is>
          <t>privada</t>
        </is>
      </c>
      <c r="E82" t="n">
        <v>4299.77</v>
      </c>
      <c r="F82" t="n">
        <v>4597.11</v>
      </c>
      <c r="G82" t="n">
        <v>297.34</v>
      </c>
      <c r="H82" t="n">
        <v>3294.13</v>
      </c>
      <c r="I82" t="n">
        <v>139.55</v>
      </c>
    </row>
    <row r="83">
      <c r="A83" t="inlineStr">
        <is>
          <t>2026-09-15</t>
        </is>
      </c>
      <c r="B83" t="inlineStr">
        <is>
          <t>2026-09-14</t>
        </is>
      </c>
      <c r="C83" t="inlineStr">
        <is>
          <t>PETROLEOS DEL PACIFICO S.A. PACIFPETROL</t>
        </is>
      </c>
      <c r="D83" t="inlineStr">
        <is>
          <t>privada</t>
        </is>
      </c>
      <c r="E83" t="n">
        <v>935.03</v>
      </c>
      <c r="F83" t="n">
        <v>915.62</v>
      </c>
      <c r="G83" t="n">
        <v>-19.41</v>
      </c>
      <c r="H83" t="n">
        <v>883.13</v>
      </c>
      <c r="I83" t="n">
        <v>103.68</v>
      </c>
    </row>
    <row r="84">
      <c r="A84" t="inlineStr">
        <is>
          <t>2026-09-15</t>
        </is>
      </c>
      <c r="B84" t="inlineStr">
        <is>
          <t>2026-09-14</t>
        </is>
      </c>
      <c r="C84" t="inlineStr">
        <is>
          <t>PETROORIENTAL S.A.</t>
        </is>
      </c>
      <c r="D84" t="inlineStr">
        <is>
          <t>privada</t>
        </is>
      </c>
      <c r="E84" t="n">
        <v>6814.09</v>
      </c>
      <c r="F84" t="n">
        <v>6806.17</v>
      </c>
      <c r="G84" t="n">
        <v>-7.92</v>
      </c>
      <c r="H84" t="n">
        <v>7503.21</v>
      </c>
      <c r="I84" t="n">
        <v>90.70999999999999</v>
      </c>
    </row>
    <row r="85">
      <c r="A85" t="inlineStr">
        <is>
          <t>2026-09-15</t>
        </is>
      </c>
      <c r="B85" t="inlineStr">
        <is>
          <t>2026-09-14</t>
        </is>
      </c>
      <c r="C85" t="inlineStr">
        <is>
          <t>PLUSPETROL ECUADOR B.V</t>
        </is>
      </c>
      <c r="D85" t="inlineStr">
        <is>
          <t>privada</t>
        </is>
      </c>
      <c r="E85" t="n">
        <v>6465.31</v>
      </c>
      <c r="F85" t="n">
        <v>6454.96</v>
      </c>
      <c r="G85" t="n">
        <v>-10.35</v>
      </c>
      <c r="H85" t="n">
        <v>6200.5</v>
      </c>
      <c r="I85" t="n">
        <v>104.1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operacion</t>
        </is>
      </c>
      <c r="B1" s="1" t="inlineStr">
        <is>
          <t>grupo</t>
        </is>
      </c>
      <c r="C1" s="1" t="inlineStr">
        <is>
          <t>en producción</t>
        </is>
      </c>
      <c r="D1" s="1" t="inlineStr">
        <is>
          <t>en reacondicionamiento o completación</t>
        </is>
      </c>
      <c r="E1" s="1" t="inlineStr">
        <is>
          <t>en perforación</t>
        </is>
      </c>
    </row>
    <row r="2">
      <c r="A2" t="inlineStr">
        <is>
          <t>2026-09-07</t>
        </is>
      </c>
      <c r="B2" t="inlineStr">
        <is>
          <t>publica</t>
        </is>
      </c>
      <c r="C2" t="n">
        <v>1886</v>
      </c>
      <c r="D2" t="n">
        <v>45</v>
      </c>
      <c r="E2" t="n">
        <v>4</v>
      </c>
    </row>
    <row r="3">
      <c r="A3" t="inlineStr">
        <is>
          <t>2026-09-07</t>
        </is>
      </c>
      <c r="B3" t="inlineStr">
        <is>
          <t>privadas</t>
        </is>
      </c>
      <c r="C3" t="n">
        <v>756</v>
      </c>
      <c r="D3" t="n">
        <v>5</v>
      </c>
      <c r="E3" t="n">
        <v>1</v>
      </c>
    </row>
    <row r="4">
      <c r="A4" t="inlineStr">
        <is>
          <t>2026-09-07</t>
        </is>
      </c>
      <c r="B4" t="inlineStr">
        <is>
          <t>total</t>
        </is>
      </c>
      <c r="C4" t="n">
        <v>2642</v>
      </c>
      <c r="D4" t="n">
        <v>50</v>
      </c>
      <c r="E4" t="n">
        <v>5</v>
      </c>
    </row>
    <row r="5">
      <c r="A5" t="inlineStr">
        <is>
          <t>2026-09-08</t>
        </is>
      </c>
      <c r="B5" t="inlineStr">
        <is>
          <t>publica</t>
        </is>
      </c>
      <c r="C5" t="n">
        <v>1886</v>
      </c>
      <c r="D5" t="n">
        <v>46</v>
      </c>
      <c r="E5" t="n">
        <v>3</v>
      </c>
    </row>
    <row r="6">
      <c r="A6" t="inlineStr">
        <is>
          <t>2026-09-08</t>
        </is>
      </c>
      <c r="B6" t="inlineStr">
        <is>
          <t>privadas</t>
        </is>
      </c>
      <c r="C6" t="n">
        <v>746</v>
      </c>
      <c r="D6" t="n">
        <v>5</v>
      </c>
      <c r="E6" t="n">
        <v>1</v>
      </c>
    </row>
    <row r="7">
      <c r="A7" t="inlineStr">
        <is>
          <t>2026-09-08</t>
        </is>
      </c>
      <c r="B7" t="inlineStr">
        <is>
          <t>total</t>
        </is>
      </c>
      <c r="C7" t="n">
        <v>2632</v>
      </c>
      <c r="D7" t="n">
        <v>51</v>
      </c>
      <c r="E7" t="n">
        <v>4</v>
      </c>
    </row>
    <row r="8">
      <c r="A8" t="inlineStr">
        <is>
          <t>2026-09-09</t>
        </is>
      </c>
      <c r="B8" t="inlineStr">
        <is>
          <t>publica</t>
        </is>
      </c>
      <c r="C8" t="n">
        <v>1833</v>
      </c>
      <c r="D8" t="n">
        <v>43</v>
      </c>
      <c r="E8" t="n">
        <v>3</v>
      </c>
    </row>
    <row r="9">
      <c r="A9" t="inlineStr">
        <is>
          <t>2026-09-09</t>
        </is>
      </c>
      <c r="B9" t="inlineStr">
        <is>
          <t>privadas</t>
        </is>
      </c>
      <c r="C9" t="n">
        <v>748</v>
      </c>
      <c r="D9" t="n">
        <v>4</v>
      </c>
      <c r="E9" t="n">
        <v>1</v>
      </c>
    </row>
    <row r="10">
      <c r="A10" t="inlineStr">
        <is>
          <t>2026-09-09</t>
        </is>
      </c>
      <c r="B10" t="inlineStr">
        <is>
          <t>total</t>
        </is>
      </c>
      <c r="C10" t="n">
        <v>2581</v>
      </c>
      <c r="D10" t="n">
        <v>47</v>
      </c>
      <c r="E10" t="n">
        <v>4</v>
      </c>
    </row>
    <row r="11">
      <c r="A11" t="inlineStr">
        <is>
          <t>2026-09-10</t>
        </is>
      </c>
      <c r="B11" t="inlineStr">
        <is>
          <t>publica</t>
        </is>
      </c>
      <c r="C11" t="n">
        <v>1885</v>
      </c>
      <c r="D11" t="n">
        <v>42</v>
      </c>
      <c r="E11" t="n">
        <v>4</v>
      </c>
    </row>
    <row r="12">
      <c r="A12" t="inlineStr">
        <is>
          <t>2026-09-10</t>
        </is>
      </c>
      <c r="B12" t="inlineStr">
        <is>
          <t>privadas</t>
        </is>
      </c>
      <c r="C12" t="n">
        <v>694</v>
      </c>
      <c r="D12" t="n">
        <v>3</v>
      </c>
      <c r="E12" t="n">
        <v>2</v>
      </c>
    </row>
    <row r="13">
      <c r="A13" t="inlineStr">
        <is>
          <t>2026-09-10</t>
        </is>
      </c>
      <c r="B13" t="inlineStr">
        <is>
          <t>total</t>
        </is>
      </c>
      <c r="C13" t="n">
        <v>2579</v>
      </c>
      <c r="D13" t="n">
        <v>45</v>
      </c>
      <c r="E13" t="n">
        <v>6</v>
      </c>
    </row>
    <row r="14">
      <c r="A14" t="inlineStr">
        <is>
          <t>2026-09-13</t>
        </is>
      </c>
      <c r="B14" t="inlineStr">
        <is>
          <t>publica</t>
        </is>
      </c>
      <c r="C14" t="n">
        <v>1883</v>
      </c>
      <c r="D14" t="n">
        <v>46</v>
      </c>
      <c r="E14" t="n">
        <v>5</v>
      </c>
    </row>
    <row r="15">
      <c r="A15" t="inlineStr">
        <is>
          <t>2026-09-13</t>
        </is>
      </c>
      <c r="B15" t="inlineStr">
        <is>
          <t>privadas</t>
        </is>
      </c>
      <c r="C15" t="n">
        <v>722</v>
      </c>
      <c r="D15" t="n">
        <v>4</v>
      </c>
      <c r="E15" t="n">
        <v>1</v>
      </c>
    </row>
    <row r="16">
      <c r="A16" t="inlineStr">
        <is>
          <t>2026-09-13</t>
        </is>
      </c>
      <c r="B16" t="inlineStr">
        <is>
          <t>total</t>
        </is>
      </c>
      <c r="C16" t="n">
        <v>2605</v>
      </c>
      <c r="D16" t="n">
        <v>50</v>
      </c>
      <c r="E16" t="n">
        <v>6</v>
      </c>
    </row>
    <row r="17">
      <c r="A17" t="inlineStr">
        <is>
          <t>2026-09-14</t>
        </is>
      </c>
      <c r="B17" t="inlineStr">
        <is>
          <t>publica</t>
        </is>
      </c>
      <c r="C17" t="n">
        <v>1880</v>
      </c>
      <c r="D17" t="n">
        <v>44</v>
      </c>
      <c r="E17" t="n">
        <v>5</v>
      </c>
    </row>
    <row r="18">
      <c r="A18" t="inlineStr">
        <is>
          <t>2026-09-14</t>
        </is>
      </c>
      <c r="B18" t="inlineStr">
        <is>
          <t>privadas</t>
        </is>
      </c>
      <c r="C18" t="n">
        <v>736</v>
      </c>
      <c r="D18" t="n">
        <v>3</v>
      </c>
      <c r="E18" t="n">
        <v>1</v>
      </c>
    </row>
    <row r="19">
      <c r="A19" t="inlineStr">
        <is>
          <t>2026-09-14</t>
        </is>
      </c>
      <c r="B19" t="inlineStr">
        <is>
          <t>total</t>
        </is>
      </c>
      <c r="C19" t="n">
        <v>2616</v>
      </c>
      <c r="D19" t="n">
        <v>47</v>
      </c>
      <c r="E19" t="n">
        <v>6</v>
      </c>
    </row>
    <row r="21">
      <c r="A21" t="inlineStr">
        <is>
          <t>operacion</t>
        </is>
      </c>
      <c r="B21" t="inlineStr">
        <is>
          <t>gas EP Petroecuador (MPCPD)</t>
        </is>
      </c>
      <c r="C21" t="inlineStr">
        <is>
          <t>como viene en el PDF</t>
        </is>
      </c>
    </row>
    <row r="22">
      <c r="A22" t="inlineStr">
        <is>
          <t>2026-09-07</t>
        </is>
      </c>
      <c r="B22" t="n">
        <v>24294.81</v>
      </c>
      <c r="C22" t="inlineStr">
        <is>
          <t>24.294,81</t>
        </is>
      </c>
    </row>
    <row r="23">
      <c r="A23" t="inlineStr">
        <is>
          <t>2026-09-08</t>
        </is>
      </c>
      <c r="B23" t="n">
        <v>24629.22</v>
      </c>
      <c r="C23" t="inlineStr">
        <is>
          <t>24.629,22</t>
        </is>
      </c>
    </row>
    <row r="24">
      <c r="A24" t="inlineStr">
        <is>
          <t>2026-09-09</t>
        </is>
      </c>
      <c r="B24" t="n">
        <v>24530.67</v>
      </c>
      <c r="C24" t="inlineStr">
        <is>
          <t>24.530,67</t>
        </is>
      </c>
    </row>
    <row r="25">
      <c r="A25" t="inlineStr">
        <is>
          <t>2026-09-10</t>
        </is>
      </c>
      <c r="B25" t="n">
        <v>24481.71</v>
      </c>
      <c r="C25" t="inlineStr">
        <is>
          <t>24.481,71</t>
        </is>
      </c>
    </row>
    <row r="26">
      <c r="A26" t="inlineStr">
        <is>
          <t>2026-09-13</t>
        </is>
      </c>
      <c r="B26" t="n">
        <v>24191.03</v>
      </c>
      <c r="C26" t="inlineStr">
        <is>
          <t>24.191,03</t>
        </is>
      </c>
    </row>
    <row r="27">
      <c r="A27" t="inlineStr">
        <is>
          <t>2026-09-14</t>
        </is>
      </c>
      <c r="B27" t="n">
        <v>24201.44</v>
      </c>
      <c r="C27" t="inlineStr">
        <is>
          <t>24201.44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40" customWidth="1" min="3" max="3"/>
  </cols>
  <sheetData>
    <row r="1">
      <c r="A1" s="1" t="inlineStr">
        <is>
          <t>operacion</t>
        </is>
      </c>
      <c r="B1" s="1" t="inlineStr">
        <is>
          <t>compania</t>
        </is>
      </c>
      <c r="C1" s="1" t="inlineStr">
        <is>
          <t>texto original</t>
        </is>
      </c>
    </row>
    <row r="2">
      <c r="A2" t="inlineStr">
        <is>
          <t>2026-09-07</t>
        </is>
      </c>
      <c r="B2" t="inlineStr">
        <is>
          <t>EP PETROECUADOR</t>
        </is>
      </c>
      <c r="C2" t="inlineStr">
        <is>
          <t>BLOQUE-7: POZO OSO-92H CERRADO POR PRUEBAS DE MEDICIÓN DE RESISTENCIA, AISLAMIENTO Y CONTINUIDAD. POZO OSO-2 CERRADO POR MANTENIMIENTO PREVENTIVO DE UNIDAD POWER OIL. POZO PAYAMINO-2 CERRADO POR MANTENIMIENTO PREVENTIVO DE GENERADOR. BLOQUE-16: POZOS DAIMI-A4HM1, IRO-A12HM1, CERRADOS 24 HORAS POR CONTROL DE NIVELES DE TANQUES. BLOQUE-21: POZO YURALPA CENTRO-1 CERRADO POR MANTENIMIENTO DE UNIDAD POWER OIL. BLOQUE-43: 163 POZOS DEL BLOQUE-43 CERRADOS TEMPORALMENTE POR FALLA DE COMPONENTE DE SEGURIDAD. BLOQUE-57: POZO AGUARICO C047HS1 UI CERRADO 12 HORAS PÉRDIDAS CABLE ELÉCTRICO; POZO PARAHUACU-32 CERRADO 12 HORAS PRESENTA BAJO APORTE. POZO TETETE-12 CERRADO POR MANTENIMIENTO PREVENTIVO DE GENERADOR. POZO ATACAPI-14 CERRADO POR CAMBIO DE BOMBA JET. BLOQUE-58: POZO SANSAHUARI-4 CERRADO POR MANTENIMIENTO DE UNIDAD TRIPLEX. BLOQUE-60: POZO SACHA-623 CERRADO 24 HORAS EN TRABAJO DE REACONDICIONAMIENTO. POZO SACJA-116 CERRADO POR CAMBIO DE BOMBA JET. POZOS SACHA: 495-219 CON INCREMENTO DE BSW. BLOQUE-61: 72 POZOS DE AUCA CERRADOS TEMPORALMENTE POR FALLAS ELÉCTRICAS, POZO AUCA-214 CERRADO 24 HORAS TRABAJO DE REACONDICIONAMIENTO; POZOS AUCA-129H; AUCA-28 CERRADOS 24 HORAS TRABAJOS RIGLESS. POZOS YULEBRA-22 Y CULEBRA-41 CON BAJO APORTE. POZO CULEBRA-33 CON INCREMENTO DE BSW.</t>
        </is>
      </c>
    </row>
    <row r="3">
      <c r="A3" t="inlineStr">
        <is>
          <t>2026-09-07</t>
        </is>
      </c>
      <c r="B3" t="inlineStr">
        <is>
          <t>ANDES PETROLEUM ECUADOR LTD</t>
        </is>
      </c>
      <c r="C3" t="inlineStr">
        <is>
          <t>11 POZOS DE LOS CAMPO ALICE OESTE, CHORONGO, DORINE Y FANNY-18B CONTINÚAN CERRADOS POR ALTO CORTE DE AGUA; 12 POZOS DE LOS CAMPOS FANNY, JOHANNA ESTE, MARIANN Y MARIANN-A4 CONTINÚAN CERRADOS POR BAJA PRODUCCIÓN. 19 POZOS DE LOS CAMPOS COLIBRI, DORINE, FANNY-18B, GABY, JOHANNA ESTE, MAHOGANY Y MARIAN CONTINÚAN CERRADOS ESPERANDO PLAN DE INGENIERÍA; 15 POZOS DE LOS CAMPOS DORINE, FANNY-18B, JOHANNA ESTE Y MARIANN CERRADOS ESPERANDO REACONDICIONAMIENTO. 37 POZOS DE LOS CAMPOS ALICE, ALICE OESTE, DORINE, ESPERANZA, FANNY-18B, JOHANNA ESTE, MARIANN, TARAPOA NORESTE CERRADOS POR NO SER ECONÓMICOS. POZO DORINE-19 CERRADO DEBIDO A QUE NO TIENE POTENCIAL DE RESERVAS. POZOS ALICE- 4 Y FANNY-18B16RE1 CERRADO POR FALLA DE BOMBEO MECÁNICO. POZO MARIANN-18 Y MARIANN-27 CERRADO POR MANTENIMIENTO PREVENTIVO DE UNIDAD DE BOMBEO HIDRÁULICO.</t>
        </is>
      </c>
    </row>
    <row r="4">
      <c r="A4" t="inlineStr">
        <is>
          <t>2026-09-07</t>
        </is>
      </c>
      <c r="B4" t="inlineStr">
        <is>
          <t>PETROORIENTAL</t>
        </is>
      </c>
      <c r="C4" t="inlineStr">
        <is>
          <t>20 POZOS DE LOS CAMPOS NANTU, WANKE, HORMIGUERO, HORMIGUERO SUR, PAICHE, TAPIR NORTE CERRADO POR FALLA EN EQUIPO DE FONDO; POZOS HORMIGUERO-33-43, HORMIGUERO SUR-5 Y NANTU-28 APAGADOS 24 HORAS POR ALTO CORTE DE AGUA; 21 POZOS DE LOS CAMPOS KUPI, NANTU, HORMIGUERO, HORMIGUERO SUR, TAPIR NORTE APAGADOS 24 HORAS POR BAJA PRODUCCIÓN; 5 POZOS DE LOS CAMPOS KUPI, NANTU, WANKE Y HORMIGUERO APAGADOS 24 HORAS SIN RESERVAS POTENCIALES; POZO TAPIR NORTE-29 CON TUBERÍA DE PUNTA LIBRE. POZO NANTU-35 Y HORMIGUERO CENTRO-1 CERRADO POR COMUNICACIÓN TUBING-CASING. POZO HORMIGUERO-27 CERRADO ESPERANDO PLAN DE INGENIERÍA.</t>
        </is>
      </c>
    </row>
    <row r="5">
      <c r="A5" t="inlineStr">
        <is>
          <t>2026-09-07</t>
        </is>
      </c>
      <c r="B5" t="inlineStr">
        <is>
          <t>PETRÓLEOS DEL PACIFICO S.A. PACIFPETROL.-20 POZOS DEL BLOQUE-2 CERRADOS 24 HORAS NO EVALUADOS. *CÍA. ORION ENERGY OCANO PB S.A</t>
        </is>
      </c>
      <c r="C5" t="inlineStr">
        <is>
          <t>POZO MIRA-2 CERRADO POR BAJO APORTE.</t>
        </is>
      </c>
    </row>
    <row r="6">
      <c r="A6" t="inlineStr">
        <is>
          <t>2026-09-07</t>
        </is>
      </c>
      <c r="B6" t="inlineStr">
        <is>
          <t>ORION OIL ER S.A</t>
        </is>
      </c>
      <c r="C6" t="inlineStr">
        <is>
          <t>POZO RON-9 CON BAJO APORTE. *ENAP SIPETROL S.A. - ENAP SIPEC.- BLOQUE-47: POZO COPAL-1 CERRADO POR POSIBLE TAPONAMIENTO EN FONDO. POZO BIGUNO-2 CERRADO SIN RETORNO EN SUPERFICIE. POZO BIGUNO-1 CERRADO PARA LIMPIEZA DE COMPLETACION DE FONDO. POZO INCHI-E16 CERRADO POR ALARMA DE ALTA TEMPERATURA DE INTAKE. * CÍA. GENTE OIL ECUADOR PTE.LTD.- POZO SINGUE-B12H CERRADO EN ESPERA DE REACONDICIONAMIENTO. POZO SINGUE-N21 CERRADO PARA COMPLETACIÓN DEFINITIVA. POZO SINGUE-B8 SE BAJA FRECUENCIA POR CONTROL DE AGUA DE FORMACIÓN.</t>
        </is>
      </c>
    </row>
    <row r="7">
      <c r="A7" t="inlineStr">
        <is>
          <t>2026-09-07</t>
        </is>
      </c>
      <c r="B7" t="inlineStr">
        <is>
          <t>PLUSPETROL OIL ECUADOR</t>
        </is>
      </c>
      <c r="C7" t="inlineStr">
        <is>
          <t>POZO VILLANO: 03ST2-11RE1-15H EN ESPERA DE REACONDICIONAMIENTO. POZO VILLANO-29H REDUCCIÓN DE NETOS POR PARADA MANUAL POR ALTA TEMPERATURA DEL MOTOR.</t>
        </is>
      </c>
    </row>
    <row r="8">
      <c r="A8" t="inlineStr">
        <is>
          <t>2026-09-07</t>
        </is>
      </c>
      <c r="B8" t="inlineStr">
        <is>
          <t>PETROBELL S.A</t>
        </is>
      </c>
      <c r="C8" t="inlineStr">
        <is>
          <t>POZOS: CACHIYACU-1 CERRADO 24 HORAS POR PROBLEMAS EN LA OPERACIÓN. POZOS TIGUINO: 19-22 ESPERANDO REACONDICIONAMIENTO.</t>
        </is>
      </c>
    </row>
    <row r="9">
      <c r="A9" t="inlineStr">
        <is>
          <t>2026-09-07</t>
        </is>
      </c>
      <c r="B9" t="inlineStr">
        <is>
          <t>PCR ECUADOR S.A</t>
        </is>
      </c>
      <c r="C9" t="inlineStr">
        <is>
          <t>BLOQUE-65: PINDO-24D CERRADO POR REACONDICIONAMIENTO.</t>
        </is>
      </c>
    </row>
    <row r="10">
      <c r="A10" t="inlineStr">
        <is>
          <t>2026-09-07</t>
        </is>
      </c>
      <c r="B10" t="inlineStr">
        <is>
          <t>GRAN TIERRA ENERGY COLOMBIA LLC</t>
        </is>
      </c>
      <c r="C10" t="inlineStr">
        <is>
          <t>NO REPORTA PÉRDIDAS.</t>
        </is>
      </c>
    </row>
    <row r="11">
      <c r="A11" t="inlineStr">
        <is>
          <t>2026-09-07</t>
        </is>
      </c>
      <c r="B11" t="inlineStr">
        <is>
          <t>CONSORCIO BLOQUE ESPEJO</t>
        </is>
      </c>
      <c r="C11" t="inlineStr">
        <is>
          <t>SUSPENSIÓN TEMPORAL DE PRODUCCIÓN DE POZOS POR RAZONES TÉCNICAS-ECONÓMICAS A PARTIR DEL DÍA OPERATIVO 1 DE JUNIO DE 2025, DE ACUERDO A LA COMUNICACIÓN NRO. S-GBE-2025-000112 ENVIADO AL MINISTERIO DE AMBIENTE Y ENERGÍA.</t>
        </is>
      </c>
    </row>
    <row r="12">
      <c r="A12" t="inlineStr">
        <is>
          <t>2026-09-07</t>
        </is>
      </c>
      <c r="B12" t="inlineStr">
        <is>
          <t>CONSORCIO BLOQUE PERICO</t>
        </is>
      </c>
      <c r="C12" t="inlineStr">
        <is>
          <t>NO REPORTA PÉRDIDAS. * LOS ESTIMADOS DE PRODUCCIÓN DE CRUDO CON BASE A LA COMUNICACIÓN ENVIADA POR EL MINISTERIO DE AMBIENTE Y ENERGÍA MEDIANTE OFICIO Nro. MAE-VH-2026-0144-OF DE 23 DE MARZO DE 2026. ELABORADO POR: ISRAEL JARA AGENCIA DE REGULACIÓN Y CONTROL DE HIDROCARBUROS REVISADO POR: GUILLERMO VINUEZA</t>
        </is>
      </c>
    </row>
    <row r="13">
      <c r="A13" t="inlineStr">
        <is>
          <t>2026-09-08</t>
        </is>
      </c>
      <c r="B13" t="inlineStr">
        <is>
          <t>EP PETROECUADOR</t>
        </is>
      </c>
      <c r="C13" t="inlineStr">
        <is>
          <t>BLOQUE-7: POZOS OSO-6 Y PAYAMINO-14 CERRADOS POR MANTENIMIENTO PREVENTIVO DE UNIDAD POWER OIL. POZO PAYAMINO-18 CERRADO POR FALLA DE OPERACIONES EN PROCESOS. POZO GACELA-24 CON BAJO APORTE. BLOQUE-12: POZO PAÑACOCHA-A25 CERRADO POR FUGA EN BAYONETA. BLOQUE-15: POZO LIMONCOCHA-H42 CERRADO POR ALARMA SOBRE CORRIENTE DE MOTOR. POZO LIMONCOCHA-L56 CERRADO POR REACONDICIONAMIENTO. BLOQUE-16: POZOS DAIMI-A4H E IRO-A12H CERRADOS POR CONTROL DE NIVELES TANQUES DE AGUA PLANTA. BLQOUE-21: POZO YURALPA CENTRO-26 CON INCREMENTO DE BSW. BLOQUE-43: 104 POZOS DE LOS CAMPOS ISHPINGO, TIPUTINI Y TAMBOCOCHA CERRADOS POR FALLA DE EN PLANTA DE PROCESOS Y CONTROL DE NOVELES EN TANQUES. BLOQUE-44: 4 POZOS DEL CAMPO PUCUNA CON BAJO APORTE. BLOQUE-57: POZO SHUSHUFINDI-056A CERRADO POR POSIBLE DAÑO MECÁNICO. POZO SHUSHUFINDI-128D Y SHUSHUFINDI-165D CERRADO POR CONTROL DE COLCHÓN POR DAÑO EN BOMBA HPS. POZO PARAHUACU-32 CERRADO POR FALLA DE EQUIPO BES. 4 POZOS DEL CAMPO TETETE CERRADOS POR FALLA ELÉCTRICA. POZO ATACAPI-26N CERRADO POR TRATAMIENTO QUÍMICO. BLOQUE-60: POZO SACHA-070A CERRADO POR REACONDICIONAMIENTO. POZO SACHA-213D CERRADO SE SUSPENDE EVALUACIÓN CON MTU. BLOQUE-61: POZO AUCA-173D CERRADO POR TRABAJO SIN TORRE. POZO AUCA-252 SE BAJA FRECUENCIA.</t>
        </is>
      </c>
    </row>
    <row r="14">
      <c r="A14" t="inlineStr">
        <is>
          <t>2026-09-08</t>
        </is>
      </c>
      <c r="B14" t="inlineStr">
        <is>
          <t>ANDES PETROLEUM ECUADOR LTD</t>
        </is>
      </c>
      <c r="C14" t="inlineStr">
        <is>
          <t>11 POZOS DE LOS CAMPO ALICE OESTE, CHORONGO, DORINE Y FANNY-18B CONTINÚAN CERRADOS POR ALTO CORTE DE AGUA; 12 POZOS DE LOS CAMPOS FANNY, JOHANNA ESTE, MARIANN Y MARIANN-A4 CONTINÚAN CERRADOS POR BAJA PRODUCCIÓN. 19 POZOS DE LOS CAMPOS COLIBRI, DORINE, FANNY-18B, GABY, JOHANNA ESTE, MAHOGANY Y MARIAN CONTINÚAN CERRADOS ESPERANDO PLAN DE INGENIERÍA; 15 POZOS DE LOS CAMPOS DORINE, FANNY-18B, JOHANNA ESTE Y MARIANN CERRADOS ESPERANDO REACONDICIONAMIENTO. 37 POZOS DE LOS CAMPOS ALICE, ALICE OESTE, DORINE, ESPERANZA, FANNY-18B, JOHANNA ESTE, MARIANN, TARAPOA NORESTE CERRADOS POR NO SER ECONÓMICOS. POZO DORINE-19 CERRADO DEBIDO A QUE NO TIENE POTENCIAL DE RESERVAS. POZOS ALICE- 4 Y FANNY-18B16RE1 CERRADO POR FALLA DE BOMBEO MECÁNICO. POZO FANNY 18B-198 CERRADO POR ALTA PRESIÓN EN LÍNEA DE FLUJO. POZO JOHANNA SUR-1 CERRADO POR CAMBIO DE INTERVALO.</t>
        </is>
      </c>
    </row>
    <row r="15">
      <c r="A15" t="inlineStr">
        <is>
          <t>2026-09-08</t>
        </is>
      </c>
      <c r="B15" t="inlineStr">
        <is>
          <t>PETROORIENTAL</t>
        </is>
      </c>
      <c r="C15" t="inlineStr">
        <is>
          <t>21 POZOS DE LOS CAMPOS NANTU, WANKE, HORMIGUERO, HORMIGUERO SUR, PAICHE, TAPIR NORTE CERRADO POR FALLA EN EQUIPO DE FONDO; POZOS HORMIGUERO-33-43, HORMIGUERO SUR-5 Y NANTU-28 APAGADOS 24 HORAS POR ALTO CORTE DE AGUA; 21 POZOS DE LOS CAMPOS KUPI, NANTU, HORMIGUERO, HORMIGUERO SUR, TAPIR NORTE APAGADOS 24 HORAS POR BAJA PRODUCCIÓN; 5 POZOS DE LOS CAMPOS KUPI, NANTU, WANKE Y HORMIGUERO APAGADOS 24 HORAS SIN RESERVAS POTENCIALES; POZO TAPIR NORTE-29 CON TUBERÍA DE PUNTA LIBRE. POZO NANTU-35 Y HORMIGUERO CENTRO-1 CERRADO POR COMUNICACIÓN TUBING-CASING. POZO HORMIGUERO-27 CERRADO ESPERANDO PLAN DE INGENIERÍA. POZO WANKE-08 CERRADO POR FALLA DE EQUIPO BES.</t>
        </is>
      </c>
    </row>
    <row r="16">
      <c r="A16" t="inlineStr">
        <is>
          <t>2026-09-08</t>
        </is>
      </c>
      <c r="B16" t="inlineStr">
        <is>
          <t>PETRÓLEOS DEL PACIFICO S.A. PACIFPETROL.-20 POZOS DEL BLOQUE-2 CERRADOS 24 HORAS NO EVALUADOS. *CÍA. ORION ENERGY OCANO PB S.A</t>
        </is>
      </c>
      <c r="C16" t="inlineStr">
        <is>
          <t>NO REPORTA PÉRDIDAS.</t>
        </is>
      </c>
    </row>
    <row r="17">
      <c r="A17" t="inlineStr">
        <is>
          <t>2026-09-08</t>
        </is>
      </c>
      <c r="B17" t="inlineStr">
        <is>
          <t>ORION OIL ER S.A</t>
        </is>
      </c>
      <c r="C17" t="inlineStr">
        <is>
          <t>NO REPORTA PÉRDIDAS. *ENAP SIPETROL S.A. - ENAP SIPEC.- BLOQUE-46: POZO MDC-28 CON BAJO APORTE E INCREMENTO DE BSW. BLOQUE-47: POZO COPAL-1 CERRADO POR POSIBLE TAPONAMIENTO EN FONDO. POZO BIGUNO-1 CERRADO SE ARRANCA UNIDAD MTU. POZO BIGUNO-2 CERRADO PENDIENTE PRUEBAS DE COMPLETACIÓN. * CÍA. GENTE OIL ECUADOR PTE.LTD.- POZO SINGUE-B12H CERRADO EN ESPERA DE REACONDICIONAMIENTO. POZO SINGUE-B14H SE BAJA FRECUENCIA POR CONTROL DE AGUA DE FORMACIÓN.</t>
        </is>
      </c>
    </row>
    <row r="18">
      <c r="A18" t="inlineStr">
        <is>
          <t>2026-09-08</t>
        </is>
      </c>
      <c r="B18" t="inlineStr">
        <is>
          <t>PLUSPETROL OIL ECUADOR</t>
        </is>
      </c>
      <c r="C18" t="inlineStr">
        <is>
          <t>POZO VILLANO: 03ST2-11RE1-15H EN ESPERA DE REACONDICIONAMIENTO. POZO VILLANO-29H REDUCCIÓN DE NETOS POR REDUCCIÓN DE FLUJO.</t>
        </is>
      </c>
    </row>
    <row r="19">
      <c r="A19" t="inlineStr">
        <is>
          <t>2026-09-08</t>
        </is>
      </c>
      <c r="B19" t="inlineStr">
        <is>
          <t>PETROBELL S.A</t>
        </is>
      </c>
      <c r="C19" t="inlineStr">
        <is>
          <t>POZOS: CACHIYACU-1 CERRADO 24 HORAS POR PROBLEMAS EN LA OPERACIÓN. POZOS TIGUINO: 19-22 ESPERANDO REACONDICIONAMIENTO. POZOS TIGUINO: 21-39 CON INCREMENTO DE BSW.</t>
        </is>
      </c>
    </row>
    <row r="20">
      <c r="A20" t="inlineStr">
        <is>
          <t>2026-09-08</t>
        </is>
      </c>
      <c r="B20" t="inlineStr">
        <is>
          <t>PCR ECUADOR S.A</t>
        </is>
      </c>
      <c r="C20" t="inlineStr">
        <is>
          <t>BLOQUE-64: POZO YUCA SUR-17 CERRADO POR PRUEBA DE RESTARUACIÓN DE PRESIÓN. BLOQUE-65: PINDO-24D CERRADO POR REACONDICIONAMIENTO. BLOQUE-90: POZO VHR SUR-6 CON BAJO APORTE.</t>
        </is>
      </c>
    </row>
    <row r="21">
      <c r="A21" t="inlineStr">
        <is>
          <t>2026-09-08</t>
        </is>
      </c>
      <c r="B21" t="inlineStr">
        <is>
          <t>GRAN TIERRA ENERGY COLOMBIA LLC</t>
        </is>
      </c>
      <c r="C21" t="inlineStr">
        <is>
          <t>POZO CHANANGUE ESTE-C1 CERRADO POR MANTENIMIENTO PREVENTIVO DE UNIDAD DE BOMBEO HIDRÁULICO.</t>
        </is>
      </c>
    </row>
    <row r="22">
      <c r="A22" t="inlineStr">
        <is>
          <t>2026-09-08</t>
        </is>
      </c>
      <c r="B22" t="inlineStr">
        <is>
          <t>CONSORCIO BLOQUE ESPEJO</t>
        </is>
      </c>
      <c r="C22" t="inlineStr">
        <is>
          <t>SUSPENSIÓN TEMPORAL DE PRODUCCIÓN DE POZOS POR RAZONES TÉCNICAS-ECONÓMICAS A PARTIR DEL DÍA OPERATIVO 1 DE JUNIO DE 2025, DE ACUERDO A LA COMUNICACIÓN NRO. S-GBE-2025-000112 ENVIADO AL MINISTERIO DE AMBIENTE Y ENERGÍA.</t>
        </is>
      </c>
    </row>
    <row r="23">
      <c r="A23" t="inlineStr">
        <is>
          <t>2026-09-08</t>
        </is>
      </c>
      <c r="B23" t="inlineStr">
        <is>
          <t>CONSORCIO BLOQUE PERICO</t>
        </is>
      </c>
      <c r="C23" t="inlineStr">
        <is>
          <t>NO REPORTA PÉRDIDAS. * LOS ESTIMADOS DE PRODUCCIÓN DE CRUDO CON BASE A LA COMUNICACIÓN ENVIADA POR EL MINISTERIO DE AMBIENTE Y ENERGÍA MEDIANTE OFICIO Nro. MAE-VH-2026-0144-OF DE 23 DE MARZO DE 2026. ELABORADO POR: ISRAEL JARA AGENCIA DE REGULACIÓN Y CONTROL DE HIDROCARBUROS REVISADO POR: GUILLERMO VINUEZA</t>
        </is>
      </c>
    </row>
    <row r="24">
      <c r="A24" t="inlineStr">
        <is>
          <t>2026-09-09</t>
        </is>
      </c>
      <c r="B24" t="inlineStr">
        <is>
          <t>EP PETROECUADOR</t>
        </is>
      </c>
      <c r="C24" t="inlineStr">
        <is>
          <t>BLOQUE-15: POZO YANAQUINCHA ESTE-A18 CERRADO 24 HORAS APAGADO EQUIPO BES POR FALLA ELÉCTRICA. BLOQUE-21: POZOS YURALPA-003 Y YURALPA-007 CERRADOS 24 HORAS FALTA DE CAPACIDAD DE REINYECCIÓN. BLOQUE-43: POZO ISHPINGO-A5 CERRADO 48 HORAS EQUIPO CON BAJO AISLAMIENTO Y FASES DESBALANCEADAS. BLOQUE-57: POZOS GUANTA-15 Y SHUSHUFINDI-054A CERRADOS TEMPORALMENTE ROBO DE CABLE; POZO PARAHUACU-32 CERRADOS 24 HORAS BACK SPIN EN EQUIPO BES; SHUSHUFINDI-240 PRESENTAN INCREMENTO DE BSW. BLOQUE-58: 3 POZOS DEL CAMPO CUYABENO CERRADOS TEMPORALMENTE POR CONTROL DE COLCHÓN DE AGUA. BLOQUE-60: POZOS SACHA-109A Y SACHA-116A DEL CAMPO SACHA CERRADOS 24 HORAS REALIZANDO TRABAJOS DE BUILD UP; POZO SACHA-070A CERRADOS 24 HORAS EN TRABAJO DE WORK OVER; 5 POZOS DEL CAMPO SACHA CERRADOS TEMPORALMENTE BACK SPIN EN EQUIPO BES; 22 POZOS DEL CAMPO SACHA CERRADOS TEMPORALMENTE APERTURA DE RAMAL POR AFECTACIÓN ANIMAL.</t>
        </is>
      </c>
    </row>
    <row r="25">
      <c r="A25" t="inlineStr">
        <is>
          <t>2026-09-09</t>
        </is>
      </c>
      <c r="B25" t="inlineStr">
        <is>
          <t>ANDES PETROLEUM ECUADOR LTD</t>
        </is>
      </c>
      <c r="C25" t="inlineStr">
        <is>
          <t>11 POZOS DE LOS CAMPO ALICE OESTE, CHORONGO, DORINE Y FANNY-18B CONTINÚAN CERRADOS POR ALTO CORTE DE AGUA; 12 POZOS DE LOS CAMPOS FANNY, JOHANNA ESTE, MARIANN Y MARIANN-A4 CONTINÚAN CERRADOS POR BAJA PRODUCCIÓN. 20 POZOS DE LOS CAMPOS COLIBRI, DORINE, FANNY-18B, GABY, JOHANNA ESTE, MAHOGANY Y MARIAN CONTINÚAN CERRADOS ESPERANDO PLAN DE INGENIERÍA; 15 POZOS DE LOS CAMPOS DORINE, FANNY-18B, JOHANNA ESTE Y MARIANN CERRADOS ESPERANDO REACONDICIONAMIENTO. 37 POZOS DE LOS CAMPOS ALICE, ALICE OESTE, DORINE, ESPERANZA, FANNY-18B, JOHANNA ESTE, MARIANN, TARAPOA NORESTE CERRADOS POR NO SER ECONÓMICOS. POZO DORINE-19 CERRADO DEBIDO A QUE NO TIENE POTENCIAL DE RESERVAS. POZOS ALICE- 4 Y FANNY-18B16RE1 CERRADO POR FALLA DE BOMBEO MECÁNICO. POZOS MARIANN: 4A8-A411-A47ST2 CERRADO POR MANTENIMIENTO PREVENTIVO DE GENERADOR.</t>
        </is>
      </c>
    </row>
    <row r="26">
      <c r="A26" t="inlineStr">
        <is>
          <t>2026-09-09</t>
        </is>
      </c>
      <c r="B26" t="inlineStr">
        <is>
          <t>PETROORIENTAL</t>
        </is>
      </c>
      <c r="C26" t="inlineStr">
        <is>
          <t>21 POZOS DE LOS CAMPOS NANTU, WANKE, HORMIGUERO, HORMIGUERO SUR, PAICHE, TAPIR NORTE CERRADO POR FALLA EN EQUIPO DE FONDO; POZOS HORMIGUERO-33-43, HORMIGUERO SUR-5 Y NANTU-28 APAGADOS 24 HORAS POR ALTO CORTE DE AGUA; 21 POZOS DE LOS CAMPOS KUPI, NANTU, HORMIGUERO, HORMIGUERO SUR, TAPIR NORTE APAGADOS 24 HORAS POR BAJA PRODUCCIÓN; 5 POZOS DE LOS CAMPOS KUPI, NANTU, WANKE Y HORMIGUERO APAGADOS 24 HORAS SIN RESERVAS POTENCIALES; POZO TAPIR NORTE-29 CON TUBERÍA DE PUNTA LIBRE. POZO NANTU-35 Y HORMIGUERO CENTRO-1 CERRADO POR COMUNICACIÓN TUBING-CASING. POZO HORMIGUERO-27 CERRADO ESPERANDO PLAN DE INGENIERÍA.</t>
        </is>
      </c>
    </row>
    <row r="27">
      <c r="A27" t="inlineStr">
        <is>
          <t>2026-09-09</t>
        </is>
      </c>
      <c r="B27" t="inlineStr">
        <is>
          <t>PETRÓLEOS DEL PACIFICO S.A. PACIFPETROL.-12 POZOS DEL BLOQUE-2 CERRADOS 24 HORAS NO EVALUADOS. *CÍA. ORION ENERGY OCANO PB S.A</t>
        </is>
      </c>
      <c r="C27" t="inlineStr">
        <is>
          <t>POZO OCANO-2 CERRADO POR CAMBIO DE BOMBA JET Y BAJADA DE MEMORIAS. POZO OCANO-3 CON INCREMENTO DE BSW.</t>
        </is>
      </c>
    </row>
    <row r="28">
      <c r="A28" t="inlineStr">
        <is>
          <t>2026-09-09</t>
        </is>
      </c>
      <c r="B28" t="inlineStr">
        <is>
          <t>ORION OIL ER S.A</t>
        </is>
      </c>
      <c r="C28" t="inlineStr">
        <is>
          <t>POZO ENO-10 CON INCREMENTO DE BSW. *ENAP SIPETROL S.A. - ENAP SIPEC.- BLOQUE-46: POZO MDC-52 CON BAJO APORTE E INCREMENTO DE BSW. BLOQUE-47: POZO COPAL-1 REALIZANDO TRABAJOS PARA RECUPERACIÓN DE BOMBA JET. POZO BIGUNO-1 CERRADO SE ARRANCA UNIDAD MTU. POZO BIGUNO-2 SE ARRANCA UNIDAD MTU. * CÍA. GENTE OIL ECUADOR PTE.LTD.- POZO SINGUE-B12H CERRADO EN ESPERA DE REACONDICIONAMIENTO.</t>
        </is>
      </c>
    </row>
    <row r="29">
      <c r="A29" t="inlineStr">
        <is>
          <t>2026-09-09</t>
        </is>
      </c>
      <c r="B29" t="inlineStr">
        <is>
          <t>PLUSPETROL OIL ECUADOR</t>
        </is>
      </c>
      <c r="C29" t="inlineStr">
        <is>
          <t>POZO VILLANO: 03ST2-11RE1-15H EN ESPERA DE REACONDICIONAMIENTO. POZO VILLANO-29H REDUCCIÓN DE NETOS POR REDUCCIÓN DE FLUJO. POZO VILLANO-31H CERRADO POR REDUCCIÓN DE NETOS POR VARIACIÓN DE FLUJO.</t>
        </is>
      </c>
    </row>
    <row r="30">
      <c r="A30" t="inlineStr">
        <is>
          <t>2026-09-09</t>
        </is>
      </c>
      <c r="B30" t="inlineStr">
        <is>
          <t>PETROBELL S.A</t>
        </is>
      </c>
      <c r="C30" t="inlineStr">
        <is>
          <t>POZOS: CACHIYACU-1 CERRADO 24 HORAS POR PROBLEMAS EN LA OPERACIÓN. POZOS TIGUINO: 19-22 ESPERANDO REACONDICIONAMIENTO. POZO TIGUINO-23 CON BAJO APORTE. POZO TIGUINO-04 SE APAGA POZO POR ALTA CORRIENTE DE MOTOR.</t>
        </is>
      </c>
    </row>
    <row r="31">
      <c r="A31" t="inlineStr">
        <is>
          <t>2026-09-09</t>
        </is>
      </c>
      <c r="B31" t="inlineStr">
        <is>
          <t>PCR ECUADOR S.A</t>
        </is>
      </c>
      <c r="C31" t="inlineStr">
        <is>
          <t>BLOQUE-64: POZO YUCA SUR-17 CERRADO POR PRUEBA DE RESTAURACIÓN DE PRESIÓN. BLOQUE-65: PINDO-24D CERRADO POR REACONDICIONAMIENTO. POZO SUYANA-2 CON BAJO APORTE. BLOQUE-90: POZO VHR SUR: 2-3ST1-5 CON BAJO APORTE.</t>
        </is>
      </c>
    </row>
    <row r="32">
      <c r="A32" t="inlineStr">
        <is>
          <t>2026-09-09</t>
        </is>
      </c>
      <c r="B32" t="inlineStr">
        <is>
          <t>GRAN TIERRA ENERGY COLOMBIA LLC</t>
        </is>
      </c>
      <c r="C32" t="inlineStr">
        <is>
          <t>BLOQUE-50: POZO CONEJO-A1 CERRADO POR TRABAJOS CON SLICK LINE. POZO IGUANA SUR-B1 CERRADO POR MANTENIMIENTO PREVENTIVO DE UNIDAD MTU.</t>
        </is>
      </c>
    </row>
    <row r="33">
      <c r="A33" t="inlineStr">
        <is>
          <t>2026-09-09</t>
        </is>
      </c>
      <c r="B33" t="inlineStr">
        <is>
          <t>CONSORCIO BLOQUE ESPEJO</t>
        </is>
      </c>
      <c r="C33" t="inlineStr">
        <is>
          <t>SUSPENSIÓN TEMPORAL DE PRODUCCIÓN DE POZOS POR RAZONES TÉCNICAS-ECONÓMICAS A PARTIR DEL DÍA OPERATIVO 1 DE JUNIO DE 2025, DE ACUERDO A LA COMUNICACIÓN NRO. S-GBE-2025-000112 ENVIADO AL MINISTERIO DE AMBIENTE Y ENERGÍA.</t>
        </is>
      </c>
    </row>
    <row r="34">
      <c r="A34" t="inlineStr">
        <is>
          <t>2026-09-09</t>
        </is>
      </c>
      <c r="B34" t="inlineStr">
        <is>
          <t>CONSORCIO BLOQUE PERICO</t>
        </is>
      </c>
      <c r="C34" t="inlineStr">
        <is>
          <t>NO REPORTA PÉRDIDAS. * LOS ESTIMADOS DE PRODUCCIÓN DE CRUDO CON BASE A LA COMUNICACIÓN ENVIADA POR EL MINISTERIO DE AMBIENTE Y ENERGÍA MEDIANTE OFICIO Nro. MAE-VH-2026-0144-OF DE 23 DE MARZO DE 2026. ELABORADO POR: ISRAEL JARA AGENCIA DE REGULACIÓN Y CONTROL DE HIDROCARBUROS REVISADO POR: GUILLERMO VINUEZA</t>
        </is>
      </c>
    </row>
    <row r="35">
      <c r="A35" t="inlineStr">
        <is>
          <t>2026-09-10</t>
        </is>
      </c>
      <c r="B35" t="inlineStr">
        <is>
          <t>EP PETROECUADOR</t>
        </is>
      </c>
      <c r="C35" t="inlineStr">
        <is>
          <t>BLOQUE-7: POZOS OSO-A49H Y OSO-B46 CERRADOS TEMPORALMENTE INTENTO DE ROBO CABLE BOMBAS BOOSTER; POZO GACELA-H21 CERRADO 24 HORAS EN TRABAJO DE WORK OVER. BLOQUE-15: POZO PALMAR OESTE-A8 CERRADO 24 HORAS FALLA DE OPERACIONES APAGADO EQUIPO BES POR ALARMA DE SOBRECORRIENTE. BLOQUE-16: POZOS DAIMI-A4HM1 E IRO-A12HM1 CERRADOS 24 HORAS PARA CONTROL DE NIVELES TANQUES DE AGUA PLANTA SPF. BLOQUE-44: 12 POZOS DEL CAMPO PUCUNA CON BAJO APORTE. BLOQUE-56: POZO LAGO AGRIO-11 CERRADO POR BLOQUEO DE GAS. BLOQUE-57: 68 POZOS DEL CAMPO LIBERTADOR-SHUSHUFINDI CERRADOS TEMPORALMENTE POR FALLAS ELÉCTRICAS; POZO SHUSHUFINDI-132D EN CERRADOS TEMPORALMENTE EN ESPERA DE WORK OVER; POZO GUANTA-47 CERRADO 24 HORAS FALLA MECÁNICA EQUIPO FONDO BES. POZOS SHUSHUFINDI: 156-22 CERRADOS POR HURTO DE CABLES EN SUPERFICIE. POZO PARAHUACU-32 CERRADO POR ALARMAS DE ALTA TEMPERATURA DE INTAKE Y BAJA PRESIÓN DE INTAKE. BLOQUE-58: POZOS CUYABENO-70 Y CUYABENO-87 CERRADOS TEMPORALMENTE FALLA DE OPERACIONES CAMBIO EN VÁLVULA WING. BLOQUE-60: POZO SACHA-040A CERRADO 12 HORAS POR FALLA ELÉCTRICA-MECÁNICA CAMBIO DE UNIDAD MTU. POZO SACHA-303 CON INCREMENTO DE BSW. BLOQUE-61: POZO AUCA-163 CERRADO 24 HORAS EN TRABAJO DE WORK OVER. POZO AUCA-6 CON INCREMENTO DE BSW. * PLATAFORMA AMISTAD: AMSA-008S1. AMSC-015C1. AMSA-023 PR POZOS CERRADOS - AMSA-016PR, AMSA-06S 3P , AMSA-012S1, AMSB-010, AMSA-007S 2P POZOS ABIERTOS.</t>
        </is>
      </c>
    </row>
    <row r="36">
      <c r="A36" t="inlineStr">
        <is>
          <t>2026-09-10</t>
        </is>
      </c>
      <c r="B36" t="inlineStr">
        <is>
          <t>ANDES PETROLEUM ECUADOR LTD</t>
        </is>
      </c>
      <c r="C36" t="inlineStr">
        <is>
          <t>11 POZOS DE LOS CAMPO ALICE OESTE, CHORONGO, DORINE Y FANNY-18B CONTINÚAN CERRADOS POR ALTO CORTE DE AGUA; 12 POZOS DE LOS CAMPOS FANNY, JOHANNA ESTE, MARIANN Y MARIANN-A4 CONTINÚAN CERRADOS POR BAJA PRODUCCIÓN. 20 POZOS DE LOS CAMPOS COLIBRI, DORINE, FANNY-18B, GABY, JOHANNA ESTE, MAHOGANY Y MARIAN CONTINÚAN CERRADOS ESPERANDO PLAN DE INGENIERÍA; 16 POZOS DE LOS CAMPOS DORINE, FANNY-18B, JOHANNA ESTE Y MARIANN CERRADOS ESPERANDO REACONDICIONAMIENTO. 38 POZOS DE LOS CAMPOS ALICE, ALICE OESTE, DORINE, ESPERANZA, FANNY-18B, JOHANNA ESTE, MARIANN, TARAPOA NORESTE CERRADOS POR NO SER ECONÓMICOS. POZO DORINE-19 CERRADO DEBIDO A QUE NO TIENE POTENCIAL DE RESERVAS. POZOS ALICE- 4 Y FANNY-18B16RE1 CERRADO POR FALLA DE BOMBEO MECÁNICO. POZO MARIANN-77 CERRADO POR FALLA DE EQUIPO BES.</t>
        </is>
      </c>
    </row>
    <row r="37">
      <c r="A37" t="inlineStr">
        <is>
          <t>2026-09-10</t>
        </is>
      </c>
      <c r="B37" t="inlineStr">
        <is>
          <t>PETROORIENTAL</t>
        </is>
      </c>
      <c r="C37" t="inlineStr">
        <is>
          <t>21 POZOS DE LOS CAMPOS NANTU, WANKE, HORMIGUERO, HORMIGUERO SUR, PAICHE, TAPIR NORTE CERRADO POR FALLA EN EQUIPO DE FONDO; POZOS HORMIGUERO-33-43, HORMIGUERO SUR-5 Y NANTU-28 APAGADOS 24 HORAS POR ALTO CORTE DE AGUA; 21 POZOS DE LOS CAMPOS KUPI, NANTU, HORMIGUERO, HORMIGUERO SUR, TAPIR NORTE APAGADOS 24 HORAS POR BAJA PRODUCCIÓN; 5 POZOS DE LOS CAMPOS KUPI, NANTU, WANKE Y HORMIGUERO APAGADOS 24 HORAS SIN RESERVAS POTENCIALES; POZO TAPIR NORTE-29 CON TUBERÍA DE PUNTA LIBRE. POZO NANTU-35 Y HORMIGUERO CENTRO-1 CERRADO POR COMUNICACIÓN TUBING-CASING. POZO HORMIGUERO-27 CERRADO ESPERANDO PLAN DE INGENIERÍA. POZO HORMIGUERO SUR-16 CERRADO POR CAMBIO DE VSD.</t>
        </is>
      </c>
    </row>
    <row r="38">
      <c r="A38" t="inlineStr">
        <is>
          <t>2026-09-10</t>
        </is>
      </c>
      <c r="B38" t="inlineStr">
        <is>
          <t>PETRÓLEOS DEL PACIFICO S.A. PACIFPETROL.-17 POZOS DEL BLOQUE-2 CERRADOS 24 HORAS NO EVALUADOS. *CÍA. ORION ENERGY OCANO PB S.A</t>
        </is>
      </c>
      <c r="C38" t="inlineStr">
        <is>
          <t>NO REPORTA PÉRDIDAS</t>
        </is>
      </c>
    </row>
    <row r="39">
      <c r="A39" t="inlineStr">
        <is>
          <t>2026-09-10</t>
        </is>
      </c>
      <c r="B39" t="inlineStr">
        <is>
          <t>ORION OIL ER S.A</t>
        </is>
      </c>
      <c r="C39" t="inlineStr">
        <is>
          <t>NO REPORTA PÉRDIDAS. *ENAP SIPETROL S.A. - ENAP SIPEC.- BLOQUE-46: POZO MDC-51 CON BAJO APORTE. BLOQUE-47: POZO COPAL-1 REALIZANDO TRABAJOS PARA RECUPERACIÓN DE BOMBA JET. POZO BIGUNO-1 CERRADO SE ARRANCA UNIDAD MTU. POZO BIGUNO-2 ESPERANDO LUZ DEL DIA PARA REALIZAR PRUEBA DE COMPLETACION * CÍA. GENTE OIL ECUADOR PTE.LTD.- POZO SINGUE-B12H CERRADO EN ESPERA DE REACONDICIONAMIENTO.</t>
        </is>
      </c>
    </row>
    <row r="40">
      <c r="A40" t="inlineStr">
        <is>
          <t>2026-09-10</t>
        </is>
      </c>
      <c r="B40" t="inlineStr">
        <is>
          <t>PLUSPETROL OIL ECUADOR</t>
        </is>
      </c>
      <c r="C40" t="inlineStr">
        <is>
          <t>POZO VILLANO: 03ST2-11RE1-15H EN ESPERA DE REACONDICIONAMIENTO.</t>
        </is>
      </c>
    </row>
    <row r="41">
      <c r="A41" t="inlineStr">
        <is>
          <t>2026-09-10</t>
        </is>
      </c>
      <c r="B41" t="inlineStr">
        <is>
          <t>PETROBELL S.A</t>
        </is>
      </c>
      <c r="C41" t="inlineStr">
        <is>
          <t>POZOS: CACHIYACU-1 CERRADO 24 HORAS POR PROBLEMAS EN LA OPERACIÓN. POZOS TIGUINO: 19-22 ESPERANDO REACONDICIONAMIENTO. POZO TIGUINO-04 CERRADO POR ALARMA DE SOBRECORRIENTE. POZO TIGUINO-37 CON BAJO APORTE.</t>
        </is>
      </c>
    </row>
    <row r="42">
      <c r="A42" t="inlineStr">
        <is>
          <t>2026-09-10</t>
        </is>
      </c>
      <c r="B42" t="inlineStr">
        <is>
          <t>PCR ECUADOR S.A</t>
        </is>
      </c>
      <c r="C42" t="inlineStr">
        <is>
          <t>BLOQUE-64: 5 POZOS DE LOS CAMPOS YUCA SUR CERRADOS POR ALTA TEMPERATURA DE REFRIGERANTE DE GENERADOR. 6 POZOS DE LOS CAMPOS PALANDA Y YUCA SUR CERRADOS POR FALLA ELÉCTRICA. POZO YUCA SUR-17 CERRADO POR RESTAURACIÓN DE PRESIÓN. BLOQUE-65: PINDO-24D CERRADO POR REACONDICIONAMIENTO. POZO SUYANA-1 CON BAJO APORTE. BLOQUE-90: POZO VHR SUR-5 CON BAJO APORTE.</t>
        </is>
      </c>
    </row>
    <row r="43">
      <c r="A43" t="inlineStr">
        <is>
          <t>2026-09-10</t>
        </is>
      </c>
      <c r="B43" t="inlineStr">
        <is>
          <t>GRAN TIERRA ENERGY COLOMBIA LLC</t>
        </is>
      </c>
      <c r="C43" t="inlineStr">
        <is>
          <t>BLOQUE-50: POZO CHARAPA-B6 CERRADO PARA REALIZAR PRUEBA DE PRODUCCIÓN AL POZO CHARAPA-B5. POZOS CHARAPA: B5-B7 CERRADOS POR FALLA DE GENERACIÓN.</t>
        </is>
      </c>
    </row>
    <row r="44">
      <c r="A44" t="inlineStr">
        <is>
          <t>2026-09-10</t>
        </is>
      </c>
      <c r="B44" t="inlineStr">
        <is>
          <t>CONSORCIO BLOQUE ESPEJO</t>
        </is>
      </c>
      <c r="C44" t="inlineStr">
        <is>
          <t>SUSPENSIÓN TEMPORAL DE PRODUCCIÓN DE POZOS POR RAZONES TÉCNICAS-ECONÓMICAS A PARTIR DEL DÍA OPERATIVO 1 DE JUNIO DE 2025, DE ACUERDO A LA COMUNICACIÓN NRO. S-GBE-2025-000112 ENVIADO AL MINISTERIO DE AMBIENTE Y ENERGÍA.</t>
        </is>
      </c>
    </row>
    <row r="45">
      <c r="A45" t="inlineStr">
        <is>
          <t>2026-09-10</t>
        </is>
      </c>
      <c r="B45" t="inlineStr">
        <is>
          <t>CONSORCIO BLOQUE PERICO</t>
        </is>
      </c>
      <c r="C45" t="inlineStr">
        <is>
          <t>NO REPORTA PÉRDIDAS. * LOS ESTIMADOS DE PRODUCCIÓN DE CRUDO CON BASE A LA COMUNICACIÓN ENVIADA POR EL MINISTERIO DE AMBIENTE Y ENERGÍA MEDIANTE OFICIO Nro. MAE-VH-2026-0144-OF DE 23 DE MARZO DE 2026. ELABORADO POR: ISRAEL JARA AGENCIA DE REGULACIÓN Y CONTROL DE HIDROCARBUROS REVISADO POR: GUILLERMO VINUEZA</t>
        </is>
      </c>
    </row>
    <row r="46">
      <c r="A46" t="inlineStr">
        <is>
          <t>2026-09-13</t>
        </is>
      </c>
      <c r="B46" t="inlineStr">
        <is>
          <t>EP PETROECUADOR</t>
        </is>
      </c>
      <c r="C46" t="inlineStr">
        <is>
          <t>BLOQUE 15: POZO LAGUNA 10A CERRADO 08 HORAS POR FALLA DE OPERACIONES EN PROCESOS/APAGADO EQUIPO BES POR CORRECCIÓN DE PITTING EN LINEA DE FLUJO, POZO LIMONCOCHA 61 CERRADO 09 HORAS POR FALLA DE OPERACIONES EN PROCESOS/APAGADO EQUIPO BES POSTERIOR TRATAMIENTO QUÍMICO VÍA ANULAR + MANIOBRAS DE DESACASTAMIENTO BES. BLOQUE 16: POZO DAIMI A4 CERRADO 24 HORAS POR FALLA EN PLANTA/CONTROL DE NIVELES TANQUES DE AGUA PLANTA SPF. BLOQUE 55: POZO ARMADILLO B4 CERRADO 24 HORAS POR RIGLESS (ESTIMULACIÓN/LIMPIEZA/BOMBEO)/OFF, REALIZANDO TRABAJOS COILED TUBING. BLOQUE 56: POZO LAGO AGRIO-47D BAJA PRESIÓN RESERVORIO-DEPLETACIÓN. BLOQUE 57: POZO PARAHUACU 32 CERRADO 24 HORAS POR BACK SPIN EN EQUIPO BES/POZO SE APAGA POR ALTA TEMPERATURA DE MOTOR, POZO SECOYA-14 CERRADO 22 HORAS POR ACCIDEN/ROBO/SABOTAJ INSTA-NP/OFF POR ROBO DE CABLE DEL VSD, POZO SHUSHUFINDI-112 CERRADO 6 HORAS POR LÍNEA DE FLUJO-CORROSIÓN INTERNA/SCALA/(6H) PITTING EN LA LÍNEA DE FLUJO. POZO TETETE CERRADO 6 HORAS POR CAPACIDAD TRATAMIENTO-FALLA PLANTA/OFF POR LIMITACIÓN DE MANEJO DE AGUA. BLOQUE 58: POZO CUYABENO 10 CERRADO 02 HORAS POR LIMPIEZA VRF/TURBINA-BAJA PRES./LIMPIEZA DE TURBINA Y VRF, POZO CUYABENO 15 CERRADO 02 HORAS POR BOMBA. HIDRAUL-LIMPIEZA VRF/TURBINA-BAJA PRES/LIMPIEZA DE TURBINA Y VRF. BLOQUE 60: POZO SACHA 118 CERRADO 24 HORAS POR FALLA ELECTRICA DE EQUIPO DE FONDO FALLA ELÉCTRICA. EWO. POZO SACHA-511 BAJA PRESIÓN RESERVORIO- DEPLETACION/OFF POR BAJA PIP. BLOQUE 61: POZO AUCA 142 CERRADO 24 HORAS POR BOMBA MECÁNICA DESASENTADA/OFF POR DESASENTAMIENTO DE BOMBA, POZO AUCA-268 RIGLESS (ESTIMULACIÓN/LIMPIEZA/BOMBEO)/OFF POR TRABAJO DE RLO. POZO AUCA-66D CERRADO 24 HORAS POR POZO EN TRABAJO DE WORK OVER/OFF EWO POR FASES ABIERTAS Y BAJO AISLAMIENTO. BLOQUE 07: POZO COCA-K49 CERRADO 12 HORAS POR ACP2 PRUEBA COMPLET-COMUNICA TUB-CASING/DANO/ROTURA/OFF 12 HRS, PRUEBAS DE COMPLETACIÓN. POZOS OSO G067R1 HP, OSO G084 HP, OSO G089H HP, OSO NORTE-G1, OSO NORTE-G2 Y POZO OSO-G100 CERRADOS 02 HORAS POR CAUSA GENERACIÓN AISL-FALLA GRP ELEC-NP/OFF 5 HRS, FALLA DE GENERACIÓN MG-048. *PLATAFORMA AMISTAD: AMSA-008S1. AMSC-015C1. AMSA-023 PR POZOS CERRADOS - AMSA-016PR, AMSA-06S 3P , AMSA-012S1, AMSB-010, AMSA-007S 2P POZOS ABIERTOS.</t>
        </is>
      </c>
    </row>
    <row r="47">
      <c r="A47" t="inlineStr">
        <is>
          <t>2026-09-13</t>
        </is>
      </c>
      <c r="B47" t="inlineStr">
        <is>
          <t>ANDES PETROLEUM ECUADOR LTD</t>
        </is>
      </c>
      <c r="C47" t="inlineStr">
        <is>
          <t>11 POZOS DE LOS CAMPO ALICE, CHORONGO, DORINE Y FANNY-18B CONTINÚAN CERRADOS POR ALTO CORTE DE AGUA; 12 POZOS DE LOS CAMPOS FANNY-18B, JOHANNA ESTE, MARIANN Y MAHOGANY-01 CONTINÚAN CERRADOS POR BAJA PRODUCCIÓN. 20 POZOS DE LOS CAMPOS COLIBRI, DORINE, FANNY-18B, GABY, JOHANNA ESTE MARIAN Y MARIANN-4A-04 CONTINÚAN CERRADOS ESPERANDO PLAN DE INGENIERÍA; 15 POZOS DE LOS CAMPOS DORINE, FANNY-18B, JOHANNA ESTE Y MARIANN CERRADOS ESPERANDO REACONDICIONAMIENTO. 39 POZOS DE LOS CAMPOS ALICE, OESTE, DORINE, ESPERANZA, FANNY-18B, JOHANNA ESTE, MARIANN, TARAPOA NORESTE Y MARIANN-4A CERRADOS POR NO SER ECONÓMICOS. POZO DORINE-19 CERRADO DEBIDO A QUE NO TIENE POTENCIAL DE RESERVAS. POZO FANNY 18B-190 CERRADO 13 HORAS FINALIZA WO RETORNA A PRODUCCIÓN. POZO MARIANN-69 CERRADO 2 HORAS POR MANTENIMIENTO PREVENTIVO DE LA UNIDAD DE BOMBEO HIDRÁULICO.</t>
        </is>
      </c>
    </row>
    <row r="48">
      <c r="A48" t="inlineStr">
        <is>
          <t>2026-09-13</t>
        </is>
      </c>
      <c r="B48" t="inlineStr">
        <is>
          <t>PETROORIENTAL</t>
        </is>
      </c>
      <c r="C48" t="inlineStr">
        <is>
          <t>21 POZOS DE LOS CAMPOS NANTU, WANKE, HORMIGUERO, HORMIGUERO SUR, PAICHE, TAPIR NORTE CERRADO POR FALLA EN EQUIPO DE FONDO; POZOS HORMIGUERO-33-43, HORMIGUERO SUR-5 Y NANTU-28 APAGADOS 24 HORAS POR ALTO CORTE DE AGUA; 21 POZOS DE LOS CAMPOS KUPI, NANTU, HORMIGUERO, HORMIGUERO SUR, TAPIR NORTE APAGADOS 24 HORAS POR BAJA PRODUCCIÓN; 5 POZOS DE LOS CAMPOS KUPI, NANTU, WANKE Y HORMIGUERO APAGADOS 24 HORAS SIN RESERVAS POTENCIALES; POZO TAPIR NORTE-29 CON TUBERÍA DE PUNTA LIBRE. POZO NANTU-35 Y HORMIGUERO CENTRO-1 CERRADO POR COMUNICACIÓN TUBING-CASING. POZO HORMIGUERO-27 CERRADO ESPERANDO PLAN DE INGENIERÍA. POZO PAICHE-2 CERRADO POR 24 HORAS POR FALLA EN EL EQUIPO DE FONDO, POZO NO PRODUCE</t>
        </is>
      </c>
    </row>
    <row r="49">
      <c r="A49" t="inlineStr">
        <is>
          <t>2026-09-13</t>
        </is>
      </c>
      <c r="B49" t="inlineStr">
        <is>
          <t>PETRÓLEOS DEL PACIFICO S.A. PACIFPETROL.-18 POZOS DEL BLOQUE-2 CERRADOS 24 HORAS NO EVALUADOS. *CÍA. ORION ENERGY OCANO PB S.A</t>
        </is>
      </c>
      <c r="C49" t="inlineStr">
        <is>
          <t>NO REPORTA PERDIDAS.</t>
        </is>
      </c>
    </row>
    <row r="50">
      <c r="A50" t="inlineStr">
        <is>
          <t>2026-09-13</t>
        </is>
      </c>
      <c r="B50" t="inlineStr">
        <is>
          <t>ORION OIL ER S.A</t>
        </is>
      </c>
      <c r="C50" t="inlineStr">
        <is>
          <t>NO REPORTA PERDIDAS. *ENAP SIPETROL S.A. - ENAP SIPEC.- BLOQUE-46: POZO MDC-82 CON BAJO APORTE E INCREMENTO DE BSW. BLOQUE-47: POZOS BIGUNO- 1 -2 CERRADOS 12 HORAS EN OBSERVACIÓN LUEGO DE CHEQUEO DE BOMBA JET. POZO INCHI-E16 CERRADO 12 HORAS POR ALARMA DE ALTA TEMPERATURA DE INTAKE. * CÍA. GENTE OIL ECUADOR PTE.LTD.- POZO SINGUE-B12H CERRADO EN ESPERA DE REACONDICIONAMIENTO.</t>
        </is>
      </c>
    </row>
    <row r="51">
      <c r="A51" t="inlineStr">
        <is>
          <t>2026-09-13</t>
        </is>
      </c>
      <c r="B51" t="inlineStr">
        <is>
          <t>PLUSPETROL OIL ECUADOR</t>
        </is>
      </c>
      <c r="C51" t="inlineStr">
        <is>
          <t>POZO VILLANO: 03ST2-11RE1-15H EN ESPERA DE REACONDICIONAMIENTO. POZO VILLANO-13 CERRADO 24 HORAS POR ALTO CORTE DE AGUA.</t>
        </is>
      </c>
    </row>
    <row r="52">
      <c r="A52" t="inlineStr">
        <is>
          <t>2026-09-13</t>
        </is>
      </c>
      <c r="B52" t="inlineStr">
        <is>
          <t>PETROBELL S.A</t>
        </is>
      </c>
      <c r="C52" t="inlineStr">
        <is>
          <t>POZOS: CACHIYACU-1 CERRADO 24 HORAS POR PROBLEMAS EN LA OPERACIÓN. POZOS TIGUINO: 04-19-22 ESPERANDO REACONDICIONAMIENTO. POZO TIGUINO-21 CON BAJO APORTE. POZO TIGUINO-24 CERRADO 24 HORAS POR CULMINA RAMPA DE FRECUENCIA DE 24 HORAS.</t>
        </is>
      </c>
    </row>
    <row r="53">
      <c r="A53" t="inlineStr">
        <is>
          <t>2026-09-13</t>
        </is>
      </c>
      <c r="B53" t="inlineStr">
        <is>
          <t>PCR ECUADOR S.A</t>
        </is>
      </c>
      <c r="C53" t="inlineStr">
        <is>
          <t>BLOQUE-64: POZOS SAMI-4D-5 CERRADOS POR INCREMENTO DE BSW. POZO YUCA SUR-3 CON BAJO APORTE DE FLUIDO. BLOQUE-65: PINDO-24D CERRADO POR REACONDICIONAMIENTO. POZO. BLOQUE-90: NO REPORTA PERDIDAS.</t>
        </is>
      </c>
    </row>
    <row r="54">
      <c r="A54" t="inlineStr">
        <is>
          <t>2026-09-13</t>
        </is>
      </c>
      <c r="B54" t="inlineStr">
        <is>
          <t>GRAN TIERRA ENERGY COLOMBIA LLC</t>
        </is>
      </c>
      <c r="C54" t="inlineStr">
        <is>
          <t>NO REPORTE PERDIDAS</t>
        </is>
      </c>
    </row>
    <row r="55">
      <c r="A55" t="inlineStr">
        <is>
          <t>2026-09-13</t>
        </is>
      </c>
      <c r="B55" t="inlineStr">
        <is>
          <t>CONSORCIO BLOQUE ESPEJO</t>
        </is>
      </c>
      <c r="C55" t="inlineStr">
        <is>
          <t>SUSPENSIÓN TEMPORAL DE PRODUCCIÓN DE POZOS POR RAZONES TÉCNICAS-ECONÓMICAS A PARTIR DEL DÍA OPERATIVO 1 DE JUNIO DE 2025, DE ACUERDO A LA COMUNICACIÓN NRO. S-GBE-2025-000112 ENVIADO AL MINISTERIO DE AMBIENTE Y ENERGÍA.</t>
        </is>
      </c>
    </row>
    <row r="56">
      <c r="A56" t="inlineStr">
        <is>
          <t>2026-09-13</t>
        </is>
      </c>
      <c r="B56" t="inlineStr">
        <is>
          <t>CONSORCIO BLOQUE PERICO</t>
        </is>
      </c>
      <c r="C56" t="inlineStr">
        <is>
          <t>POZO PERICO-B1 (PERICO SUR-B1) CERRADO 3 HORAS POR MANTENIMIENTO PREVENTIVO DE MTU18 * LOS ESTIMADOS DE PRODUCCIÓN DE CRUDO CON BASE A LA COMUNICACIÓN ENVIADA POR EL MINISTERIO DE AMBIENTE Y ENERGÍA MEDIANTE OFICIO Nro. MAE-VH-2026-0144-OF DE 23 DE MARZO DE 2026. ELABORADO POR: MARIA LOROÑA AGENCIA DE REGULACIÓN Y CONTROL DE HIDROCARBUROS REVISADO POR: GUILLERMO VINUEZA</t>
        </is>
      </c>
    </row>
    <row r="57">
      <c r="A57" t="inlineStr">
        <is>
          <t>2026-09-14</t>
        </is>
      </c>
      <c r="B57" t="inlineStr">
        <is>
          <t>EP PETROECUADOR</t>
        </is>
      </c>
      <c r="C57" t="inlineStr">
        <is>
          <t>BLOQUE 07: POZO COCA-K49 CERRADO 24 HORAS COMUNICACIÓN TUBING-CASING. POZO PAYAMINO-36 CON INCREMENTO DE BSW. POZO GACELA 04 CERRADO 04 HORAS MANTENIMIENTO PREVENTIVO MOTOR BOMBA UNIDAD POWER OIL. POZO LOBO 10 CERRADO 06 HORAS POR FALLA ELÉCTRICA. POZO OSO-H113RE CERRADO 24 HORAS POR REACONDICIONAMIENTO, POZO OSO-11 (FRONTINO-3) CERRADO 02 HORAS POR MANTENIMIENTO PREVENTIVO UNIDAD POWER OIL. BLOQUE 15: CAMPOS ITAYA, JIVINO, LAGUNA, LIMONCOCHA, PAKA NORTE, PALMAR OESTE, TUICH, YANACHINCHA NORTE Y YANAQUINCHA OESTE, CIERRE DE 59 POZOS DURANTE 04 HORAS DEBIDO A MANTENIMIENTO POR CAUSA GENERACIÓN. BLOQUE 16: POZO DAIMI A4 CERRADO 24 HORAS POR FALLA EN PLANTA/CONTROL DE NIVELES TANQUES DE AGUA PLANTA SPF. BLOQUE 55: POZO ARMADILLO B4 CERRADO 24 REALIZANDO TRABAJOS COILED TUBING BLOQUE 57: POZO PARAHUACU 32 CERRADO 24 HORAS POR FALLA DE EQUIPO BES, POZO DURENO 01 CERRADO 24 HORAS POR TRABAJO DE INSTALACIÓN EN SUPERFICIE POR ROBO DE CABLES, POZO DURENO-3 CERRADO 05 HORAS POR MANTENIMIENTO DE LA UNIDAD MTU Y CAMBIO DE BOMBA JET. POZO SHUSHUFINDI-68 CERRADO 16 HORAS POR CAMBIO DE LÍNEA DE FLUJO. POZO ATACAPI-14 CERRADO POR CAMBIO DE VÁLVULA DE UNIDAD HPS. BLOQUE 58: POZOS CUYABENO 61, CUYABENO H46, CUYABENO 60, CUYANO 66 Y CUYABENO 67 CERRADOS 24 HORAS POR FALLA CONTROL DE NIVELES DEL TANQUE DE LAVADO. BLOQUE 60: POZO SACHA 355 CERRADO 24 HORAS POR REACONDICIONAMIENTO. POZO SACHA 589 CERRADO 12 HORAS POR TRABAJO SIN TORRE. POZO SACHA-120 CON BAJO APORTE. POZOS SACHA: 419-400 CON INCREMENTO DE BSW. BLOQUE 61: POZO AUCA 268 CERRADO 24 HORAS POR TRABAJO SIN TORRE. POZO CULEBRA-47 CON BAJO APORTE. YULEBRA-20 CON INCREMENTO DE BSW. POZO AUCA-134 CON INCREMENTO DE BSW. * PLATAFORMA AMISTAD: * PLATAFORMA AMISTAD: AMSA-008S1. AMSC-015C1. AMSA-023 PR POZOS CERRADOS - AMSA-016PR, AMSA-06S 3P , AMSA-012S1, AMSB-010, AMSA-007S 2P POZOS ABIERTOS.</t>
        </is>
      </c>
    </row>
    <row r="58">
      <c r="A58" t="inlineStr">
        <is>
          <t>2026-09-14</t>
        </is>
      </c>
      <c r="B58" t="inlineStr">
        <is>
          <t>ANDES PETROLEUM ECUADOR LTD</t>
        </is>
      </c>
      <c r="C58" t="inlineStr">
        <is>
          <t>11 POZOS DE LOS CAMPO ALICE OESTE, CHORONGO, DORINE Y FANNY-18B CONTINÚAN CERRADOS POR ALTO CORTE DE AGUA; 12 POZOS DE LOS CAMPOS FANNY, JOHANNA ESTE, MARIANN Y MARIANN-A4 CONTINÚAN CERRADOS POR BAJA PRODUCCIÓN. 20 POZOS DE LOS CAMPOS COLIBRI, DORINE, FANNY-18B, GABY, JOHANNA ESTE, MAHOGANY Y MARIAN CONTINÚAN CERRADOS ESPERANDO PLAN DE INGENIERÍA; 15 POZOS DE LOS CAMPOS DORINE, FANNY-18B, JOHANNA ESTE Y MARIANN CERRADOS ESPERANDO REACONDICIONAMIENTO. 39 POZOS DE LOS CAMPOS ALICE, ALICE OESTE, DORINE, ESPERANZA, FANNY-18B, JOHANNA ESTE, MARIANN, TARAPOA NORESTE CERRADOS POR NO SER ECONÓMICOS. POZO DORINE-19 CERRADO DEBIDO A QUE NO TIENE POTENCIAL DE RESERVAS. POZOS FANNY-18B16RE1 CERRADO POR FALLA DE BOMBEO MECÁNICO. POZO JOHANNA SUR-1 CERRADO POR CAMBIO DE INTERVALO.</t>
        </is>
      </c>
    </row>
    <row r="59">
      <c r="A59" t="inlineStr">
        <is>
          <t>2026-09-14</t>
        </is>
      </c>
      <c r="B59" t="inlineStr">
        <is>
          <t>PETROORIENTAL</t>
        </is>
      </c>
      <c r="C59" t="inlineStr">
        <is>
          <t>21 POZOS DE LOS CAMPOS NANTU, WANKE, HORMIGUERO, HORMIGUERO SUR, PAICHE, TAPIR NORTE CERRADO POR FALLA EN EQUIPO DE FONDO; POZOS HORMIGUERO-33-43, HORMIGUERO SUR-5 Y NANTU-28 APAGADOS 24 HORAS POR ALTO CORTE DE AGUA; 21 POZOS DE LOS CAMPOS KUPI, NANTU, HORMIGUERO, HORMIGUERO SUR, TAPIR NORTE APAGADOS 24 HORAS POR BAJA PRODUCCIÓN; 5 POZOS DE LOS CAMPOS KUPI, NANTU, WANKE Y HORMIGUERO APAGADOS 24 HORAS SIN RESERVAS POTENCIALES; POZO TAPIR NORTE-29 CON TUBERÍA DE PUNTA LIBRE. POZO NANTU-35 Y HORMIGUERO CENTRO-1 CERRADO POR COMUNICACIÓN TUBING-CASING. POZO HORMIGUERO-27 CERRADO ESPERANDO PLAN DE INGENIERÍA.</t>
        </is>
      </c>
    </row>
    <row r="60">
      <c r="A60" t="inlineStr">
        <is>
          <t>2026-09-14</t>
        </is>
      </c>
      <c r="B60" t="inlineStr">
        <is>
          <t>PETRÓLEOS DEL PACIFICO S.A. PACIFPETROL.-4 POZOS DEL BLOQUE-2 CERRADOS 24 HORAS NO EVALUADOS. *CÍA. ORION ENERGY OCANO PB S.A</t>
        </is>
      </c>
      <c r="C60" t="inlineStr">
        <is>
          <t>NO REPORTA PÉRDIDAS</t>
        </is>
      </c>
    </row>
    <row r="61">
      <c r="A61" t="inlineStr">
        <is>
          <t>2026-09-14</t>
        </is>
      </c>
      <c r="B61" t="inlineStr">
        <is>
          <t>ORION OIL ER S.A</t>
        </is>
      </c>
      <c r="C61" t="inlineStr">
        <is>
          <t>NO REPORTA PÉRDIDAS. *ENAP SIPETROL S.A. - ENAP SIPEC.- BLOQUE-46: POZOS MDC: 84-86 CON BAJO APORTE E INCREMENTO DE BSW. -47: POZO BIGUNO-1 Y BIGUNO-2 EN MONITOREO. POZO INCHI-E16 CERRADO POR ALARMA DE ALTA TEMPERATURA DE INTAKE. * CÍA. GENTE OIL ECUADOR PTE.LTD.- POZO SINGUE-B12H CERRADO EN ESPERA DE REACONDICIONAMIENTO.</t>
        </is>
      </c>
    </row>
    <row r="62">
      <c r="A62" t="inlineStr">
        <is>
          <t>2026-09-14</t>
        </is>
      </c>
      <c r="B62" t="inlineStr">
        <is>
          <t>PLUSPETROL OIL ECUADOR</t>
        </is>
      </c>
      <c r="C62" t="inlineStr">
        <is>
          <t>POZO VILLANO: 03ST2-11RE1-15H EN ESPERA DE REACONDICIONAMIENTO.</t>
        </is>
      </c>
    </row>
    <row r="63">
      <c r="A63" t="inlineStr">
        <is>
          <t>2026-09-14</t>
        </is>
      </c>
      <c r="B63" t="inlineStr">
        <is>
          <t>PETROBELL S.A</t>
        </is>
      </c>
      <c r="C63" t="inlineStr">
        <is>
          <t>POZOS: CACHIYACU-1 CERRADO 24 HORAS POR PROBLEMAS EN LA OPERACIÓN. POZOS TIGUINO: 04-19-22 ESPERANDO REACONDICIONAMIENTO.</t>
        </is>
      </c>
    </row>
    <row r="64">
      <c r="A64" t="inlineStr">
        <is>
          <t>2026-09-14</t>
        </is>
      </c>
      <c r="B64" t="inlineStr">
        <is>
          <t>PCR ECUADOR S.A</t>
        </is>
      </c>
      <c r="C64" t="inlineStr">
        <is>
          <t>BLOQUE-64: POZOS SAMI-6 Y YUCA SUR-23 CON INCREMENTO DE BSW. BLOQUE-90: POZO VHR SUR-5 SE BAJA FRECUENCIA + INCREMENTO DE BSW.</t>
        </is>
      </c>
    </row>
    <row r="65">
      <c r="A65" t="inlineStr">
        <is>
          <t>2026-09-14</t>
        </is>
      </c>
      <c r="B65" t="inlineStr">
        <is>
          <t>GRAN TIERRA ENERGY COLOMBIA LLC</t>
        </is>
      </c>
      <c r="C65" t="inlineStr">
        <is>
          <t>NO REPORTA PÉRDIDAS.</t>
        </is>
      </c>
    </row>
    <row r="66">
      <c r="A66" t="inlineStr">
        <is>
          <t>2026-09-14</t>
        </is>
      </c>
      <c r="B66" t="inlineStr">
        <is>
          <t>CONSORCIO BLOQUE ESPEJO</t>
        </is>
      </c>
      <c r="C66" t="inlineStr">
        <is>
          <t>SUSPENSIÓN TEMPORAL DE PRODUCCIÓN DE POZOS POR RAZONES TÉCNICAS-ECONÓMICAS A PARTIR DEL DÍA OPERATIVO 1 DE JUNIO DE 2025, DE ACUERDO A LA COMUNICACIÓN NRO. S-GBE-2025-000112 ENVIADO AL MINISTERIO DE AMBIENTE Y ENERGÍA.</t>
        </is>
      </c>
    </row>
    <row r="67">
      <c r="A67" t="inlineStr">
        <is>
          <t>2026-09-14</t>
        </is>
      </c>
      <c r="B67" t="inlineStr">
        <is>
          <t>CONSORCIO BLOQUE PERICO</t>
        </is>
      </c>
      <c r="C67" t="inlineStr">
        <is>
          <t>NO REPORTA PÉRDIDAS. * LOS ESTIMADOS DE PRODUCCIÓN DE CRUDO CON BASE A LA COMUNICACIÓN ENVIADA POR EL MINISTERIO DE AMBIENTE Y ENERGÍA MEDIANTE OFICIO Nro. MAE-VH-2026-0144-OF DE 23 DE MARZO DE 2026. ELABORADO POR: ISRAEL JARA AGENCIA DE REGULACIÓN Y CONTROL DE HIDROCARBUROS REVISADO POR: GUILLERMO VINUEZA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1" t="inlineStr">
        <is>
          <t>operacion</t>
        </is>
      </c>
      <c r="B1" s="1" t="inlineStr">
        <is>
          <t>control</t>
        </is>
      </c>
      <c r="C1" s="1" t="inlineStr">
        <is>
          <t>calculado</t>
        </is>
      </c>
      <c r="D1" s="1" t="inlineStr">
        <is>
          <t>según el parte</t>
        </is>
      </c>
      <c r="E1" s="1" t="inlineStr">
        <is>
          <t>diferencia</t>
        </is>
      </c>
    </row>
    <row r="2">
      <c r="A2" t="inlineStr">
        <is>
          <t>2026-09-07</t>
        </is>
      </c>
      <c r="B2" t="inlineStr">
        <is>
          <t>privadas suman el subtotal</t>
        </is>
      </c>
      <c r="C2" t="n">
        <v>96968.94</v>
      </c>
      <c r="D2" t="n">
        <v>96968.94</v>
      </c>
      <c r="E2" t="n">
        <v>0</v>
      </c>
    </row>
    <row r="3">
      <c r="A3" t="inlineStr">
        <is>
          <t>2026-09-07</t>
        </is>
      </c>
      <c r="B3" t="inlineStr">
        <is>
          <t>compañías suman el total nacional</t>
        </is>
      </c>
      <c r="C3" t="n">
        <v>443711.91</v>
      </c>
      <c r="D3" t="n">
        <v>443711.91</v>
      </c>
      <c r="E3" t="n">
        <v>0</v>
      </c>
    </row>
    <row r="4">
      <c r="A4" t="inlineStr">
        <is>
          <t>2026-09-07</t>
        </is>
      </c>
      <c r="B4" t="inlineStr">
        <is>
          <t>bloques suman EP Petroecuador</t>
        </is>
      </c>
      <c r="C4" t="n">
        <v>346742.97</v>
      </c>
      <c r="D4" t="n">
        <v>346742.97</v>
      </c>
      <c r="E4" t="n">
        <v>0</v>
      </c>
    </row>
    <row r="5">
      <c r="A5" t="inlineStr">
        <is>
          <t>2026-09-08</t>
        </is>
      </c>
      <c r="B5" t="inlineStr">
        <is>
          <t>privadas suman el subtotal</t>
        </is>
      </c>
      <c r="C5" t="n">
        <v>96766.00999999999</v>
      </c>
      <c r="D5" t="n">
        <v>96766.00999999999</v>
      </c>
      <c r="E5" t="n">
        <v>0</v>
      </c>
    </row>
    <row r="6">
      <c r="A6" t="inlineStr">
        <is>
          <t>2026-09-08</t>
        </is>
      </c>
      <c r="B6" t="inlineStr">
        <is>
          <t>compañías suman el total nacional</t>
        </is>
      </c>
      <c r="C6" t="n">
        <v>457624.54</v>
      </c>
      <c r="D6" t="n">
        <v>457624.54</v>
      </c>
      <c r="E6" t="n">
        <v>0</v>
      </c>
    </row>
    <row r="7">
      <c r="A7" t="inlineStr">
        <is>
          <t>2026-09-08</t>
        </is>
      </c>
      <c r="B7" t="inlineStr">
        <is>
          <t>bloques suman EP Petroecuador</t>
        </is>
      </c>
      <c r="C7" t="n">
        <v>360858.53</v>
      </c>
      <c r="D7" t="n">
        <v>360858.53</v>
      </c>
      <c r="E7" t="n">
        <v>0</v>
      </c>
    </row>
    <row r="8">
      <c r="A8" t="inlineStr">
        <is>
          <t>2026-09-08</t>
        </is>
      </c>
      <c r="B8" t="inlineStr">
        <is>
          <t>anterior de EP PETROECUADOR contra el parte previo (2026-09-07)</t>
        </is>
      </c>
      <c r="C8" t="n">
        <v>346742.97</v>
      </c>
      <c r="D8" t="n">
        <v>346741.11</v>
      </c>
      <c r="E8" t="n">
        <v>-1.86</v>
      </c>
    </row>
    <row r="9">
      <c r="A9" t="inlineStr">
        <is>
          <t>2026-09-09</t>
        </is>
      </c>
      <c r="B9" t="inlineStr">
        <is>
          <t>privadas suman el subtotal</t>
        </is>
      </c>
      <c r="C9" t="n">
        <v>96431.49000000001</v>
      </c>
      <c r="D9" t="n">
        <v>96431.49000000001</v>
      </c>
      <c r="E9" t="n">
        <v>0</v>
      </c>
    </row>
    <row r="10">
      <c r="A10" t="inlineStr">
        <is>
          <t>2026-09-09</t>
        </is>
      </c>
      <c r="B10" t="inlineStr">
        <is>
          <t>compañías suman el total nacional</t>
        </is>
      </c>
      <c r="C10" t="n">
        <v>457670.12</v>
      </c>
      <c r="D10" t="n">
        <v>457670.12</v>
      </c>
      <c r="E10" t="n">
        <v>0</v>
      </c>
    </row>
    <row r="11">
      <c r="A11" t="inlineStr">
        <is>
          <t>2026-09-09</t>
        </is>
      </c>
      <c r="B11" t="inlineStr">
        <is>
          <t>bloques suman EP Petroecuador</t>
        </is>
      </c>
      <c r="C11" t="n">
        <v>361238.63</v>
      </c>
      <c r="D11" t="n">
        <v>361238.63</v>
      </c>
      <c r="E11" t="n">
        <v>0</v>
      </c>
    </row>
    <row r="12">
      <c r="A12" t="inlineStr">
        <is>
          <t>2026-09-09</t>
        </is>
      </c>
      <c r="B12" t="inlineStr">
        <is>
          <t>anterior de EP PETROECUADOR contra el parte previo (2026-09-08)</t>
        </is>
      </c>
      <c r="C12" t="n">
        <v>360858.53</v>
      </c>
      <c r="D12" t="n">
        <v>360856.5</v>
      </c>
      <c r="E12" t="n">
        <v>-2.03</v>
      </c>
    </row>
    <row r="13">
      <c r="A13" t="inlineStr">
        <is>
          <t>2026-09-10</t>
        </is>
      </c>
      <c r="B13" t="inlineStr">
        <is>
          <t>privadas suman el subtotal</t>
        </is>
      </c>
      <c r="C13" t="n">
        <v>97004.89</v>
      </c>
      <c r="D13" t="n">
        <v>97004.89</v>
      </c>
      <c r="E13" t="n">
        <v>0</v>
      </c>
    </row>
    <row r="14">
      <c r="A14" t="inlineStr">
        <is>
          <t>2026-09-10</t>
        </is>
      </c>
      <c r="B14" t="inlineStr">
        <is>
          <t>compañías suman el total nacional</t>
        </is>
      </c>
      <c r="C14" t="n">
        <v>463100.1</v>
      </c>
      <c r="D14" t="n">
        <v>463100.1</v>
      </c>
      <c r="E14" t="n">
        <v>0</v>
      </c>
    </row>
    <row r="15">
      <c r="A15" t="inlineStr">
        <is>
          <t>2026-09-10</t>
        </is>
      </c>
      <c r="B15" t="inlineStr">
        <is>
          <t>bloques suman EP Petroecuador</t>
        </is>
      </c>
      <c r="C15" t="n">
        <v>366095.21</v>
      </c>
      <c r="D15" t="n">
        <v>366095.21</v>
      </c>
      <c r="E15" t="n">
        <v>0</v>
      </c>
    </row>
    <row r="16">
      <c r="A16" t="inlineStr">
        <is>
          <t>2026-09-10</t>
        </is>
      </c>
      <c r="B16" t="inlineStr">
        <is>
          <t>anterior de EP PETROECUADOR contra el parte previo (2026-09-09)</t>
        </is>
      </c>
      <c r="C16" t="n">
        <v>361238.63</v>
      </c>
      <c r="D16" t="n">
        <v>367065.88</v>
      </c>
      <c r="E16" t="n">
        <v>5827.25</v>
      </c>
    </row>
    <row r="17">
      <c r="A17" t="inlineStr">
        <is>
          <t>2026-09-13</t>
        </is>
      </c>
      <c r="B17" t="inlineStr">
        <is>
          <t>privadas suman el subtotal</t>
        </is>
      </c>
      <c r="C17" t="n">
        <v>97052.28999999999</v>
      </c>
      <c r="D17" t="n">
        <v>97052.28999999999</v>
      </c>
      <c r="E17" t="n">
        <v>0</v>
      </c>
    </row>
    <row r="18">
      <c r="A18" t="inlineStr">
        <is>
          <t>2026-09-13</t>
        </is>
      </c>
      <c r="B18" t="inlineStr">
        <is>
          <t>compañías suman el total nacional</t>
        </is>
      </c>
      <c r="C18" t="n">
        <v>465110.65</v>
      </c>
      <c r="D18" t="n">
        <v>465110.65</v>
      </c>
      <c r="E18" t="n">
        <v>-0</v>
      </c>
    </row>
    <row r="19">
      <c r="A19" t="inlineStr">
        <is>
          <t>2026-09-13</t>
        </is>
      </c>
      <c r="B19" t="inlineStr">
        <is>
          <t>bloques suman EP Petroecuador</t>
        </is>
      </c>
      <c r="C19" t="n">
        <v>368058.36</v>
      </c>
      <c r="D19" t="n">
        <v>368058.36</v>
      </c>
      <c r="E19" t="n">
        <v>0</v>
      </c>
    </row>
    <row r="20">
      <c r="A20" t="inlineStr">
        <is>
          <t>2026-09-13</t>
        </is>
      </c>
      <c r="B20" t="inlineStr">
        <is>
          <t>sin parte de los días entre 2026-09-10 y 2026-09-13: la "producción anterior" de este parte es la única cifra del 2026-09-12</t>
        </is>
      </c>
      <c r="D20" t="n">
        <v>368127.46</v>
      </c>
      <c r="E20" t="n">
        <v>0</v>
      </c>
    </row>
    <row r="21">
      <c r="A21" t="inlineStr">
        <is>
          <t>2026-09-14</t>
        </is>
      </c>
      <c r="B21" t="inlineStr">
        <is>
          <t>privadas suman el subtotal</t>
        </is>
      </c>
      <c r="C21" t="n">
        <v>97253.11</v>
      </c>
      <c r="D21" t="n">
        <v>97253.11</v>
      </c>
      <c r="E21" t="n">
        <v>0</v>
      </c>
    </row>
    <row r="22">
      <c r="A22" t="inlineStr">
        <is>
          <t>2026-09-14</t>
        </is>
      </c>
      <c r="B22" t="inlineStr">
        <is>
          <t>compañías suman el total nacional</t>
        </is>
      </c>
      <c r="C22" t="n">
        <v>463812.77</v>
      </c>
      <c r="D22" t="n">
        <v>463812.77</v>
      </c>
      <c r="E22" t="n">
        <v>-0</v>
      </c>
    </row>
    <row r="23">
      <c r="A23" t="inlineStr">
        <is>
          <t>2026-09-14</t>
        </is>
      </c>
      <c r="B23" t="inlineStr">
        <is>
          <t>bloques suman EP Petroecuador</t>
        </is>
      </c>
      <c r="C23" t="n">
        <v>366559.66</v>
      </c>
      <c r="D23" t="n">
        <v>366559.66</v>
      </c>
      <c r="E23" t="n">
        <v>0</v>
      </c>
    </row>
    <row r="24">
      <c r="A24" t="inlineStr">
        <is>
          <t>2026-09-14</t>
        </is>
      </c>
      <c r="B24" t="inlineStr">
        <is>
          <t>anterior de ANDES PETROLEUM ECUADOR LTD contra el parte previo (2026-09-13)</t>
        </is>
      </c>
      <c r="C24" t="n">
        <v>23814.41</v>
      </c>
      <c r="D24" t="n">
        <v>23816.18</v>
      </c>
      <c r="E24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2026-09-28T20:58:37Z</dcterms:created>
  <dcterms:modified xmlns:dcterms="http://purl.org/dc/terms/" xmlns:xsi="http://www.w3.org/2001/XMLSchema-instance" xsi:type="dcterms:W3CDTF">2026-09-28T20:58:37Z</dcterms:modified>
</cp:coreProperties>
</file>